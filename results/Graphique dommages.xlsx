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ml.chartshapes+xml"/>
  <Override PartName="/xl/drawings/drawing2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xr:revisionPtr revIDLastSave="0" documentId="13_ncr:1_{3E94729C-07B4-4723-9B83-07C2581FB1A5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Données" sheetId="2" r:id="rId1"/>
    <sheet name="Gr Macro" sheetId="5" r:id="rId2"/>
    <sheet name="Gr inflation" sheetId="6" r:id="rId3"/>
    <sheet name="Gr émissions" sheetId="7" r:id="rId4"/>
    <sheet name="Gr conso éner" sheetId="28" r:id="rId5"/>
    <sheet name="GR macro ener" sheetId="30" r:id="rId6"/>
    <sheet name="Gr éner prim" sheetId="29" r:id="rId7"/>
    <sheet name="BUIL (class,base)" sheetId="25" r:id="rId8"/>
    <sheet name="BUIL (class,shock)" sheetId="26" r:id="rId9"/>
    <sheet name="Auto (class,base)" sheetId="24" r:id="rId10"/>
    <sheet name="Auto (class,shock)" sheetId="23" r:id="rId11"/>
    <sheet name="Auto (ener,shock)" sheetId="21" r:id="rId12"/>
    <sheet name="Auto (ener,base)" sheetId="22" r:id="rId13"/>
    <sheet name="Employment" sheetId="16" r:id="rId14"/>
    <sheet name="Investment" sheetId="20" r:id="rId15"/>
    <sheet name="Firms' emissions" sheetId="27" r:id="rId16"/>
    <sheet name="Capital intensity" sheetId="17" r:id="rId17"/>
    <sheet name="Energy intensity" sheetId="18" r:id="rId18"/>
    <sheet name="Gr VA secteurs (% dev)" sheetId="12" r:id="rId19"/>
    <sheet name="Gr VA secteurs (% share)" sheetId="13" r:id="rId20"/>
    <sheet name="Gr Y secteurs (% dev)" sheetId="14" r:id="rId21"/>
    <sheet name="Gr Y secteurs (% share)" sheetId="15" r:id="rId22"/>
  </sheets>
  <externalReferences>
    <externalReference r:id="rId2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523" i="2" l="1"/>
  <c r="BE523" i="2"/>
  <c r="BD523" i="2"/>
  <c r="BC523" i="2"/>
  <c r="BB523" i="2"/>
  <c r="BA523" i="2"/>
  <c r="AZ523" i="2"/>
  <c r="AY523" i="2"/>
  <c r="AX523" i="2"/>
  <c r="AW523" i="2"/>
  <c r="AV523" i="2"/>
  <c r="AU523" i="2"/>
  <c r="AT523" i="2"/>
  <c r="AS523" i="2"/>
  <c r="AR523" i="2"/>
  <c r="AQ523" i="2"/>
  <c r="AP523" i="2"/>
  <c r="AO523" i="2"/>
  <c r="AN523" i="2"/>
  <c r="AM523" i="2"/>
  <c r="AL523" i="2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BF522" i="2"/>
  <c r="BE522" i="2"/>
  <c r="BD522" i="2"/>
  <c r="BC522" i="2"/>
  <c r="BB522" i="2"/>
  <c r="BA522" i="2"/>
  <c r="AZ522" i="2"/>
  <c r="AY522" i="2"/>
  <c r="AX522" i="2"/>
  <c r="AW522" i="2"/>
  <c r="AV522" i="2"/>
  <c r="AU522" i="2"/>
  <c r="AT522" i="2"/>
  <c r="AS522" i="2"/>
  <c r="AR522" i="2"/>
  <c r="AQ522" i="2"/>
  <c r="AP522" i="2"/>
  <c r="AO522" i="2"/>
  <c r="AN522" i="2"/>
  <c r="AM522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BF521" i="2"/>
  <c r="BE521" i="2"/>
  <c r="BD521" i="2"/>
  <c r="BC521" i="2"/>
  <c r="BB521" i="2"/>
  <c r="BA521" i="2"/>
  <c r="AZ521" i="2"/>
  <c r="AY521" i="2"/>
  <c r="AX521" i="2"/>
  <c r="AW521" i="2"/>
  <c r="AV521" i="2"/>
  <c r="AU521" i="2"/>
  <c r="AT521" i="2"/>
  <c r="AS521" i="2"/>
  <c r="AR521" i="2"/>
  <c r="AQ521" i="2"/>
  <c r="AP521" i="2"/>
  <c r="AO521" i="2"/>
  <c r="AN521" i="2"/>
  <c r="AM521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BF520" i="2"/>
  <c r="BE520" i="2"/>
  <c r="BD520" i="2"/>
  <c r="BC520" i="2"/>
  <c r="BB520" i="2"/>
  <c r="BA520" i="2"/>
  <c r="AZ520" i="2"/>
  <c r="AY520" i="2"/>
  <c r="AX520" i="2"/>
  <c r="AW520" i="2"/>
  <c r="AV520" i="2"/>
  <c r="AU520" i="2"/>
  <c r="AT520" i="2"/>
  <c r="AS520" i="2"/>
  <c r="AR520" i="2"/>
  <c r="AQ520" i="2"/>
  <c r="AP520" i="2"/>
  <c r="AO520" i="2"/>
  <c r="AN520" i="2"/>
  <c r="AM520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BF519" i="2"/>
  <c r="BE519" i="2"/>
  <c r="BD519" i="2"/>
  <c r="BC519" i="2"/>
  <c r="BB519" i="2"/>
  <c r="BA519" i="2"/>
  <c r="AZ519" i="2"/>
  <c r="AY519" i="2"/>
  <c r="AX519" i="2"/>
  <c r="AW519" i="2"/>
  <c r="AV519" i="2"/>
  <c r="AU519" i="2"/>
  <c r="AT519" i="2"/>
  <c r="AS519" i="2"/>
  <c r="AR519" i="2"/>
  <c r="AQ519" i="2"/>
  <c r="AP519" i="2"/>
  <c r="AO519" i="2"/>
  <c r="AN519" i="2"/>
  <c r="AM519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BF517" i="2"/>
  <c r="BE517" i="2"/>
  <c r="BD517" i="2"/>
  <c r="BC517" i="2"/>
  <c r="BB517" i="2"/>
  <c r="BA517" i="2"/>
  <c r="AZ517" i="2"/>
  <c r="AY517" i="2"/>
  <c r="AX517" i="2"/>
  <c r="AW517" i="2"/>
  <c r="AV517" i="2"/>
  <c r="AU517" i="2"/>
  <c r="AT517" i="2"/>
  <c r="AS517" i="2"/>
  <c r="AR517" i="2"/>
  <c r="AQ517" i="2"/>
  <c r="AP517" i="2"/>
  <c r="AO517" i="2"/>
  <c r="AN517" i="2"/>
  <c r="AM517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BF516" i="2"/>
  <c r="BE516" i="2"/>
  <c r="BD516" i="2"/>
  <c r="BC516" i="2"/>
  <c r="BB516" i="2"/>
  <c r="BA516" i="2"/>
  <c r="AZ516" i="2"/>
  <c r="AY516" i="2"/>
  <c r="AX516" i="2"/>
  <c r="AW516" i="2"/>
  <c r="AV516" i="2"/>
  <c r="AU516" i="2"/>
  <c r="AT516" i="2"/>
  <c r="AS516" i="2"/>
  <c r="AR516" i="2"/>
  <c r="AQ516" i="2"/>
  <c r="AP516" i="2"/>
  <c r="AO516" i="2"/>
  <c r="AN516" i="2"/>
  <c r="AM516" i="2"/>
  <c r="AL516" i="2"/>
  <c r="AK516" i="2"/>
  <c r="AJ516" i="2"/>
  <c r="AI516" i="2"/>
  <c r="AH516" i="2"/>
  <c r="AG516" i="2"/>
  <c r="AF516" i="2"/>
  <c r="AE516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BF515" i="2"/>
  <c r="BE515" i="2"/>
  <c r="BD515" i="2"/>
  <c r="BC515" i="2"/>
  <c r="BB515" i="2"/>
  <c r="BA515" i="2"/>
  <c r="AZ515" i="2"/>
  <c r="AY515" i="2"/>
  <c r="AX515" i="2"/>
  <c r="AW515" i="2"/>
  <c r="AV515" i="2"/>
  <c r="AU515" i="2"/>
  <c r="AT515" i="2"/>
  <c r="AS515" i="2"/>
  <c r="AR515" i="2"/>
  <c r="AQ515" i="2"/>
  <c r="AP515" i="2"/>
  <c r="AO515" i="2"/>
  <c r="AN515" i="2"/>
  <c r="AM515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BF514" i="2"/>
  <c r="BE514" i="2"/>
  <c r="BD514" i="2"/>
  <c r="BC514" i="2"/>
  <c r="BB514" i="2"/>
  <c r="BA514" i="2"/>
  <c r="AZ514" i="2"/>
  <c r="AY514" i="2"/>
  <c r="AX514" i="2"/>
  <c r="AW514" i="2"/>
  <c r="AV514" i="2"/>
  <c r="AU514" i="2"/>
  <c r="AT514" i="2"/>
  <c r="AS514" i="2"/>
  <c r="AR514" i="2"/>
  <c r="AQ514" i="2"/>
  <c r="AP514" i="2"/>
  <c r="AO514" i="2"/>
  <c r="AN514" i="2"/>
  <c r="AM514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BF513" i="2"/>
  <c r="BE513" i="2"/>
  <c r="BD513" i="2"/>
  <c r="BC513" i="2"/>
  <c r="BB513" i="2"/>
  <c r="BA513" i="2"/>
  <c r="AZ513" i="2"/>
  <c r="AY513" i="2"/>
  <c r="AX513" i="2"/>
  <c r="AW513" i="2"/>
  <c r="AV513" i="2"/>
  <c r="AU513" i="2"/>
  <c r="AT513" i="2"/>
  <c r="AS513" i="2"/>
  <c r="AR513" i="2"/>
  <c r="AQ513" i="2"/>
  <c r="AP513" i="2"/>
  <c r="AO513" i="2"/>
  <c r="AN513" i="2"/>
  <c r="AM513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BF359" i="2"/>
  <c r="BE359" i="2"/>
  <c r="BD359" i="2"/>
  <c r="BC359" i="2"/>
  <c r="BB359" i="2"/>
  <c r="BA359" i="2"/>
  <c r="AZ359" i="2"/>
  <c r="AY359" i="2"/>
  <c r="AX359" i="2"/>
  <c r="AW359" i="2"/>
  <c r="AV359" i="2"/>
  <c r="AU359" i="2"/>
  <c r="AT359" i="2"/>
  <c r="AS359" i="2"/>
  <c r="AR359" i="2"/>
  <c r="AQ359" i="2"/>
  <c r="AP359" i="2"/>
  <c r="AO359" i="2"/>
  <c r="AN359" i="2"/>
  <c r="AM359" i="2"/>
  <c r="AL359" i="2"/>
  <c r="AK359" i="2"/>
  <c r="AJ359" i="2"/>
  <c r="AI359" i="2"/>
  <c r="AH359" i="2"/>
  <c r="AG359" i="2"/>
  <c r="AF359" i="2"/>
  <c r="AE359" i="2"/>
  <c r="AD359" i="2"/>
  <c r="AC359" i="2"/>
  <c r="AB359" i="2"/>
  <c r="AA359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BF358" i="2"/>
  <c r="BE358" i="2"/>
  <c r="BD358" i="2"/>
  <c r="BC358" i="2"/>
  <c r="BB358" i="2"/>
  <c r="BA358" i="2"/>
  <c r="AZ358" i="2"/>
  <c r="AY358" i="2"/>
  <c r="AX358" i="2"/>
  <c r="AW358" i="2"/>
  <c r="AV358" i="2"/>
  <c r="AU358" i="2"/>
  <c r="AT358" i="2"/>
  <c r="AS358" i="2"/>
  <c r="AR358" i="2"/>
  <c r="AQ358" i="2"/>
  <c r="AP358" i="2"/>
  <c r="AO358" i="2"/>
  <c r="AN358" i="2"/>
  <c r="AM358" i="2"/>
  <c r="AL358" i="2"/>
  <c r="AK358" i="2"/>
  <c r="AJ358" i="2"/>
  <c r="AI358" i="2"/>
  <c r="AH358" i="2"/>
  <c r="AG358" i="2"/>
  <c r="AF358" i="2"/>
  <c r="AE358" i="2"/>
  <c r="AD358" i="2"/>
  <c r="AC358" i="2"/>
  <c r="AB358" i="2"/>
  <c r="AA358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BF357" i="2"/>
  <c r="BE357" i="2"/>
  <c r="BD357" i="2"/>
  <c r="BC357" i="2"/>
  <c r="BB357" i="2"/>
  <c r="BA357" i="2"/>
  <c r="AZ357" i="2"/>
  <c r="AY357" i="2"/>
  <c r="AX357" i="2"/>
  <c r="AW357" i="2"/>
  <c r="AV357" i="2"/>
  <c r="AU357" i="2"/>
  <c r="AT357" i="2"/>
  <c r="AS357" i="2"/>
  <c r="AR357" i="2"/>
  <c r="AQ357" i="2"/>
  <c r="AP357" i="2"/>
  <c r="AO357" i="2"/>
  <c r="AN357" i="2"/>
  <c r="AM357" i="2"/>
  <c r="AL357" i="2"/>
  <c r="AK357" i="2"/>
  <c r="AJ357" i="2"/>
  <c r="AI357" i="2"/>
  <c r="AH357" i="2"/>
  <c r="AG357" i="2"/>
  <c r="AF357" i="2"/>
  <c r="AE357" i="2"/>
  <c r="AD357" i="2"/>
  <c r="AC357" i="2"/>
  <c r="AB357" i="2"/>
  <c r="AA357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BF356" i="2"/>
  <c r="BE356" i="2"/>
  <c r="BD356" i="2"/>
  <c r="BC356" i="2"/>
  <c r="BB356" i="2"/>
  <c r="BA356" i="2"/>
  <c r="AZ356" i="2"/>
  <c r="AY356" i="2"/>
  <c r="AX356" i="2"/>
  <c r="AW356" i="2"/>
  <c r="AV356" i="2"/>
  <c r="AU356" i="2"/>
  <c r="AT356" i="2"/>
  <c r="AS356" i="2"/>
  <c r="AR356" i="2"/>
  <c r="AQ356" i="2"/>
  <c r="AP356" i="2"/>
  <c r="AO356" i="2"/>
  <c r="AN356" i="2"/>
  <c r="AM356" i="2"/>
  <c r="AL356" i="2"/>
  <c r="AK356" i="2"/>
  <c r="AJ356" i="2"/>
  <c r="AI356" i="2"/>
  <c r="AH356" i="2"/>
  <c r="AG356" i="2"/>
  <c r="AF356" i="2"/>
  <c r="AE356" i="2"/>
  <c r="AD356" i="2"/>
  <c r="AC356" i="2"/>
  <c r="AB356" i="2"/>
  <c r="AA356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BF355" i="2"/>
  <c r="BE355" i="2"/>
  <c r="BD355" i="2"/>
  <c r="BC355" i="2"/>
  <c r="BB355" i="2"/>
  <c r="BA355" i="2"/>
  <c r="AZ355" i="2"/>
  <c r="AY355" i="2"/>
  <c r="AX355" i="2"/>
  <c r="AW355" i="2"/>
  <c r="AV355" i="2"/>
  <c r="AU355" i="2"/>
  <c r="AT355" i="2"/>
  <c r="AS355" i="2"/>
  <c r="AR355" i="2"/>
  <c r="AQ355" i="2"/>
  <c r="AP355" i="2"/>
  <c r="AO355" i="2"/>
  <c r="AN355" i="2"/>
  <c r="AM355" i="2"/>
  <c r="AL355" i="2"/>
  <c r="AK355" i="2"/>
  <c r="AJ355" i="2"/>
  <c r="AI355" i="2"/>
  <c r="AH355" i="2"/>
  <c r="AG355" i="2"/>
  <c r="AF355" i="2"/>
  <c r="AE355" i="2"/>
  <c r="AD355" i="2"/>
  <c r="AC355" i="2"/>
  <c r="AB355" i="2"/>
  <c r="AA355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BF354" i="2"/>
  <c r="BE354" i="2"/>
  <c r="BD354" i="2"/>
  <c r="BC354" i="2"/>
  <c r="BB354" i="2"/>
  <c r="BA354" i="2"/>
  <c r="AZ354" i="2"/>
  <c r="AY354" i="2"/>
  <c r="AX354" i="2"/>
  <c r="AW354" i="2"/>
  <c r="AV354" i="2"/>
  <c r="AU354" i="2"/>
  <c r="AT354" i="2"/>
  <c r="AS354" i="2"/>
  <c r="AR354" i="2"/>
  <c r="AQ354" i="2"/>
  <c r="AP354" i="2"/>
  <c r="AO354" i="2"/>
  <c r="AN354" i="2"/>
  <c r="AM354" i="2"/>
  <c r="AL354" i="2"/>
  <c r="AK354" i="2"/>
  <c r="AJ354" i="2"/>
  <c r="AI354" i="2"/>
  <c r="AH354" i="2"/>
  <c r="AG354" i="2"/>
  <c r="AF354" i="2"/>
  <c r="AE354" i="2"/>
  <c r="AD354" i="2"/>
  <c r="AC354" i="2"/>
  <c r="AB354" i="2"/>
  <c r="AA354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BF353" i="2"/>
  <c r="BE353" i="2"/>
  <c r="BD353" i="2"/>
  <c r="BC353" i="2"/>
  <c r="BB353" i="2"/>
  <c r="BA353" i="2"/>
  <c r="AZ353" i="2"/>
  <c r="AY353" i="2"/>
  <c r="AX353" i="2"/>
  <c r="AW353" i="2"/>
  <c r="AV353" i="2"/>
  <c r="AU353" i="2"/>
  <c r="AT353" i="2"/>
  <c r="AS353" i="2"/>
  <c r="AR353" i="2"/>
  <c r="AQ353" i="2"/>
  <c r="AP353" i="2"/>
  <c r="AO353" i="2"/>
  <c r="AN353" i="2"/>
  <c r="AM353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BF352" i="2"/>
  <c r="BE352" i="2"/>
  <c r="BD352" i="2"/>
  <c r="BC352" i="2"/>
  <c r="BB352" i="2"/>
  <c r="BA352" i="2"/>
  <c r="AZ352" i="2"/>
  <c r="AY352" i="2"/>
  <c r="AX352" i="2"/>
  <c r="AW352" i="2"/>
  <c r="AV352" i="2"/>
  <c r="AU352" i="2"/>
  <c r="AT352" i="2"/>
  <c r="AS352" i="2"/>
  <c r="AR352" i="2"/>
  <c r="AQ352" i="2"/>
  <c r="AP352" i="2"/>
  <c r="AO352" i="2"/>
  <c r="AN352" i="2"/>
  <c r="AM352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BF351" i="2"/>
  <c r="BE351" i="2"/>
  <c r="BD351" i="2"/>
  <c r="BC351" i="2"/>
  <c r="BB351" i="2"/>
  <c r="BA351" i="2"/>
  <c r="AZ351" i="2"/>
  <c r="AY351" i="2"/>
  <c r="AX351" i="2"/>
  <c r="AW351" i="2"/>
  <c r="AV351" i="2"/>
  <c r="AU351" i="2"/>
  <c r="AT351" i="2"/>
  <c r="AS351" i="2"/>
  <c r="AR351" i="2"/>
  <c r="AQ351" i="2"/>
  <c r="AP351" i="2"/>
  <c r="AO351" i="2"/>
  <c r="AN351" i="2"/>
  <c r="AM351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BF350" i="2"/>
  <c r="BE350" i="2"/>
  <c r="BD350" i="2"/>
  <c r="BC350" i="2"/>
  <c r="BB350" i="2"/>
  <c r="BA350" i="2"/>
  <c r="AZ350" i="2"/>
  <c r="AY350" i="2"/>
  <c r="AX350" i="2"/>
  <c r="AW350" i="2"/>
  <c r="AV350" i="2"/>
  <c r="AU350" i="2"/>
  <c r="AT350" i="2"/>
  <c r="AS350" i="2"/>
  <c r="AR350" i="2"/>
  <c r="AQ350" i="2"/>
  <c r="AP350" i="2"/>
  <c r="AO350" i="2"/>
  <c r="AN350" i="2"/>
  <c r="AM350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BF349" i="2"/>
  <c r="BE349" i="2"/>
  <c r="BD349" i="2"/>
  <c r="BC349" i="2"/>
  <c r="BB349" i="2"/>
  <c r="BA349" i="2"/>
  <c r="AZ349" i="2"/>
  <c r="AY349" i="2"/>
  <c r="AX349" i="2"/>
  <c r="AW349" i="2"/>
  <c r="AV349" i="2"/>
  <c r="AU349" i="2"/>
  <c r="AT349" i="2"/>
  <c r="AS349" i="2"/>
  <c r="AR349" i="2"/>
  <c r="AQ349" i="2"/>
  <c r="AP349" i="2"/>
  <c r="AO349" i="2"/>
  <c r="AN349" i="2"/>
  <c r="AM349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BF348" i="2"/>
  <c r="BE348" i="2"/>
  <c r="BD348" i="2"/>
  <c r="BC348" i="2"/>
  <c r="BB348" i="2"/>
  <c r="BA348" i="2"/>
  <c r="AZ348" i="2"/>
  <c r="AY348" i="2"/>
  <c r="AX348" i="2"/>
  <c r="AW348" i="2"/>
  <c r="AV348" i="2"/>
  <c r="AU348" i="2"/>
  <c r="AT348" i="2"/>
  <c r="AS348" i="2"/>
  <c r="AR348" i="2"/>
  <c r="AQ348" i="2"/>
  <c r="AP348" i="2"/>
  <c r="AO348" i="2"/>
  <c r="AN348" i="2"/>
  <c r="AM348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BF347" i="2"/>
  <c r="BE347" i="2"/>
  <c r="BD347" i="2"/>
  <c r="BC347" i="2"/>
  <c r="BB347" i="2"/>
  <c r="BA347" i="2"/>
  <c r="AZ347" i="2"/>
  <c r="AY347" i="2"/>
  <c r="AX347" i="2"/>
  <c r="AW347" i="2"/>
  <c r="AV347" i="2"/>
  <c r="AU347" i="2"/>
  <c r="AT347" i="2"/>
  <c r="AS347" i="2"/>
  <c r="AR347" i="2"/>
  <c r="AQ347" i="2"/>
  <c r="AP347" i="2"/>
  <c r="AO347" i="2"/>
  <c r="AN347" i="2"/>
  <c r="AM347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BF346" i="2"/>
  <c r="BE346" i="2"/>
  <c r="BD346" i="2"/>
  <c r="BC346" i="2"/>
  <c r="BB346" i="2"/>
  <c r="BA346" i="2"/>
  <c r="AZ346" i="2"/>
  <c r="AY346" i="2"/>
  <c r="AX346" i="2"/>
  <c r="AW346" i="2"/>
  <c r="AV346" i="2"/>
  <c r="AU346" i="2"/>
  <c r="AT346" i="2"/>
  <c r="AS346" i="2"/>
  <c r="AR346" i="2"/>
  <c r="AQ346" i="2"/>
  <c r="AP346" i="2"/>
  <c r="AO346" i="2"/>
  <c r="AN346" i="2"/>
  <c r="AM346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BF345" i="2"/>
  <c r="BE345" i="2"/>
  <c r="BD345" i="2"/>
  <c r="BC345" i="2"/>
  <c r="BB345" i="2"/>
  <c r="BA345" i="2"/>
  <c r="AZ345" i="2"/>
  <c r="AY345" i="2"/>
  <c r="AX345" i="2"/>
  <c r="AW345" i="2"/>
  <c r="AV345" i="2"/>
  <c r="AU345" i="2"/>
  <c r="AT345" i="2"/>
  <c r="AS345" i="2"/>
  <c r="AR345" i="2"/>
  <c r="AQ345" i="2"/>
  <c r="AP345" i="2"/>
  <c r="AO345" i="2"/>
  <c r="AN345" i="2"/>
  <c r="AM345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BF344" i="2"/>
  <c r="BE344" i="2"/>
  <c r="BD344" i="2"/>
  <c r="BC344" i="2"/>
  <c r="BB344" i="2"/>
  <c r="BA344" i="2"/>
  <c r="AZ344" i="2"/>
  <c r="AY344" i="2"/>
  <c r="AX344" i="2"/>
  <c r="AW344" i="2"/>
  <c r="AV344" i="2"/>
  <c r="AU344" i="2"/>
  <c r="AT344" i="2"/>
  <c r="AS344" i="2"/>
  <c r="AR344" i="2"/>
  <c r="AQ344" i="2"/>
  <c r="AP344" i="2"/>
  <c r="AO344" i="2"/>
  <c r="AN344" i="2"/>
  <c r="AM344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BF343" i="2"/>
  <c r="BE343" i="2"/>
  <c r="BD343" i="2"/>
  <c r="BC343" i="2"/>
  <c r="BB343" i="2"/>
  <c r="BA343" i="2"/>
  <c r="AZ343" i="2"/>
  <c r="AY343" i="2"/>
  <c r="AX343" i="2"/>
  <c r="AW343" i="2"/>
  <c r="AV343" i="2"/>
  <c r="AU343" i="2"/>
  <c r="AT343" i="2"/>
  <c r="AS343" i="2"/>
  <c r="AR343" i="2"/>
  <c r="AQ343" i="2"/>
  <c r="AP343" i="2"/>
  <c r="AO343" i="2"/>
  <c r="AN343" i="2"/>
  <c r="AM343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BF342" i="2"/>
  <c r="BE342" i="2"/>
  <c r="BD342" i="2"/>
  <c r="BC342" i="2"/>
  <c r="BB342" i="2"/>
  <c r="BA342" i="2"/>
  <c r="AZ342" i="2"/>
  <c r="AY342" i="2"/>
  <c r="AX342" i="2"/>
  <c r="AW342" i="2"/>
  <c r="AV342" i="2"/>
  <c r="AU342" i="2"/>
  <c r="AT342" i="2"/>
  <c r="AS342" i="2"/>
  <c r="AR342" i="2"/>
  <c r="AQ342" i="2"/>
  <c r="AP342" i="2"/>
  <c r="AO342" i="2"/>
  <c r="AN342" i="2"/>
  <c r="AM342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BF341" i="2"/>
  <c r="BE341" i="2"/>
  <c r="BD341" i="2"/>
  <c r="BC341" i="2"/>
  <c r="BB341" i="2"/>
  <c r="BA341" i="2"/>
  <c r="AZ341" i="2"/>
  <c r="AY341" i="2"/>
  <c r="AX341" i="2"/>
  <c r="AW341" i="2"/>
  <c r="AV341" i="2"/>
  <c r="AU341" i="2"/>
  <c r="AT341" i="2"/>
  <c r="AS341" i="2"/>
  <c r="AR341" i="2"/>
  <c r="AQ341" i="2"/>
  <c r="AP341" i="2"/>
  <c r="AO341" i="2"/>
  <c r="AN341" i="2"/>
  <c r="AM341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BF340" i="2"/>
  <c r="BE340" i="2"/>
  <c r="BD340" i="2"/>
  <c r="BC340" i="2"/>
  <c r="BB340" i="2"/>
  <c r="BA340" i="2"/>
  <c r="AZ340" i="2"/>
  <c r="AY340" i="2"/>
  <c r="AX340" i="2"/>
  <c r="AW340" i="2"/>
  <c r="AV340" i="2"/>
  <c r="AU340" i="2"/>
  <c r="AT340" i="2"/>
  <c r="AS340" i="2"/>
  <c r="AR340" i="2"/>
  <c r="AQ340" i="2"/>
  <c r="AP340" i="2"/>
  <c r="AO340" i="2"/>
  <c r="AN340" i="2"/>
  <c r="AM340" i="2"/>
  <c r="AL340" i="2"/>
  <c r="AK340" i="2"/>
  <c r="AJ340" i="2"/>
  <c r="AI340" i="2"/>
  <c r="AH340" i="2"/>
  <c r="AG340" i="2"/>
  <c r="AF340" i="2"/>
  <c r="AE340" i="2"/>
  <c r="AD340" i="2"/>
  <c r="AC340" i="2"/>
  <c r="AB340" i="2"/>
  <c r="AA340" i="2"/>
  <c r="Z340" i="2"/>
  <c r="Y340" i="2"/>
  <c r="X340" i="2"/>
  <c r="W340" i="2"/>
  <c r="V340" i="2"/>
  <c r="U340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BF339" i="2"/>
  <c r="BE339" i="2"/>
  <c r="BD339" i="2"/>
  <c r="BC339" i="2"/>
  <c r="BB339" i="2"/>
  <c r="BA339" i="2"/>
  <c r="AZ339" i="2"/>
  <c r="AY339" i="2"/>
  <c r="AX339" i="2"/>
  <c r="AW339" i="2"/>
  <c r="AV339" i="2"/>
  <c r="AU339" i="2"/>
  <c r="AT339" i="2"/>
  <c r="AS339" i="2"/>
  <c r="AR339" i="2"/>
  <c r="AQ339" i="2"/>
  <c r="AP339" i="2"/>
  <c r="AO339" i="2"/>
  <c r="AN339" i="2"/>
  <c r="AM339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BF328" i="2"/>
  <c r="BE328" i="2"/>
  <c r="BD328" i="2"/>
  <c r="BC328" i="2"/>
  <c r="BB328" i="2"/>
  <c r="BA328" i="2"/>
  <c r="AZ328" i="2"/>
  <c r="AY328" i="2"/>
  <c r="AX328" i="2"/>
  <c r="AW328" i="2"/>
  <c r="AV328" i="2"/>
  <c r="AU328" i="2"/>
  <c r="AT328" i="2"/>
  <c r="AS328" i="2"/>
  <c r="AR328" i="2"/>
  <c r="AQ328" i="2"/>
  <c r="AP328" i="2"/>
  <c r="AO328" i="2"/>
  <c r="AN328" i="2"/>
  <c r="AM328" i="2"/>
  <c r="AL328" i="2"/>
  <c r="AK328" i="2"/>
  <c r="AJ328" i="2"/>
  <c r="AI328" i="2"/>
  <c r="AH328" i="2"/>
  <c r="AG328" i="2"/>
  <c r="AF328" i="2"/>
  <c r="AE328" i="2"/>
  <c r="AD328" i="2"/>
  <c r="AC328" i="2"/>
  <c r="AB328" i="2"/>
  <c r="AA328" i="2"/>
  <c r="Z328" i="2"/>
  <c r="Y328" i="2"/>
  <c r="X328" i="2"/>
  <c r="W328" i="2"/>
  <c r="V328" i="2"/>
  <c r="U328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BF327" i="2"/>
  <c r="BE327" i="2"/>
  <c r="BD327" i="2"/>
  <c r="BC327" i="2"/>
  <c r="BB327" i="2"/>
  <c r="BA327" i="2"/>
  <c r="AZ327" i="2"/>
  <c r="AY327" i="2"/>
  <c r="AX327" i="2"/>
  <c r="AW327" i="2"/>
  <c r="AV327" i="2"/>
  <c r="AU327" i="2"/>
  <c r="AT327" i="2"/>
  <c r="AS327" i="2"/>
  <c r="AR327" i="2"/>
  <c r="AQ327" i="2"/>
  <c r="AP327" i="2"/>
  <c r="AO327" i="2"/>
  <c r="AN327" i="2"/>
  <c r="AM327" i="2"/>
  <c r="AL327" i="2"/>
  <c r="AK327" i="2"/>
  <c r="AJ327" i="2"/>
  <c r="AI327" i="2"/>
  <c r="AH327" i="2"/>
  <c r="AG327" i="2"/>
  <c r="AF327" i="2"/>
  <c r="AE327" i="2"/>
  <c r="AD327" i="2"/>
  <c r="AC327" i="2"/>
  <c r="AB327" i="2"/>
  <c r="AA327" i="2"/>
  <c r="Z327" i="2"/>
  <c r="Y327" i="2"/>
  <c r="X327" i="2"/>
  <c r="W327" i="2"/>
  <c r="V327" i="2"/>
  <c r="U327" i="2"/>
  <c r="T327" i="2"/>
  <c r="S327" i="2"/>
  <c r="R327" i="2"/>
  <c r="Q327" i="2"/>
  <c r="P327" i="2"/>
  <c r="O327" i="2"/>
  <c r="N327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BF326" i="2"/>
  <c r="BE326" i="2"/>
  <c r="BD326" i="2"/>
  <c r="BC326" i="2"/>
  <c r="BB326" i="2"/>
  <c r="BA326" i="2"/>
  <c r="AZ326" i="2"/>
  <c r="AY326" i="2"/>
  <c r="AX326" i="2"/>
  <c r="AW326" i="2"/>
  <c r="AV326" i="2"/>
  <c r="AU326" i="2"/>
  <c r="AT326" i="2"/>
  <c r="AS326" i="2"/>
  <c r="AR326" i="2"/>
  <c r="AQ326" i="2"/>
  <c r="AP326" i="2"/>
  <c r="AO326" i="2"/>
  <c r="AN326" i="2"/>
  <c r="AM326" i="2"/>
  <c r="AL326" i="2"/>
  <c r="AK326" i="2"/>
  <c r="AJ326" i="2"/>
  <c r="AI326" i="2"/>
  <c r="AH326" i="2"/>
  <c r="AG326" i="2"/>
  <c r="AF326" i="2"/>
  <c r="AE326" i="2"/>
  <c r="AD326" i="2"/>
  <c r="AC326" i="2"/>
  <c r="AB326" i="2"/>
  <c r="AA326" i="2"/>
  <c r="Z326" i="2"/>
  <c r="Y326" i="2"/>
  <c r="X326" i="2"/>
  <c r="W326" i="2"/>
  <c r="V326" i="2"/>
  <c r="U326" i="2"/>
  <c r="T326" i="2"/>
  <c r="S326" i="2"/>
  <c r="R326" i="2"/>
  <c r="Q326" i="2"/>
  <c r="P326" i="2"/>
  <c r="O326" i="2"/>
  <c r="N326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BF325" i="2"/>
  <c r="BE325" i="2"/>
  <c r="BD325" i="2"/>
  <c r="BC325" i="2"/>
  <c r="BB325" i="2"/>
  <c r="BA325" i="2"/>
  <c r="AZ325" i="2"/>
  <c r="AY325" i="2"/>
  <c r="AX325" i="2"/>
  <c r="AW325" i="2"/>
  <c r="AV325" i="2"/>
  <c r="AU325" i="2"/>
  <c r="AT325" i="2"/>
  <c r="AS325" i="2"/>
  <c r="AR325" i="2"/>
  <c r="AQ325" i="2"/>
  <c r="AP325" i="2"/>
  <c r="AO325" i="2"/>
  <c r="AN325" i="2"/>
  <c r="AM325" i="2"/>
  <c r="AL325" i="2"/>
  <c r="AK325" i="2"/>
  <c r="AJ325" i="2"/>
  <c r="AI325" i="2"/>
  <c r="AH325" i="2"/>
  <c r="AG325" i="2"/>
  <c r="AF325" i="2"/>
  <c r="AE325" i="2"/>
  <c r="AD325" i="2"/>
  <c r="AC325" i="2"/>
  <c r="AB325" i="2"/>
  <c r="AA325" i="2"/>
  <c r="Z325" i="2"/>
  <c r="Y325" i="2"/>
  <c r="X325" i="2"/>
  <c r="W325" i="2"/>
  <c r="V325" i="2"/>
  <c r="U325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BF324" i="2"/>
  <c r="BE324" i="2"/>
  <c r="BD324" i="2"/>
  <c r="BC324" i="2"/>
  <c r="BB324" i="2"/>
  <c r="BA324" i="2"/>
  <c r="AZ324" i="2"/>
  <c r="AY324" i="2"/>
  <c r="AX324" i="2"/>
  <c r="AW324" i="2"/>
  <c r="AV324" i="2"/>
  <c r="AU324" i="2"/>
  <c r="AT324" i="2"/>
  <c r="AS324" i="2"/>
  <c r="AR324" i="2"/>
  <c r="AQ324" i="2"/>
  <c r="AP324" i="2"/>
  <c r="AO324" i="2"/>
  <c r="AN324" i="2"/>
  <c r="AM324" i="2"/>
  <c r="AL324" i="2"/>
  <c r="AK324" i="2"/>
  <c r="AJ324" i="2"/>
  <c r="AI324" i="2"/>
  <c r="AH324" i="2"/>
  <c r="AG324" i="2"/>
  <c r="AF324" i="2"/>
  <c r="AE324" i="2"/>
  <c r="AD324" i="2"/>
  <c r="AC324" i="2"/>
  <c r="AB324" i="2"/>
  <c r="AA324" i="2"/>
  <c r="Z324" i="2"/>
  <c r="Y324" i="2"/>
  <c r="X324" i="2"/>
  <c r="W324" i="2"/>
  <c r="V324" i="2"/>
  <c r="U324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BF323" i="2"/>
  <c r="BE323" i="2"/>
  <c r="BD323" i="2"/>
  <c r="BC323" i="2"/>
  <c r="BB323" i="2"/>
  <c r="BA323" i="2"/>
  <c r="AZ323" i="2"/>
  <c r="AY323" i="2"/>
  <c r="AX323" i="2"/>
  <c r="AW323" i="2"/>
  <c r="AV323" i="2"/>
  <c r="AU323" i="2"/>
  <c r="AT323" i="2"/>
  <c r="AS323" i="2"/>
  <c r="AR323" i="2"/>
  <c r="AQ323" i="2"/>
  <c r="AP323" i="2"/>
  <c r="AO323" i="2"/>
  <c r="AN323" i="2"/>
  <c r="AM323" i="2"/>
  <c r="AL323" i="2"/>
  <c r="AK323" i="2"/>
  <c r="AJ323" i="2"/>
  <c r="AI323" i="2"/>
  <c r="AH323" i="2"/>
  <c r="AG323" i="2"/>
  <c r="AF323" i="2"/>
  <c r="AE323" i="2"/>
  <c r="AD323" i="2"/>
  <c r="AC323" i="2"/>
  <c r="AB323" i="2"/>
  <c r="AA323" i="2"/>
  <c r="Z323" i="2"/>
  <c r="Y323" i="2"/>
  <c r="X323" i="2"/>
  <c r="W323" i="2"/>
  <c r="V323" i="2"/>
  <c r="U323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BF322" i="2"/>
  <c r="BE322" i="2"/>
  <c r="BD322" i="2"/>
  <c r="BC322" i="2"/>
  <c r="BB322" i="2"/>
  <c r="BA322" i="2"/>
  <c r="AZ322" i="2"/>
  <c r="AY322" i="2"/>
  <c r="AX322" i="2"/>
  <c r="AW322" i="2"/>
  <c r="AV322" i="2"/>
  <c r="AU322" i="2"/>
  <c r="AT322" i="2"/>
  <c r="AS322" i="2"/>
  <c r="AR322" i="2"/>
  <c r="AQ322" i="2"/>
  <c r="AP322" i="2"/>
  <c r="AO322" i="2"/>
  <c r="AN322" i="2"/>
  <c r="AM322" i="2"/>
  <c r="AL322" i="2"/>
  <c r="AK322" i="2"/>
  <c r="AJ322" i="2"/>
  <c r="AI322" i="2"/>
  <c r="AH322" i="2"/>
  <c r="AG322" i="2"/>
  <c r="AF322" i="2"/>
  <c r="AE322" i="2"/>
  <c r="AD322" i="2"/>
  <c r="AC322" i="2"/>
  <c r="AB322" i="2"/>
  <c r="AA322" i="2"/>
  <c r="Z322" i="2"/>
  <c r="Y322" i="2"/>
  <c r="X322" i="2"/>
  <c r="W322" i="2"/>
  <c r="V322" i="2"/>
  <c r="U322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BF321" i="2"/>
  <c r="BE321" i="2"/>
  <c r="BD321" i="2"/>
  <c r="BC321" i="2"/>
  <c r="BB321" i="2"/>
  <c r="BA321" i="2"/>
  <c r="AZ321" i="2"/>
  <c r="AY321" i="2"/>
  <c r="AX321" i="2"/>
  <c r="AW321" i="2"/>
  <c r="AV321" i="2"/>
  <c r="AU321" i="2"/>
  <c r="AT321" i="2"/>
  <c r="AS321" i="2"/>
  <c r="AR321" i="2"/>
  <c r="AQ321" i="2"/>
  <c r="AP321" i="2"/>
  <c r="AO321" i="2"/>
  <c r="AN321" i="2"/>
  <c r="AM321" i="2"/>
  <c r="AL321" i="2"/>
  <c r="AK321" i="2"/>
  <c r="AJ321" i="2"/>
  <c r="AI321" i="2"/>
  <c r="AH321" i="2"/>
  <c r="AG321" i="2"/>
  <c r="AF321" i="2"/>
  <c r="AE321" i="2"/>
  <c r="AD321" i="2"/>
  <c r="AC321" i="2"/>
  <c r="AB321" i="2"/>
  <c r="AA321" i="2"/>
  <c r="Z321" i="2"/>
  <c r="Y321" i="2"/>
  <c r="X321" i="2"/>
  <c r="W321" i="2"/>
  <c r="V321" i="2"/>
  <c r="U321" i="2"/>
  <c r="T321" i="2"/>
  <c r="S321" i="2"/>
  <c r="R321" i="2"/>
  <c r="Q321" i="2"/>
  <c r="P321" i="2"/>
  <c r="O321" i="2"/>
  <c r="N321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BF320" i="2"/>
  <c r="BE320" i="2"/>
  <c r="BD320" i="2"/>
  <c r="BC320" i="2"/>
  <c r="BB320" i="2"/>
  <c r="BA320" i="2"/>
  <c r="AZ320" i="2"/>
  <c r="AY320" i="2"/>
  <c r="AX320" i="2"/>
  <c r="AW320" i="2"/>
  <c r="AV320" i="2"/>
  <c r="AU320" i="2"/>
  <c r="AT320" i="2"/>
  <c r="AS320" i="2"/>
  <c r="AR320" i="2"/>
  <c r="AQ320" i="2"/>
  <c r="AP320" i="2"/>
  <c r="AO320" i="2"/>
  <c r="AN320" i="2"/>
  <c r="AM320" i="2"/>
  <c r="AL320" i="2"/>
  <c r="AK320" i="2"/>
  <c r="AJ320" i="2"/>
  <c r="AI320" i="2"/>
  <c r="AH320" i="2"/>
  <c r="AG320" i="2"/>
  <c r="AF320" i="2"/>
  <c r="AE320" i="2"/>
  <c r="AD320" i="2"/>
  <c r="AC320" i="2"/>
  <c r="AB320" i="2"/>
  <c r="AA320" i="2"/>
  <c r="Z320" i="2"/>
  <c r="Y320" i="2"/>
  <c r="X320" i="2"/>
  <c r="W320" i="2"/>
  <c r="V320" i="2"/>
  <c r="U320" i="2"/>
  <c r="T320" i="2"/>
  <c r="S320" i="2"/>
  <c r="R320" i="2"/>
  <c r="Q320" i="2"/>
  <c r="P320" i="2"/>
  <c r="O320" i="2"/>
  <c r="N320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BF319" i="2"/>
  <c r="BE319" i="2"/>
  <c r="BD319" i="2"/>
  <c r="BC319" i="2"/>
  <c r="BB319" i="2"/>
  <c r="BA319" i="2"/>
  <c r="AZ319" i="2"/>
  <c r="AY319" i="2"/>
  <c r="AX319" i="2"/>
  <c r="AW319" i="2"/>
  <c r="AV319" i="2"/>
  <c r="AU319" i="2"/>
  <c r="AT319" i="2"/>
  <c r="AS319" i="2"/>
  <c r="AR319" i="2"/>
  <c r="AQ319" i="2"/>
  <c r="AP319" i="2"/>
  <c r="AO319" i="2"/>
  <c r="AN319" i="2"/>
  <c r="AM319" i="2"/>
  <c r="AL319" i="2"/>
  <c r="AK319" i="2"/>
  <c r="AJ319" i="2"/>
  <c r="AI319" i="2"/>
  <c r="AH319" i="2"/>
  <c r="AG319" i="2"/>
  <c r="AF319" i="2"/>
  <c r="AE319" i="2"/>
  <c r="AD319" i="2"/>
  <c r="AC319" i="2"/>
  <c r="AB319" i="2"/>
  <c r="AA319" i="2"/>
  <c r="Z319" i="2"/>
  <c r="Y319" i="2"/>
  <c r="X319" i="2"/>
  <c r="W319" i="2"/>
  <c r="V319" i="2"/>
  <c r="U319" i="2"/>
  <c r="T319" i="2"/>
  <c r="S319" i="2"/>
  <c r="R319" i="2"/>
  <c r="Q319" i="2"/>
  <c r="P319" i="2"/>
  <c r="O319" i="2"/>
  <c r="N319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BF318" i="2"/>
  <c r="BE318" i="2"/>
  <c r="BD318" i="2"/>
  <c r="BC318" i="2"/>
  <c r="BB318" i="2"/>
  <c r="BA318" i="2"/>
  <c r="AZ318" i="2"/>
  <c r="AY318" i="2"/>
  <c r="AX318" i="2"/>
  <c r="AW318" i="2"/>
  <c r="AV318" i="2"/>
  <c r="AU318" i="2"/>
  <c r="AT318" i="2"/>
  <c r="AS318" i="2"/>
  <c r="AR318" i="2"/>
  <c r="AQ318" i="2"/>
  <c r="AP318" i="2"/>
  <c r="AO318" i="2"/>
  <c r="AN318" i="2"/>
  <c r="AM318" i="2"/>
  <c r="AL318" i="2"/>
  <c r="AK318" i="2"/>
  <c r="AJ318" i="2"/>
  <c r="AI318" i="2"/>
  <c r="AH318" i="2"/>
  <c r="AG318" i="2"/>
  <c r="AF318" i="2"/>
  <c r="AE318" i="2"/>
  <c r="AD318" i="2"/>
  <c r="AC318" i="2"/>
  <c r="AB318" i="2"/>
  <c r="AA318" i="2"/>
  <c r="Z318" i="2"/>
  <c r="Y318" i="2"/>
  <c r="X318" i="2"/>
  <c r="W318" i="2"/>
  <c r="V318" i="2"/>
  <c r="U318" i="2"/>
  <c r="T318" i="2"/>
  <c r="S318" i="2"/>
  <c r="R318" i="2"/>
  <c r="Q318" i="2"/>
  <c r="P318" i="2"/>
  <c r="O318" i="2"/>
  <c r="N318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BF317" i="2"/>
  <c r="BE317" i="2"/>
  <c r="BD317" i="2"/>
  <c r="BC317" i="2"/>
  <c r="BB317" i="2"/>
  <c r="BA317" i="2"/>
  <c r="AZ317" i="2"/>
  <c r="AY317" i="2"/>
  <c r="AX317" i="2"/>
  <c r="AW317" i="2"/>
  <c r="AV317" i="2"/>
  <c r="AU317" i="2"/>
  <c r="AT317" i="2"/>
  <c r="AS317" i="2"/>
  <c r="AR317" i="2"/>
  <c r="AQ317" i="2"/>
  <c r="AP317" i="2"/>
  <c r="AO317" i="2"/>
  <c r="AN317" i="2"/>
  <c r="AM317" i="2"/>
  <c r="AL317" i="2"/>
  <c r="AK317" i="2"/>
  <c r="AJ317" i="2"/>
  <c r="AI317" i="2"/>
  <c r="AH317" i="2"/>
  <c r="AG317" i="2"/>
  <c r="AF317" i="2"/>
  <c r="AE317" i="2"/>
  <c r="AD317" i="2"/>
  <c r="AC317" i="2"/>
  <c r="AB317" i="2"/>
  <c r="AA317" i="2"/>
  <c r="Z317" i="2"/>
  <c r="Y317" i="2"/>
  <c r="X317" i="2"/>
  <c r="W317" i="2"/>
  <c r="V317" i="2"/>
  <c r="U317" i="2"/>
  <c r="T317" i="2"/>
  <c r="S317" i="2"/>
  <c r="R317" i="2"/>
  <c r="Q317" i="2"/>
  <c r="P317" i="2"/>
  <c r="O317" i="2"/>
  <c r="N317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BF316" i="2"/>
  <c r="BE316" i="2"/>
  <c r="BD316" i="2"/>
  <c r="BC316" i="2"/>
  <c r="BB316" i="2"/>
  <c r="BA316" i="2"/>
  <c r="AZ316" i="2"/>
  <c r="AY316" i="2"/>
  <c r="AX316" i="2"/>
  <c r="AW316" i="2"/>
  <c r="AV316" i="2"/>
  <c r="AU316" i="2"/>
  <c r="AT316" i="2"/>
  <c r="AS316" i="2"/>
  <c r="AR316" i="2"/>
  <c r="AQ316" i="2"/>
  <c r="AP316" i="2"/>
  <c r="AO316" i="2"/>
  <c r="AN316" i="2"/>
  <c r="AM316" i="2"/>
  <c r="AL316" i="2"/>
  <c r="AK316" i="2"/>
  <c r="AJ316" i="2"/>
  <c r="AI316" i="2"/>
  <c r="AH316" i="2"/>
  <c r="AG316" i="2"/>
  <c r="AF316" i="2"/>
  <c r="AE316" i="2"/>
  <c r="AD316" i="2"/>
  <c r="AC316" i="2"/>
  <c r="AB316" i="2"/>
  <c r="AA316" i="2"/>
  <c r="Z316" i="2"/>
  <c r="Y316" i="2"/>
  <c r="X316" i="2"/>
  <c r="W316" i="2"/>
  <c r="V316" i="2"/>
  <c r="U316" i="2"/>
  <c r="T316" i="2"/>
  <c r="S316" i="2"/>
  <c r="R316" i="2"/>
  <c r="Q316" i="2"/>
  <c r="P316" i="2"/>
  <c r="O316" i="2"/>
  <c r="N316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BF315" i="2"/>
  <c r="BE315" i="2"/>
  <c r="BD315" i="2"/>
  <c r="BC315" i="2"/>
  <c r="BB315" i="2"/>
  <c r="BA315" i="2"/>
  <c r="AZ315" i="2"/>
  <c r="AY315" i="2"/>
  <c r="AX315" i="2"/>
  <c r="AW315" i="2"/>
  <c r="AV315" i="2"/>
  <c r="AU315" i="2"/>
  <c r="AT315" i="2"/>
  <c r="AS315" i="2"/>
  <c r="AR315" i="2"/>
  <c r="AQ315" i="2"/>
  <c r="AP315" i="2"/>
  <c r="AO315" i="2"/>
  <c r="AN315" i="2"/>
  <c r="AM315" i="2"/>
  <c r="AL315" i="2"/>
  <c r="AK315" i="2"/>
  <c r="AJ315" i="2"/>
  <c r="AI315" i="2"/>
  <c r="AH315" i="2"/>
  <c r="AG315" i="2"/>
  <c r="AF315" i="2"/>
  <c r="AE315" i="2"/>
  <c r="AD315" i="2"/>
  <c r="AC315" i="2"/>
  <c r="AB315" i="2"/>
  <c r="AA315" i="2"/>
  <c r="Z315" i="2"/>
  <c r="Y315" i="2"/>
  <c r="X315" i="2"/>
  <c r="W315" i="2"/>
  <c r="V315" i="2"/>
  <c r="U315" i="2"/>
  <c r="T315" i="2"/>
  <c r="S315" i="2"/>
  <c r="R315" i="2"/>
  <c r="Q315" i="2"/>
  <c r="P315" i="2"/>
  <c r="O315" i="2"/>
  <c r="N315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BF314" i="2"/>
  <c r="BE314" i="2"/>
  <c r="BD314" i="2"/>
  <c r="BC314" i="2"/>
  <c r="BB314" i="2"/>
  <c r="BA314" i="2"/>
  <c r="AZ314" i="2"/>
  <c r="AY314" i="2"/>
  <c r="AX314" i="2"/>
  <c r="AW314" i="2"/>
  <c r="AV314" i="2"/>
  <c r="AU314" i="2"/>
  <c r="AT314" i="2"/>
  <c r="AS314" i="2"/>
  <c r="AR314" i="2"/>
  <c r="AQ314" i="2"/>
  <c r="AP314" i="2"/>
  <c r="AO314" i="2"/>
  <c r="AN314" i="2"/>
  <c r="AM314" i="2"/>
  <c r="AL314" i="2"/>
  <c r="AK314" i="2"/>
  <c r="AJ314" i="2"/>
  <c r="AI314" i="2"/>
  <c r="AH314" i="2"/>
  <c r="AG314" i="2"/>
  <c r="AF314" i="2"/>
  <c r="AE314" i="2"/>
  <c r="AD314" i="2"/>
  <c r="AC314" i="2"/>
  <c r="AB314" i="2"/>
  <c r="AA314" i="2"/>
  <c r="Z314" i="2"/>
  <c r="Y314" i="2"/>
  <c r="X314" i="2"/>
  <c r="W314" i="2"/>
  <c r="V314" i="2"/>
  <c r="U314" i="2"/>
  <c r="T314" i="2"/>
  <c r="S314" i="2"/>
  <c r="R314" i="2"/>
  <c r="Q314" i="2"/>
  <c r="P314" i="2"/>
  <c r="O314" i="2"/>
  <c r="N314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BF313" i="2"/>
  <c r="BE313" i="2"/>
  <c r="BD313" i="2"/>
  <c r="BC313" i="2"/>
  <c r="BB313" i="2"/>
  <c r="BA313" i="2"/>
  <c r="AZ313" i="2"/>
  <c r="AY313" i="2"/>
  <c r="AX313" i="2"/>
  <c r="AW313" i="2"/>
  <c r="AV313" i="2"/>
  <c r="AU313" i="2"/>
  <c r="AT313" i="2"/>
  <c r="AS313" i="2"/>
  <c r="AR313" i="2"/>
  <c r="AQ313" i="2"/>
  <c r="AP313" i="2"/>
  <c r="AO313" i="2"/>
  <c r="AN313" i="2"/>
  <c r="AM313" i="2"/>
  <c r="AL313" i="2"/>
  <c r="AK313" i="2"/>
  <c r="AJ313" i="2"/>
  <c r="AI313" i="2"/>
  <c r="AH313" i="2"/>
  <c r="AG313" i="2"/>
  <c r="AF313" i="2"/>
  <c r="AE313" i="2"/>
  <c r="AD313" i="2"/>
  <c r="AC313" i="2"/>
  <c r="AB313" i="2"/>
  <c r="AA313" i="2"/>
  <c r="Z313" i="2"/>
  <c r="Y313" i="2"/>
  <c r="X313" i="2"/>
  <c r="W313" i="2"/>
  <c r="V313" i="2"/>
  <c r="U313" i="2"/>
  <c r="T313" i="2"/>
  <c r="S313" i="2"/>
  <c r="R313" i="2"/>
  <c r="Q313" i="2"/>
  <c r="P313" i="2"/>
  <c r="O313" i="2"/>
  <c r="N313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BF312" i="2"/>
  <c r="BE312" i="2"/>
  <c r="BD312" i="2"/>
  <c r="BC312" i="2"/>
  <c r="BB312" i="2"/>
  <c r="BA312" i="2"/>
  <c r="AZ312" i="2"/>
  <c r="AY312" i="2"/>
  <c r="AX312" i="2"/>
  <c r="AW312" i="2"/>
  <c r="AV312" i="2"/>
  <c r="AU312" i="2"/>
  <c r="AT312" i="2"/>
  <c r="AS312" i="2"/>
  <c r="AR312" i="2"/>
  <c r="AQ312" i="2"/>
  <c r="AP312" i="2"/>
  <c r="AO312" i="2"/>
  <c r="AN312" i="2"/>
  <c r="AM312" i="2"/>
  <c r="AL312" i="2"/>
  <c r="AK312" i="2"/>
  <c r="AJ312" i="2"/>
  <c r="AI312" i="2"/>
  <c r="AH312" i="2"/>
  <c r="AG312" i="2"/>
  <c r="AF312" i="2"/>
  <c r="AE312" i="2"/>
  <c r="AD312" i="2"/>
  <c r="AC312" i="2"/>
  <c r="AB312" i="2"/>
  <c r="AA312" i="2"/>
  <c r="Z312" i="2"/>
  <c r="Y312" i="2"/>
  <c r="X312" i="2"/>
  <c r="W312" i="2"/>
  <c r="V312" i="2"/>
  <c r="U312" i="2"/>
  <c r="T312" i="2"/>
  <c r="S312" i="2"/>
  <c r="R312" i="2"/>
  <c r="Q312" i="2"/>
  <c r="P312" i="2"/>
  <c r="O312" i="2"/>
  <c r="N312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BF311" i="2"/>
  <c r="BE311" i="2"/>
  <c r="BD311" i="2"/>
  <c r="BC311" i="2"/>
  <c r="BB311" i="2"/>
  <c r="BA311" i="2"/>
  <c r="AZ311" i="2"/>
  <c r="AY311" i="2"/>
  <c r="AX311" i="2"/>
  <c r="AW311" i="2"/>
  <c r="AV311" i="2"/>
  <c r="AU311" i="2"/>
  <c r="AT311" i="2"/>
  <c r="AS311" i="2"/>
  <c r="AR311" i="2"/>
  <c r="AQ311" i="2"/>
  <c r="AP311" i="2"/>
  <c r="AO311" i="2"/>
  <c r="AN311" i="2"/>
  <c r="AM311" i="2"/>
  <c r="AL311" i="2"/>
  <c r="AK311" i="2"/>
  <c r="AJ311" i="2"/>
  <c r="AI311" i="2"/>
  <c r="AH311" i="2"/>
  <c r="AG311" i="2"/>
  <c r="AF311" i="2"/>
  <c r="AE311" i="2"/>
  <c r="AD311" i="2"/>
  <c r="AC311" i="2"/>
  <c r="AB311" i="2"/>
  <c r="AA311" i="2"/>
  <c r="Z311" i="2"/>
  <c r="Y311" i="2"/>
  <c r="X311" i="2"/>
  <c r="W311" i="2"/>
  <c r="V311" i="2"/>
  <c r="U311" i="2"/>
  <c r="T311" i="2"/>
  <c r="S311" i="2"/>
  <c r="R311" i="2"/>
  <c r="Q311" i="2"/>
  <c r="P311" i="2"/>
  <c r="O311" i="2"/>
  <c r="N311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BF310" i="2"/>
  <c r="BE310" i="2"/>
  <c r="BD310" i="2"/>
  <c r="BC310" i="2"/>
  <c r="BB310" i="2"/>
  <c r="BA310" i="2"/>
  <c r="AZ310" i="2"/>
  <c r="AY310" i="2"/>
  <c r="AX310" i="2"/>
  <c r="AW310" i="2"/>
  <c r="AV310" i="2"/>
  <c r="AU310" i="2"/>
  <c r="AT310" i="2"/>
  <c r="AS310" i="2"/>
  <c r="AR310" i="2"/>
  <c r="AQ310" i="2"/>
  <c r="AP310" i="2"/>
  <c r="AO310" i="2"/>
  <c r="AN310" i="2"/>
  <c r="AM310" i="2"/>
  <c r="AL310" i="2"/>
  <c r="AK310" i="2"/>
  <c r="AJ310" i="2"/>
  <c r="AI310" i="2"/>
  <c r="AH310" i="2"/>
  <c r="AG310" i="2"/>
  <c r="AF310" i="2"/>
  <c r="AE310" i="2"/>
  <c r="AD310" i="2"/>
  <c r="AC310" i="2"/>
  <c r="AB310" i="2"/>
  <c r="AA310" i="2"/>
  <c r="Z310" i="2"/>
  <c r="Y310" i="2"/>
  <c r="X310" i="2"/>
  <c r="W310" i="2"/>
  <c r="V310" i="2"/>
  <c r="U310" i="2"/>
  <c r="T310" i="2"/>
  <c r="S310" i="2"/>
  <c r="R310" i="2"/>
  <c r="Q310" i="2"/>
  <c r="P310" i="2"/>
  <c r="O310" i="2"/>
  <c r="N310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BF309" i="2"/>
  <c r="BE309" i="2"/>
  <c r="BD309" i="2"/>
  <c r="BC309" i="2"/>
  <c r="BB309" i="2"/>
  <c r="BA309" i="2"/>
  <c r="AZ309" i="2"/>
  <c r="AY309" i="2"/>
  <c r="AX309" i="2"/>
  <c r="AW309" i="2"/>
  <c r="AV309" i="2"/>
  <c r="AU309" i="2"/>
  <c r="AT309" i="2"/>
  <c r="AS309" i="2"/>
  <c r="AR309" i="2"/>
  <c r="AQ309" i="2"/>
  <c r="AP309" i="2"/>
  <c r="AO309" i="2"/>
  <c r="AN309" i="2"/>
  <c r="AM309" i="2"/>
  <c r="AL309" i="2"/>
  <c r="AK309" i="2"/>
  <c r="AJ309" i="2"/>
  <c r="AI309" i="2"/>
  <c r="AH309" i="2"/>
  <c r="AG309" i="2"/>
  <c r="AF309" i="2"/>
  <c r="AE309" i="2"/>
  <c r="AD309" i="2"/>
  <c r="AC309" i="2"/>
  <c r="AB309" i="2"/>
  <c r="AA309" i="2"/>
  <c r="Z309" i="2"/>
  <c r="Y309" i="2"/>
  <c r="X309" i="2"/>
  <c r="W309" i="2"/>
  <c r="V309" i="2"/>
  <c r="U309" i="2"/>
  <c r="T309" i="2"/>
  <c r="S309" i="2"/>
  <c r="R309" i="2"/>
  <c r="Q309" i="2"/>
  <c r="P309" i="2"/>
  <c r="O309" i="2"/>
  <c r="N309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BF308" i="2"/>
  <c r="BE308" i="2"/>
  <c r="BD308" i="2"/>
  <c r="BC308" i="2"/>
  <c r="BB308" i="2"/>
  <c r="BA308" i="2"/>
  <c r="AZ308" i="2"/>
  <c r="AY308" i="2"/>
  <c r="AX308" i="2"/>
  <c r="AW308" i="2"/>
  <c r="AV308" i="2"/>
  <c r="AU308" i="2"/>
  <c r="AT308" i="2"/>
  <c r="AS308" i="2"/>
  <c r="AR308" i="2"/>
  <c r="AQ308" i="2"/>
  <c r="AP308" i="2"/>
  <c r="AO308" i="2"/>
  <c r="AN308" i="2"/>
  <c r="AM308" i="2"/>
  <c r="AL308" i="2"/>
  <c r="AK308" i="2"/>
  <c r="AJ308" i="2"/>
  <c r="AI308" i="2"/>
  <c r="AH308" i="2"/>
  <c r="AG308" i="2"/>
  <c r="AF308" i="2"/>
  <c r="AE308" i="2"/>
  <c r="AD308" i="2"/>
  <c r="AC308" i="2"/>
  <c r="AB308" i="2"/>
  <c r="AA308" i="2"/>
  <c r="Z308" i="2"/>
  <c r="Y308" i="2"/>
  <c r="X308" i="2"/>
  <c r="W308" i="2"/>
  <c r="V308" i="2"/>
  <c r="U308" i="2"/>
  <c r="T308" i="2"/>
  <c r="S308" i="2"/>
  <c r="R308" i="2"/>
  <c r="Q308" i="2"/>
  <c r="P308" i="2"/>
  <c r="O308" i="2"/>
  <c r="N308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BF181" i="2"/>
  <c r="BE181" i="2"/>
  <c r="BD181" i="2"/>
  <c r="BC181" i="2"/>
  <c r="BB181" i="2"/>
  <c r="BA181" i="2"/>
  <c r="AZ181" i="2"/>
  <c r="AY181" i="2"/>
  <c r="AX181" i="2"/>
  <c r="AW181" i="2"/>
  <c r="AV181" i="2"/>
  <c r="AU181" i="2"/>
  <c r="AT181" i="2"/>
  <c r="AS181" i="2"/>
  <c r="AR181" i="2"/>
  <c r="AQ181" i="2"/>
  <c r="AP181" i="2"/>
  <c r="AO181" i="2"/>
  <c r="AN181" i="2"/>
  <c r="AM181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BF180" i="2"/>
  <c r="BE180" i="2"/>
  <c r="BD180" i="2"/>
  <c r="BC180" i="2"/>
  <c r="BB180" i="2"/>
  <c r="BA180" i="2"/>
  <c r="AZ180" i="2"/>
  <c r="AY180" i="2"/>
  <c r="AX180" i="2"/>
  <c r="AW180" i="2"/>
  <c r="AV180" i="2"/>
  <c r="AU180" i="2"/>
  <c r="AT180" i="2"/>
  <c r="AS180" i="2"/>
  <c r="AR180" i="2"/>
  <c r="AQ180" i="2"/>
  <c r="AP180" i="2"/>
  <c r="AO180" i="2"/>
  <c r="AN180" i="2"/>
  <c r="AM180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BF179" i="2"/>
  <c r="BE179" i="2"/>
  <c r="BD179" i="2"/>
  <c r="BC179" i="2"/>
  <c r="BB179" i="2"/>
  <c r="BA179" i="2"/>
  <c r="AZ179" i="2"/>
  <c r="AY179" i="2"/>
  <c r="AX179" i="2"/>
  <c r="AW179" i="2"/>
  <c r="AV179" i="2"/>
  <c r="AU179" i="2"/>
  <c r="AT179" i="2"/>
  <c r="AS179" i="2"/>
  <c r="AR179" i="2"/>
  <c r="AQ179" i="2"/>
  <c r="AP179" i="2"/>
  <c r="AO179" i="2"/>
  <c r="AN179" i="2"/>
  <c r="AM179" i="2"/>
  <c r="AL179" i="2"/>
  <c r="AK179" i="2"/>
  <c r="AJ179" i="2"/>
  <c r="AI179" i="2"/>
  <c r="AH179" i="2"/>
  <c r="AG179" i="2"/>
  <c r="AF179" i="2"/>
  <c r="AE179" i="2"/>
  <c r="AD179" i="2"/>
  <c r="AC179" i="2"/>
  <c r="AB179" i="2"/>
  <c r="AA179" i="2"/>
  <c r="Z179" i="2"/>
  <c r="Y179" i="2"/>
  <c r="X179" i="2"/>
  <c r="W179" i="2"/>
  <c r="V179" i="2"/>
  <c r="U179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BF178" i="2"/>
  <c r="BE178" i="2"/>
  <c r="BD178" i="2"/>
  <c r="BC178" i="2"/>
  <c r="BB178" i="2"/>
  <c r="BA178" i="2"/>
  <c r="AZ178" i="2"/>
  <c r="AY178" i="2"/>
  <c r="AX178" i="2"/>
  <c r="AW178" i="2"/>
  <c r="AV178" i="2"/>
  <c r="AU178" i="2"/>
  <c r="AT178" i="2"/>
  <c r="AS178" i="2"/>
  <c r="AR178" i="2"/>
  <c r="AQ178" i="2"/>
  <c r="AP178" i="2"/>
  <c r="AO178" i="2"/>
  <c r="AN178" i="2"/>
  <c r="AM178" i="2"/>
  <c r="AL178" i="2"/>
  <c r="AK178" i="2"/>
  <c r="AJ178" i="2"/>
  <c r="AI178" i="2"/>
  <c r="AH178" i="2"/>
  <c r="AG178" i="2"/>
  <c r="AF178" i="2"/>
  <c r="AE178" i="2"/>
  <c r="AD178" i="2"/>
  <c r="AC178" i="2"/>
  <c r="AB178" i="2"/>
  <c r="AA178" i="2"/>
  <c r="Z178" i="2"/>
  <c r="Y178" i="2"/>
  <c r="X178" i="2"/>
  <c r="W178" i="2"/>
  <c r="V178" i="2"/>
  <c r="U178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BF177" i="2"/>
  <c r="BE177" i="2"/>
  <c r="BD177" i="2"/>
  <c r="BC177" i="2"/>
  <c r="BB177" i="2"/>
  <c r="BA177" i="2"/>
  <c r="AZ177" i="2"/>
  <c r="AY177" i="2"/>
  <c r="AX177" i="2"/>
  <c r="AW177" i="2"/>
  <c r="AV177" i="2"/>
  <c r="AU177" i="2"/>
  <c r="AT177" i="2"/>
  <c r="AS177" i="2"/>
  <c r="AR177" i="2"/>
  <c r="AQ177" i="2"/>
  <c r="AP177" i="2"/>
  <c r="AO177" i="2"/>
  <c r="AN177" i="2"/>
  <c r="AM177" i="2"/>
  <c r="AL177" i="2"/>
  <c r="AK177" i="2"/>
  <c r="AJ177" i="2"/>
  <c r="AI177" i="2"/>
  <c r="AH177" i="2"/>
  <c r="AG177" i="2"/>
  <c r="AF177" i="2"/>
  <c r="AE177" i="2"/>
  <c r="AD177" i="2"/>
  <c r="AC177" i="2"/>
  <c r="AB177" i="2"/>
  <c r="AA177" i="2"/>
  <c r="Z177" i="2"/>
  <c r="Y177" i="2"/>
  <c r="X177" i="2"/>
  <c r="W177" i="2"/>
  <c r="V177" i="2"/>
  <c r="U177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BF176" i="2"/>
  <c r="BE176" i="2"/>
  <c r="BD176" i="2"/>
  <c r="BC176" i="2"/>
  <c r="BB176" i="2"/>
  <c r="BA176" i="2"/>
  <c r="AZ176" i="2"/>
  <c r="AY176" i="2"/>
  <c r="AX176" i="2"/>
  <c r="AW176" i="2"/>
  <c r="AV176" i="2"/>
  <c r="AU176" i="2"/>
  <c r="AT176" i="2"/>
  <c r="AS176" i="2"/>
  <c r="AR176" i="2"/>
  <c r="AQ176" i="2"/>
  <c r="AP176" i="2"/>
  <c r="AO176" i="2"/>
  <c r="AN176" i="2"/>
  <c r="AM176" i="2"/>
  <c r="AL176" i="2"/>
  <c r="AK176" i="2"/>
  <c r="AJ176" i="2"/>
  <c r="AI176" i="2"/>
  <c r="AH176" i="2"/>
  <c r="AG176" i="2"/>
  <c r="AF176" i="2"/>
  <c r="AE176" i="2"/>
  <c r="AD176" i="2"/>
  <c r="AC176" i="2"/>
  <c r="AB176" i="2"/>
  <c r="AA176" i="2"/>
  <c r="Z176" i="2"/>
  <c r="Y176" i="2"/>
  <c r="X176" i="2"/>
  <c r="W176" i="2"/>
  <c r="V176" i="2"/>
  <c r="U176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H176" i="2"/>
  <c r="G176" i="2"/>
  <c r="F176" i="2"/>
  <c r="E176" i="2"/>
  <c r="D176" i="2"/>
  <c r="C176" i="2"/>
  <c r="BF175" i="2"/>
  <c r="BE175" i="2"/>
  <c r="BD175" i="2"/>
  <c r="BC175" i="2"/>
  <c r="BB175" i="2"/>
  <c r="BA175" i="2"/>
  <c r="AZ175" i="2"/>
  <c r="AY175" i="2"/>
  <c r="AX175" i="2"/>
  <c r="AW175" i="2"/>
  <c r="AV175" i="2"/>
  <c r="AU175" i="2"/>
  <c r="AT175" i="2"/>
  <c r="AS175" i="2"/>
  <c r="AR175" i="2"/>
  <c r="AQ175" i="2"/>
  <c r="AP175" i="2"/>
  <c r="AO175" i="2"/>
  <c r="AN175" i="2"/>
  <c r="AM175" i="2"/>
  <c r="AL175" i="2"/>
  <c r="AK175" i="2"/>
  <c r="AJ175" i="2"/>
  <c r="AI175" i="2"/>
  <c r="AH175" i="2"/>
  <c r="AG175" i="2"/>
  <c r="AF175" i="2"/>
  <c r="AE175" i="2"/>
  <c r="AD175" i="2"/>
  <c r="AC175" i="2"/>
  <c r="AB175" i="2"/>
  <c r="AA175" i="2"/>
  <c r="Z175" i="2"/>
  <c r="Y175" i="2"/>
  <c r="X175" i="2"/>
  <c r="W175" i="2"/>
  <c r="V175" i="2"/>
  <c r="U175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G175" i="2"/>
  <c r="F175" i="2"/>
  <c r="E175" i="2"/>
  <c r="D175" i="2"/>
  <c r="C175" i="2"/>
  <c r="BF174" i="2"/>
  <c r="BE174" i="2"/>
  <c r="BD174" i="2"/>
  <c r="BC174" i="2"/>
  <c r="BB174" i="2"/>
  <c r="BA174" i="2"/>
  <c r="AZ174" i="2"/>
  <c r="AY174" i="2"/>
  <c r="AX174" i="2"/>
  <c r="AW174" i="2"/>
  <c r="AV174" i="2"/>
  <c r="AU174" i="2"/>
  <c r="AT174" i="2"/>
  <c r="AS174" i="2"/>
  <c r="AR174" i="2"/>
  <c r="AQ174" i="2"/>
  <c r="AP174" i="2"/>
  <c r="AO174" i="2"/>
  <c r="AN174" i="2"/>
  <c r="AM174" i="2"/>
  <c r="AL174" i="2"/>
  <c r="AK174" i="2"/>
  <c r="AJ174" i="2"/>
  <c r="AI174" i="2"/>
  <c r="AH174" i="2"/>
  <c r="AG174" i="2"/>
  <c r="AF174" i="2"/>
  <c r="AE174" i="2"/>
  <c r="AD174" i="2"/>
  <c r="AC174" i="2"/>
  <c r="AB174" i="2"/>
  <c r="AA174" i="2"/>
  <c r="Z174" i="2"/>
  <c r="Y174" i="2"/>
  <c r="X174" i="2"/>
  <c r="W174" i="2"/>
  <c r="V174" i="2"/>
  <c r="U174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BF171" i="2"/>
  <c r="BE171" i="2"/>
  <c r="BD171" i="2"/>
  <c r="BC171" i="2"/>
  <c r="BB171" i="2"/>
  <c r="BA171" i="2"/>
  <c r="AZ171" i="2"/>
  <c r="AY171" i="2"/>
  <c r="AX171" i="2"/>
  <c r="AW171" i="2"/>
  <c r="AV171" i="2"/>
  <c r="AU171" i="2"/>
  <c r="AT171" i="2"/>
  <c r="AS171" i="2"/>
  <c r="AR171" i="2"/>
  <c r="AQ171" i="2"/>
  <c r="AP171" i="2"/>
  <c r="AO171" i="2"/>
  <c r="AN171" i="2"/>
  <c r="AM171" i="2"/>
  <c r="AL171" i="2"/>
  <c r="AK171" i="2"/>
  <c r="AJ171" i="2"/>
  <c r="AI171" i="2"/>
  <c r="AH171" i="2"/>
  <c r="AG171" i="2"/>
  <c r="AF171" i="2"/>
  <c r="AE171" i="2"/>
  <c r="AD171" i="2"/>
  <c r="AC171" i="2"/>
  <c r="AB171" i="2"/>
  <c r="AA171" i="2"/>
  <c r="Z171" i="2"/>
  <c r="Y171" i="2"/>
  <c r="X171" i="2"/>
  <c r="W171" i="2"/>
  <c r="V171" i="2"/>
  <c r="U171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BF170" i="2"/>
  <c r="BE170" i="2"/>
  <c r="BD170" i="2"/>
  <c r="BC170" i="2"/>
  <c r="BB170" i="2"/>
  <c r="BA170" i="2"/>
  <c r="AZ170" i="2"/>
  <c r="AY170" i="2"/>
  <c r="AX170" i="2"/>
  <c r="AW170" i="2"/>
  <c r="AV170" i="2"/>
  <c r="AU170" i="2"/>
  <c r="AT170" i="2"/>
  <c r="AS170" i="2"/>
  <c r="AR170" i="2"/>
  <c r="AQ170" i="2"/>
  <c r="AP170" i="2"/>
  <c r="AO170" i="2"/>
  <c r="AN170" i="2"/>
  <c r="AM170" i="2"/>
  <c r="AL170" i="2"/>
  <c r="AK170" i="2"/>
  <c r="AJ170" i="2"/>
  <c r="AI170" i="2"/>
  <c r="AH170" i="2"/>
  <c r="AG170" i="2"/>
  <c r="AF170" i="2"/>
  <c r="AE170" i="2"/>
  <c r="AD170" i="2"/>
  <c r="AC170" i="2"/>
  <c r="AB170" i="2"/>
  <c r="AA170" i="2"/>
  <c r="Z170" i="2"/>
  <c r="Y170" i="2"/>
  <c r="X170" i="2"/>
  <c r="W170" i="2"/>
  <c r="V170" i="2"/>
  <c r="U170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BF169" i="2"/>
  <c r="BE169" i="2"/>
  <c r="BD169" i="2"/>
  <c r="BC169" i="2"/>
  <c r="BB169" i="2"/>
  <c r="BA169" i="2"/>
  <c r="AZ169" i="2"/>
  <c r="AY169" i="2"/>
  <c r="AX169" i="2"/>
  <c r="AW169" i="2"/>
  <c r="AV169" i="2"/>
  <c r="AU169" i="2"/>
  <c r="AT169" i="2"/>
  <c r="AS169" i="2"/>
  <c r="AR169" i="2"/>
  <c r="AQ169" i="2"/>
  <c r="AP169" i="2"/>
  <c r="AO169" i="2"/>
  <c r="AN169" i="2"/>
  <c r="AM169" i="2"/>
  <c r="AL169" i="2"/>
  <c r="AK169" i="2"/>
  <c r="AJ169" i="2"/>
  <c r="AI169" i="2"/>
  <c r="AH169" i="2"/>
  <c r="AG169" i="2"/>
  <c r="AF169" i="2"/>
  <c r="AE169" i="2"/>
  <c r="AD169" i="2"/>
  <c r="AC169" i="2"/>
  <c r="AB169" i="2"/>
  <c r="AA169" i="2"/>
  <c r="Z169" i="2"/>
  <c r="Y169" i="2"/>
  <c r="X169" i="2"/>
  <c r="W169" i="2"/>
  <c r="V169" i="2"/>
  <c r="U169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BF168" i="2"/>
  <c r="BE168" i="2"/>
  <c r="BD168" i="2"/>
  <c r="BC168" i="2"/>
  <c r="BB168" i="2"/>
  <c r="BA168" i="2"/>
  <c r="AZ168" i="2"/>
  <c r="AY168" i="2"/>
  <c r="AX168" i="2"/>
  <c r="AW168" i="2"/>
  <c r="AV168" i="2"/>
  <c r="AU168" i="2"/>
  <c r="AT168" i="2"/>
  <c r="AS168" i="2"/>
  <c r="AR168" i="2"/>
  <c r="AQ168" i="2"/>
  <c r="AP168" i="2"/>
  <c r="AO168" i="2"/>
  <c r="AN168" i="2"/>
  <c r="AM168" i="2"/>
  <c r="AL168" i="2"/>
  <c r="AK168" i="2"/>
  <c r="AJ168" i="2"/>
  <c r="AI168" i="2"/>
  <c r="AH168" i="2"/>
  <c r="AG168" i="2"/>
  <c r="AF168" i="2"/>
  <c r="AE168" i="2"/>
  <c r="AD168" i="2"/>
  <c r="AC168" i="2"/>
  <c r="AB168" i="2"/>
  <c r="AA168" i="2"/>
  <c r="Z168" i="2"/>
  <c r="Y168" i="2"/>
  <c r="X168" i="2"/>
  <c r="W168" i="2"/>
  <c r="V168" i="2"/>
  <c r="U168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G168" i="2"/>
  <c r="F168" i="2"/>
  <c r="E168" i="2"/>
  <c r="D168" i="2"/>
  <c r="C168" i="2"/>
  <c r="BF167" i="2"/>
  <c r="BE167" i="2"/>
  <c r="BD167" i="2"/>
  <c r="BC167" i="2"/>
  <c r="BB167" i="2"/>
  <c r="BA167" i="2"/>
  <c r="AZ167" i="2"/>
  <c r="AY167" i="2"/>
  <c r="AX167" i="2"/>
  <c r="AW167" i="2"/>
  <c r="AV167" i="2"/>
  <c r="AU167" i="2"/>
  <c r="AT167" i="2"/>
  <c r="AS167" i="2"/>
  <c r="AR167" i="2"/>
  <c r="AQ167" i="2"/>
  <c r="AP167" i="2"/>
  <c r="AO167" i="2"/>
  <c r="AN167" i="2"/>
  <c r="AM167" i="2"/>
  <c r="AL167" i="2"/>
  <c r="AK167" i="2"/>
  <c r="AJ167" i="2"/>
  <c r="AI167" i="2"/>
  <c r="AH167" i="2"/>
  <c r="AG167" i="2"/>
  <c r="AF167" i="2"/>
  <c r="AE167" i="2"/>
  <c r="AD167" i="2"/>
  <c r="AC167" i="2"/>
  <c r="AB167" i="2"/>
  <c r="AA167" i="2"/>
  <c r="Z167" i="2"/>
  <c r="Y167" i="2"/>
  <c r="X167" i="2"/>
  <c r="W167" i="2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BF166" i="2"/>
  <c r="BE166" i="2"/>
  <c r="BD166" i="2"/>
  <c r="BC166" i="2"/>
  <c r="BB166" i="2"/>
  <c r="BA166" i="2"/>
  <c r="AZ166" i="2"/>
  <c r="AY166" i="2"/>
  <c r="AX166" i="2"/>
  <c r="AW166" i="2"/>
  <c r="AV166" i="2"/>
  <c r="AU166" i="2"/>
  <c r="AT166" i="2"/>
  <c r="AS166" i="2"/>
  <c r="AR166" i="2"/>
  <c r="AQ166" i="2"/>
  <c r="AP166" i="2"/>
  <c r="AO166" i="2"/>
  <c r="AN166" i="2"/>
  <c r="AM166" i="2"/>
  <c r="AL166" i="2"/>
  <c r="AK166" i="2"/>
  <c r="AJ166" i="2"/>
  <c r="AI166" i="2"/>
  <c r="AH166" i="2"/>
  <c r="AG166" i="2"/>
  <c r="AF166" i="2"/>
  <c r="AE166" i="2"/>
  <c r="AD166" i="2"/>
  <c r="AC166" i="2"/>
  <c r="AB166" i="2"/>
  <c r="AA166" i="2"/>
  <c r="Z166" i="2"/>
  <c r="Y166" i="2"/>
  <c r="X166" i="2"/>
  <c r="W166" i="2"/>
  <c r="V166" i="2"/>
  <c r="U166" i="2"/>
  <c r="T166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G166" i="2"/>
  <c r="F166" i="2"/>
  <c r="E166" i="2"/>
  <c r="D166" i="2"/>
  <c r="C166" i="2"/>
  <c r="BF165" i="2"/>
  <c r="BE165" i="2"/>
  <c r="BD165" i="2"/>
  <c r="BC165" i="2"/>
  <c r="BB165" i="2"/>
  <c r="BA165" i="2"/>
  <c r="AZ165" i="2"/>
  <c r="AY165" i="2"/>
  <c r="AX165" i="2"/>
  <c r="AW165" i="2"/>
  <c r="AV165" i="2"/>
  <c r="AU165" i="2"/>
  <c r="AT165" i="2"/>
  <c r="AS165" i="2"/>
  <c r="AR165" i="2"/>
  <c r="AQ165" i="2"/>
  <c r="AP165" i="2"/>
  <c r="AO165" i="2"/>
  <c r="AN165" i="2"/>
  <c r="AM165" i="2"/>
  <c r="AL165" i="2"/>
  <c r="AK165" i="2"/>
  <c r="AJ165" i="2"/>
  <c r="AI165" i="2"/>
  <c r="AH165" i="2"/>
  <c r="AG165" i="2"/>
  <c r="AF165" i="2"/>
  <c r="AE165" i="2"/>
  <c r="AD165" i="2"/>
  <c r="AC165" i="2"/>
  <c r="AB165" i="2"/>
  <c r="AA165" i="2"/>
  <c r="Z165" i="2"/>
  <c r="Y165" i="2"/>
  <c r="X165" i="2"/>
  <c r="W165" i="2"/>
  <c r="V165" i="2"/>
  <c r="U165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G165" i="2"/>
  <c r="F165" i="2"/>
  <c r="E165" i="2"/>
  <c r="D165" i="2"/>
  <c r="C165" i="2"/>
  <c r="BF164" i="2"/>
  <c r="BE164" i="2"/>
  <c r="BD164" i="2"/>
  <c r="BC164" i="2"/>
  <c r="BB164" i="2"/>
  <c r="BA164" i="2"/>
  <c r="AZ164" i="2"/>
  <c r="AY164" i="2"/>
  <c r="AX164" i="2"/>
  <c r="AW164" i="2"/>
  <c r="AV164" i="2"/>
  <c r="AU164" i="2"/>
  <c r="AT164" i="2"/>
  <c r="AS164" i="2"/>
  <c r="AR164" i="2"/>
  <c r="AQ164" i="2"/>
  <c r="AP164" i="2"/>
  <c r="AO164" i="2"/>
  <c r="AN164" i="2"/>
  <c r="AM164" i="2"/>
  <c r="AL164" i="2"/>
  <c r="AK164" i="2"/>
  <c r="AJ164" i="2"/>
  <c r="AI164" i="2"/>
  <c r="AH164" i="2"/>
  <c r="AG164" i="2"/>
  <c r="AF164" i="2"/>
  <c r="AE164" i="2"/>
  <c r="AD164" i="2"/>
  <c r="AC164" i="2"/>
  <c r="AB164" i="2"/>
  <c r="AA164" i="2"/>
  <c r="Z164" i="2"/>
  <c r="Y164" i="2"/>
  <c r="X164" i="2"/>
  <c r="W164" i="2"/>
  <c r="V164" i="2"/>
  <c r="U164" i="2"/>
  <c r="T164" i="2"/>
  <c r="S164" i="2"/>
  <c r="R164" i="2"/>
  <c r="Q164" i="2"/>
  <c r="P164" i="2"/>
  <c r="O164" i="2"/>
  <c r="N164" i="2"/>
  <c r="M164" i="2"/>
  <c r="L164" i="2"/>
  <c r="K164" i="2"/>
  <c r="J164" i="2"/>
  <c r="I164" i="2"/>
  <c r="H164" i="2"/>
  <c r="G164" i="2"/>
  <c r="F164" i="2"/>
  <c r="E164" i="2"/>
  <c r="D164" i="2"/>
  <c r="C164" i="2"/>
  <c r="BF143" i="2"/>
  <c r="BE143" i="2"/>
  <c r="BD143" i="2"/>
  <c r="BC143" i="2"/>
  <c r="BB143" i="2"/>
  <c r="BA143" i="2"/>
  <c r="AZ143" i="2"/>
  <c r="AY143" i="2"/>
  <c r="AX143" i="2"/>
  <c r="AW143" i="2"/>
  <c r="AV143" i="2"/>
  <c r="AU143" i="2"/>
  <c r="AT143" i="2"/>
  <c r="AS143" i="2"/>
  <c r="AR143" i="2"/>
  <c r="AQ143" i="2"/>
  <c r="AP143" i="2"/>
  <c r="AO143" i="2"/>
  <c r="AN143" i="2"/>
  <c r="AM143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BF142" i="2"/>
  <c r="BE142" i="2"/>
  <c r="BD142" i="2"/>
  <c r="BC142" i="2"/>
  <c r="BB142" i="2"/>
  <c r="BA142" i="2"/>
  <c r="AZ142" i="2"/>
  <c r="AY142" i="2"/>
  <c r="AX142" i="2"/>
  <c r="AW142" i="2"/>
  <c r="AV142" i="2"/>
  <c r="AU142" i="2"/>
  <c r="AT142" i="2"/>
  <c r="AS142" i="2"/>
  <c r="AR142" i="2"/>
  <c r="AQ142" i="2"/>
  <c r="AP142" i="2"/>
  <c r="AO142" i="2"/>
  <c r="AN142" i="2"/>
  <c r="AM142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BF141" i="2"/>
  <c r="BE141" i="2"/>
  <c r="BD141" i="2"/>
  <c r="BC141" i="2"/>
  <c r="BB141" i="2"/>
  <c r="BA141" i="2"/>
  <c r="AZ141" i="2"/>
  <c r="AY141" i="2"/>
  <c r="AX141" i="2"/>
  <c r="AW141" i="2"/>
  <c r="AV141" i="2"/>
  <c r="AU141" i="2"/>
  <c r="AT141" i="2"/>
  <c r="AS141" i="2"/>
  <c r="AR141" i="2"/>
  <c r="AQ141" i="2"/>
  <c r="AP141" i="2"/>
  <c r="AO141" i="2"/>
  <c r="AN141" i="2"/>
  <c r="AM141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BF140" i="2"/>
  <c r="BE140" i="2"/>
  <c r="BD140" i="2"/>
  <c r="BC140" i="2"/>
  <c r="BB140" i="2"/>
  <c r="BA140" i="2"/>
  <c r="AZ140" i="2"/>
  <c r="AY140" i="2"/>
  <c r="AX140" i="2"/>
  <c r="AW140" i="2"/>
  <c r="AV140" i="2"/>
  <c r="AU140" i="2"/>
  <c r="AT140" i="2"/>
  <c r="AS140" i="2"/>
  <c r="AR140" i="2"/>
  <c r="AQ140" i="2"/>
  <c r="AP140" i="2"/>
  <c r="AO140" i="2"/>
  <c r="AN140" i="2"/>
  <c r="AM140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BF139" i="2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BF138" i="2"/>
  <c r="BE138" i="2"/>
  <c r="BD138" i="2"/>
  <c r="BC138" i="2"/>
  <c r="BB138" i="2"/>
  <c r="BA138" i="2"/>
  <c r="AZ138" i="2"/>
  <c r="AY138" i="2"/>
  <c r="AX138" i="2"/>
  <c r="AW138" i="2"/>
  <c r="AV138" i="2"/>
  <c r="AU138" i="2"/>
  <c r="AT138" i="2"/>
  <c r="AS138" i="2"/>
  <c r="AR138" i="2"/>
  <c r="AQ138" i="2"/>
  <c r="AP138" i="2"/>
  <c r="AO138" i="2"/>
  <c r="AN138" i="2"/>
  <c r="AM138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BF137" i="2"/>
  <c r="BE137" i="2"/>
  <c r="BD137" i="2"/>
  <c r="BC137" i="2"/>
  <c r="BB137" i="2"/>
  <c r="BA137" i="2"/>
  <c r="AZ137" i="2"/>
  <c r="AY137" i="2"/>
  <c r="AX137" i="2"/>
  <c r="AW137" i="2"/>
  <c r="AV137" i="2"/>
  <c r="AU137" i="2"/>
  <c r="AT137" i="2"/>
  <c r="AS137" i="2"/>
  <c r="AR137" i="2"/>
  <c r="AQ137" i="2"/>
  <c r="AP137" i="2"/>
  <c r="AO137" i="2"/>
  <c r="AN137" i="2"/>
  <c r="AM137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BF136" i="2"/>
  <c r="BE136" i="2"/>
  <c r="BD136" i="2"/>
  <c r="BC136" i="2"/>
  <c r="BB136" i="2"/>
  <c r="BA136" i="2"/>
  <c r="AZ136" i="2"/>
  <c r="AY136" i="2"/>
  <c r="AX136" i="2"/>
  <c r="AW136" i="2"/>
  <c r="AV136" i="2"/>
  <c r="AU136" i="2"/>
  <c r="AT136" i="2"/>
  <c r="AS136" i="2"/>
  <c r="AR136" i="2"/>
  <c r="AQ136" i="2"/>
  <c r="AP136" i="2"/>
  <c r="AO136" i="2"/>
  <c r="AN136" i="2"/>
  <c r="AM136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BF132" i="2"/>
  <c r="BE132" i="2"/>
  <c r="BD132" i="2"/>
  <c r="BC132" i="2"/>
  <c r="BB132" i="2"/>
  <c r="BA132" i="2"/>
  <c r="AZ132" i="2"/>
  <c r="AY132" i="2"/>
  <c r="AX132" i="2"/>
  <c r="AW132" i="2"/>
  <c r="AV132" i="2"/>
  <c r="AU132" i="2"/>
  <c r="AT132" i="2"/>
  <c r="AS132" i="2"/>
  <c r="AR132" i="2"/>
  <c r="AQ132" i="2"/>
  <c r="AP132" i="2"/>
  <c r="AO132" i="2"/>
  <c r="AN132" i="2"/>
  <c r="AM132" i="2"/>
  <c r="AL132" i="2"/>
  <c r="AK132" i="2"/>
  <c r="AJ132" i="2"/>
  <c r="AI132" i="2"/>
  <c r="AH132" i="2"/>
  <c r="AG132" i="2"/>
  <c r="AF132" i="2"/>
  <c r="AE132" i="2"/>
  <c r="AD132" i="2"/>
  <c r="AC132" i="2"/>
  <c r="AB132" i="2"/>
  <c r="AA132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F131" i="2"/>
  <c r="BE131" i="2"/>
  <c r="BD131" i="2"/>
  <c r="BC131" i="2"/>
  <c r="BB131" i="2"/>
  <c r="BA131" i="2"/>
  <c r="AZ131" i="2"/>
  <c r="AY131" i="2"/>
  <c r="AX131" i="2"/>
  <c r="AW131" i="2"/>
  <c r="AV131" i="2"/>
  <c r="AU131" i="2"/>
  <c r="AT131" i="2"/>
  <c r="AS131" i="2"/>
  <c r="AR131" i="2"/>
  <c r="AQ131" i="2"/>
  <c r="AP131" i="2"/>
  <c r="AO131" i="2"/>
  <c r="AN131" i="2"/>
  <c r="AM131" i="2"/>
  <c r="AL131" i="2"/>
  <c r="AK131" i="2"/>
  <c r="AJ131" i="2"/>
  <c r="AI131" i="2"/>
  <c r="AH131" i="2"/>
  <c r="AG131" i="2"/>
  <c r="AF131" i="2"/>
  <c r="AE131" i="2"/>
  <c r="AD131" i="2"/>
  <c r="AC131" i="2"/>
  <c r="AB131" i="2"/>
  <c r="AA131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BF130" i="2"/>
  <c r="BE130" i="2"/>
  <c r="BD130" i="2"/>
  <c r="BC130" i="2"/>
  <c r="BB130" i="2"/>
  <c r="BA130" i="2"/>
  <c r="AZ130" i="2"/>
  <c r="AY130" i="2"/>
  <c r="AX130" i="2"/>
  <c r="AW130" i="2"/>
  <c r="AV130" i="2"/>
  <c r="AU130" i="2"/>
  <c r="AT130" i="2"/>
  <c r="AS130" i="2"/>
  <c r="AR130" i="2"/>
  <c r="AQ130" i="2"/>
  <c r="AP130" i="2"/>
  <c r="AO130" i="2"/>
  <c r="AN130" i="2"/>
  <c r="AM130" i="2"/>
  <c r="AL130" i="2"/>
  <c r="AK130" i="2"/>
  <c r="AJ130" i="2"/>
  <c r="AI130" i="2"/>
  <c r="AH130" i="2"/>
  <c r="AG130" i="2"/>
  <c r="AF130" i="2"/>
  <c r="AE130" i="2"/>
  <c r="AD130" i="2"/>
  <c r="AC130" i="2"/>
  <c r="AB130" i="2"/>
  <c r="AA130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BF129" i="2"/>
  <c r="BE129" i="2"/>
  <c r="BD129" i="2"/>
  <c r="BC129" i="2"/>
  <c r="BB129" i="2"/>
  <c r="BA129" i="2"/>
  <c r="AZ129" i="2"/>
  <c r="AY129" i="2"/>
  <c r="AX129" i="2"/>
  <c r="AW129" i="2"/>
  <c r="AV129" i="2"/>
  <c r="AU129" i="2"/>
  <c r="AT129" i="2"/>
  <c r="AS129" i="2"/>
  <c r="AR129" i="2"/>
  <c r="AQ129" i="2"/>
  <c r="AP129" i="2"/>
  <c r="AO129" i="2"/>
  <c r="AN129" i="2"/>
  <c r="AM129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BF128" i="2"/>
  <c r="BE128" i="2"/>
  <c r="BD128" i="2"/>
  <c r="BC128" i="2"/>
  <c r="BB128" i="2"/>
  <c r="BA128" i="2"/>
  <c r="AZ128" i="2"/>
  <c r="AY128" i="2"/>
  <c r="AX128" i="2"/>
  <c r="AW128" i="2"/>
  <c r="AV128" i="2"/>
  <c r="AU128" i="2"/>
  <c r="AT128" i="2"/>
  <c r="AS128" i="2"/>
  <c r="AR128" i="2"/>
  <c r="AQ128" i="2"/>
  <c r="AP128" i="2"/>
  <c r="AO128" i="2"/>
  <c r="AN128" i="2"/>
  <c r="AM128" i="2"/>
  <c r="AL128" i="2"/>
  <c r="AK128" i="2"/>
  <c r="AJ128" i="2"/>
  <c r="AI128" i="2"/>
  <c r="AH128" i="2"/>
  <c r="AG128" i="2"/>
  <c r="AF128" i="2"/>
  <c r="AE128" i="2"/>
  <c r="AD128" i="2"/>
  <c r="AC128" i="2"/>
  <c r="AB128" i="2"/>
  <c r="AA128" i="2"/>
  <c r="Z128" i="2"/>
  <c r="Y128" i="2"/>
  <c r="X128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BF127" i="2"/>
  <c r="BE127" i="2"/>
  <c r="BD127" i="2"/>
  <c r="BC127" i="2"/>
  <c r="BB127" i="2"/>
  <c r="BA127" i="2"/>
  <c r="AZ127" i="2"/>
  <c r="AY127" i="2"/>
  <c r="AX127" i="2"/>
  <c r="AW127" i="2"/>
  <c r="AV127" i="2"/>
  <c r="AU127" i="2"/>
  <c r="AT127" i="2"/>
  <c r="AS127" i="2"/>
  <c r="AR127" i="2"/>
  <c r="AQ127" i="2"/>
  <c r="AP127" i="2"/>
  <c r="AO127" i="2"/>
  <c r="AN127" i="2"/>
  <c r="AM127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X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BF126" i="2"/>
  <c r="BE126" i="2"/>
  <c r="BD126" i="2"/>
  <c r="BC126" i="2"/>
  <c r="BB126" i="2"/>
  <c r="BA126" i="2"/>
  <c r="AZ126" i="2"/>
  <c r="AY126" i="2"/>
  <c r="AX126" i="2"/>
  <c r="AW126" i="2"/>
  <c r="AV126" i="2"/>
  <c r="AU126" i="2"/>
  <c r="AT126" i="2"/>
  <c r="AS126" i="2"/>
  <c r="AR126" i="2"/>
  <c r="AQ126" i="2"/>
  <c r="AP126" i="2"/>
  <c r="AO126" i="2"/>
  <c r="AN126" i="2"/>
  <c r="AM126" i="2"/>
  <c r="AL126" i="2"/>
  <c r="AK126" i="2"/>
  <c r="AJ126" i="2"/>
  <c r="AI126" i="2"/>
  <c r="AH126" i="2"/>
  <c r="AG126" i="2"/>
  <c r="AF126" i="2"/>
  <c r="AE126" i="2"/>
  <c r="AD126" i="2"/>
  <c r="AC126" i="2"/>
  <c r="AB126" i="2"/>
  <c r="AA126" i="2"/>
  <c r="Z126" i="2"/>
  <c r="Y126" i="2"/>
  <c r="X126" i="2"/>
  <c r="W126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BF125" i="2"/>
  <c r="BE125" i="2"/>
  <c r="BD125" i="2"/>
  <c r="BC125" i="2"/>
  <c r="BB125" i="2"/>
  <c r="BA125" i="2"/>
  <c r="AZ125" i="2"/>
  <c r="AY125" i="2"/>
  <c r="AX125" i="2"/>
  <c r="AW125" i="2"/>
  <c r="AV125" i="2"/>
  <c r="AU125" i="2"/>
  <c r="AT125" i="2"/>
  <c r="AS125" i="2"/>
  <c r="AR125" i="2"/>
  <c r="AQ125" i="2"/>
  <c r="AP125" i="2"/>
  <c r="AO125" i="2"/>
  <c r="AN125" i="2"/>
  <c r="AM125" i="2"/>
  <c r="AL125" i="2"/>
  <c r="AK125" i="2"/>
  <c r="AJ125" i="2"/>
  <c r="AI125" i="2"/>
  <c r="AH125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BF416" i="2"/>
  <c r="BE416" i="2"/>
  <c r="BD416" i="2"/>
  <c r="BC416" i="2"/>
  <c r="BB416" i="2"/>
  <c r="BA416" i="2"/>
  <c r="AZ416" i="2"/>
  <c r="AY416" i="2"/>
  <c r="AX416" i="2"/>
  <c r="AW416" i="2"/>
  <c r="AV416" i="2"/>
  <c r="AU416" i="2"/>
  <c r="AT416" i="2"/>
  <c r="AS416" i="2"/>
  <c r="AR416" i="2"/>
  <c r="AQ416" i="2"/>
  <c r="AP416" i="2"/>
  <c r="AO416" i="2"/>
  <c r="AN416" i="2"/>
  <c r="AM416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BF415" i="2"/>
  <c r="BE415" i="2"/>
  <c r="BD415" i="2"/>
  <c r="BC415" i="2"/>
  <c r="BB415" i="2"/>
  <c r="BA415" i="2"/>
  <c r="AZ415" i="2"/>
  <c r="AY415" i="2"/>
  <c r="AX415" i="2"/>
  <c r="AW415" i="2"/>
  <c r="AV415" i="2"/>
  <c r="AU415" i="2"/>
  <c r="AT415" i="2"/>
  <c r="AS415" i="2"/>
  <c r="AR415" i="2"/>
  <c r="AQ415" i="2"/>
  <c r="AP415" i="2"/>
  <c r="AO415" i="2"/>
  <c r="AN415" i="2"/>
  <c r="AM415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BF414" i="2"/>
  <c r="BE414" i="2"/>
  <c r="BD414" i="2"/>
  <c r="BC414" i="2"/>
  <c r="BB414" i="2"/>
  <c r="BA414" i="2"/>
  <c r="AZ414" i="2"/>
  <c r="AY414" i="2"/>
  <c r="AX414" i="2"/>
  <c r="AW414" i="2"/>
  <c r="AV414" i="2"/>
  <c r="AU414" i="2"/>
  <c r="AT414" i="2"/>
  <c r="AS414" i="2"/>
  <c r="AR414" i="2"/>
  <c r="AQ414" i="2"/>
  <c r="AP414" i="2"/>
  <c r="AO414" i="2"/>
  <c r="AN414" i="2"/>
  <c r="AM414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BF413" i="2"/>
  <c r="BE413" i="2"/>
  <c r="BD413" i="2"/>
  <c r="BC413" i="2"/>
  <c r="BB413" i="2"/>
  <c r="BA413" i="2"/>
  <c r="AZ413" i="2"/>
  <c r="AY413" i="2"/>
  <c r="AX413" i="2"/>
  <c r="AW413" i="2"/>
  <c r="AV413" i="2"/>
  <c r="AU413" i="2"/>
  <c r="AT413" i="2"/>
  <c r="AS413" i="2"/>
  <c r="AR413" i="2"/>
  <c r="AQ413" i="2"/>
  <c r="AP413" i="2"/>
  <c r="AO413" i="2"/>
  <c r="AN413" i="2"/>
  <c r="AM413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BF412" i="2"/>
  <c r="BE412" i="2"/>
  <c r="BD412" i="2"/>
  <c r="BC412" i="2"/>
  <c r="BB412" i="2"/>
  <c r="BA412" i="2"/>
  <c r="AZ412" i="2"/>
  <c r="AY412" i="2"/>
  <c r="AX412" i="2"/>
  <c r="AW412" i="2"/>
  <c r="AV412" i="2"/>
  <c r="AU412" i="2"/>
  <c r="AT412" i="2"/>
  <c r="AS412" i="2"/>
  <c r="AR412" i="2"/>
  <c r="AQ412" i="2"/>
  <c r="AP412" i="2"/>
  <c r="AO412" i="2"/>
  <c r="AN412" i="2"/>
  <c r="AM412" i="2"/>
  <c r="AL412" i="2"/>
  <c r="AK412" i="2"/>
  <c r="AJ412" i="2"/>
  <c r="AI412" i="2"/>
  <c r="AH412" i="2"/>
  <c r="AG412" i="2"/>
  <c r="AF412" i="2"/>
  <c r="AE412" i="2"/>
  <c r="AD412" i="2"/>
  <c r="AC412" i="2"/>
  <c r="AB412" i="2"/>
  <c r="AA412" i="2"/>
  <c r="Z412" i="2"/>
  <c r="Y412" i="2"/>
  <c r="X412" i="2"/>
  <c r="W412" i="2"/>
  <c r="V412" i="2"/>
  <c r="U412" i="2"/>
  <c r="T412" i="2"/>
  <c r="S412" i="2"/>
  <c r="R412" i="2"/>
  <c r="Q412" i="2"/>
  <c r="P412" i="2"/>
  <c r="O412" i="2"/>
  <c r="N412" i="2"/>
  <c r="M412" i="2"/>
  <c r="L412" i="2"/>
  <c r="K412" i="2"/>
  <c r="J412" i="2"/>
  <c r="I412" i="2"/>
  <c r="H412" i="2"/>
  <c r="G412" i="2"/>
  <c r="F412" i="2"/>
  <c r="E412" i="2"/>
  <c r="D412" i="2"/>
  <c r="C412" i="2"/>
  <c r="B412" i="2"/>
  <c r="BF411" i="2"/>
  <c r="BE411" i="2"/>
  <c r="BD411" i="2"/>
  <c r="BC411" i="2"/>
  <c r="BB411" i="2"/>
  <c r="BA411" i="2"/>
  <c r="AZ411" i="2"/>
  <c r="AY411" i="2"/>
  <c r="AX411" i="2"/>
  <c r="AW411" i="2"/>
  <c r="AV411" i="2"/>
  <c r="AU411" i="2"/>
  <c r="AT411" i="2"/>
  <c r="AS411" i="2"/>
  <c r="AR411" i="2"/>
  <c r="AQ411" i="2"/>
  <c r="AP411" i="2"/>
  <c r="AO411" i="2"/>
  <c r="AN411" i="2"/>
  <c r="AM411" i="2"/>
  <c r="AL411" i="2"/>
  <c r="AK411" i="2"/>
  <c r="AJ411" i="2"/>
  <c r="AI411" i="2"/>
  <c r="AH411" i="2"/>
  <c r="AG411" i="2"/>
  <c r="AF411" i="2"/>
  <c r="AE411" i="2"/>
  <c r="AD411" i="2"/>
  <c r="AC411" i="2"/>
  <c r="AB411" i="2"/>
  <c r="AA411" i="2"/>
  <c r="Z411" i="2"/>
  <c r="Y411" i="2"/>
  <c r="X411" i="2"/>
  <c r="W411" i="2"/>
  <c r="V411" i="2"/>
  <c r="U411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G411" i="2"/>
  <c r="F411" i="2"/>
  <c r="E411" i="2"/>
  <c r="D411" i="2"/>
  <c r="C411" i="2"/>
  <c r="B411" i="2"/>
  <c r="BF410" i="2"/>
  <c r="BE410" i="2"/>
  <c r="BD410" i="2"/>
  <c r="BC410" i="2"/>
  <c r="BB410" i="2"/>
  <c r="BA410" i="2"/>
  <c r="AZ410" i="2"/>
  <c r="AY410" i="2"/>
  <c r="AX410" i="2"/>
  <c r="AW410" i="2"/>
  <c r="AV410" i="2"/>
  <c r="AU410" i="2"/>
  <c r="AT410" i="2"/>
  <c r="AS410" i="2"/>
  <c r="AR410" i="2"/>
  <c r="AQ410" i="2"/>
  <c r="AP410" i="2"/>
  <c r="AO410" i="2"/>
  <c r="AN410" i="2"/>
  <c r="AM410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B410" i="2"/>
  <c r="BF409" i="2"/>
  <c r="BE409" i="2"/>
  <c r="BD409" i="2"/>
  <c r="BC409" i="2"/>
  <c r="BB409" i="2"/>
  <c r="BA409" i="2"/>
  <c r="AZ409" i="2"/>
  <c r="AY409" i="2"/>
  <c r="AX409" i="2"/>
  <c r="AW409" i="2"/>
  <c r="AV409" i="2"/>
  <c r="AU409" i="2"/>
  <c r="AT409" i="2"/>
  <c r="AS409" i="2"/>
  <c r="AR409" i="2"/>
  <c r="AQ409" i="2"/>
  <c r="AP409" i="2"/>
  <c r="AO409" i="2"/>
  <c r="AN409" i="2"/>
  <c r="AM409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B409" i="2"/>
  <c r="BF408" i="2"/>
  <c r="BE408" i="2"/>
  <c r="BD408" i="2"/>
  <c r="BC408" i="2"/>
  <c r="BB408" i="2"/>
  <c r="BA408" i="2"/>
  <c r="AZ408" i="2"/>
  <c r="AY408" i="2"/>
  <c r="AX408" i="2"/>
  <c r="AW408" i="2"/>
  <c r="AV408" i="2"/>
  <c r="AU408" i="2"/>
  <c r="AT408" i="2"/>
  <c r="AS408" i="2"/>
  <c r="AR408" i="2"/>
  <c r="AQ408" i="2"/>
  <c r="AP408" i="2"/>
  <c r="AO408" i="2"/>
  <c r="AN408" i="2"/>
  <c r="AM408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B408" i="2"/>
  <c r="BF407" i="2"/>
  <c r="BE407" i="2"/>
  <c r="BD407" i="2"/>
  <c r="BC407" i="2"/>
  <c r="BB407" i="2"/>
  <c r="BA407" i="2"/>
  <c r="AZ407" i="2"/>
  <c r="AY407" i="2"/>
  <c r="AX407" i="2"/>
  <c r="AW407" i="2"/>
  <c r="AV407" i="2"/>
  <c r="AU407" i="2"/>
  <c r="AT407" i="2"/>
  <c r="AS407" i="2"/>
  <c r="AR407" i="2"/>
  <c r="AQ407" i="2"/>
  <c r="AP407" i="2"/>
  <c r="AO407" i="2"/>
  <c r="AN407" i="2"/>
  <c r="AM407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B407" i="2"/>
  <c r="BF406" i="2"/>
  <c r="BE406" i="2"/>
  <c r="BD406" i="2"/>
  <c r="BC406" i="2"/>
  <c r="BB406" i="2"/>
  <c r="BA406" i="2"/>
  <c r="AZ406" i="2"/>
  <c r="AY406" i="2"/>
  <c r="AX406" i="2"/>
  <c r="AW406" i="2"/>
  <c r="AV406" i="2"/>
  <c r="AU406" i="2"/>
  <c r="AT406" i="2"/>
  <c r="AS406" i="2"/>
  <c r="AR406" i="2"/>
  <c r="AQ406" i="2"/>
  <c r="AP406" i="2"/>
  <c r="AO406" i="2"/>
  <c r="AN406" i="2"/>
  <c r="AM406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B406" i="2"/>
  <c r="BF405" i="2"/>
  <c r="BE405" i="2"/>
  <c r="BD405" i="2"/>
  <c r="BC405" i="2"/>
  <c r="BB405" i="2"/>
  <c r="BA405" i="2"/>
  <c r="AZ405" i="2"/>
  <c r="AY405" i="2"/>
  <c r="AX405" i="2"/>
  <c r="AW405" i="2"/>
  <c r="AV405" i="2"/>
  <c r="AU405" i="2"/>
  <c r="AT405" i="2"/>
  <c r="AS405" i="2"/>
  <c r="AR405" i="2"/>
  <c r="AQ405" i="2"/>
  <c r="AP405" i="2"/>
  <c r="AO405" i="2"/>
  <c r="AN405" i="2"/>
  <c r="AM405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B405" i="2"/>
  <c r="BF404" i="2"/>
  <c r="BE404" i="2"/>
  <c r="BD404" i="2"/>
  <c r="BC404" i="2"/>
  <c r="BB404" i="2"/>
  <c r="BA404" i="2"/>
  <c r="AZ404" i="2"/>
  <c r="AY404" i="2"/>
  <c r="AX404" i="2"/>
  <c r="AW404" i="2"/>
  <c r="AV404" i="2"/>
  <c r="AU404" i="2"/>
  <c r="AT404" i="2"/>
  <c r="AS404" i="2"/>
  <c r="AR404" i="2"/>
  <c r="AQ404" i="2"/>
  <c r="AP404" i="2"/>
  <c r="AO404" i="2"/>
  <c r="AN404" i="2"/>
  <c r="AM404" i="2"/>
  <c r="AL404" i="2"/>
  <c r="AK404" i="2"/>
  <c r="AJ404" i="2"/>
  <c r="AI404" i="2"/>
  <c r="AH404" i="2"/>
  <c r="AG404" i="2"/>
  <c r="AF404" i="2"/>
  <c r="AE404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B404" i="2"/>
  <c r="BF403" i="2"/>
  <c r="BE403" i="2"/>
  <c r="BD403" i="2"/>
  <c r="BC403" i="2"/>
  <c r="BB403" i="2"/>
  <c r="BA403" i="2"/>
  <c r="AZ403" i="2"/>
  <c r="AY403" i="2"/>
  <c r="AX403" i="2"/>
  <c r="AW403" i="2"/>
  <c r="AV403" i="2"/>
  <c r="AU403" i="2"/>
  <c r="AT403" i="2"/>
  <c r="AS403" i="2"/>
  <c r="AR403" i="2"/>
  <c r="AQ403" i="2"/>
  <c r="AP403" i="2"/>
  <c r="AO403" i="2"/>
  <c r="AN403" i="2"/>
  <c r="AM403" i="2"/>
  <c r="AL403" i="2"/>
  <c r="AK403" i="2"/>
  <c r="AJ403" i="2"/>
  <c r="AI403" i="2"/>
  <c r="AH403" i="2"/>
  <c r="AG403" i="2"/>
  <c r="AF403" i="2"/>
  <c r="AE403" i="2"/>
  <c r="AD403" i="2"/>
  <c r="AC403" i="2"/>
  <c r="AB403" i="2"/>
  <c r="AA403" i="2"/>
  <c r="Z403" i="2"/>
  <c r="Y403" i="2"/>
  <c r="X403" i="2"/>
  <c r="W403" i="2"/>
  <c r="V403" i="2"/>
  <c r="U403" i="2"/>
  <c r="T403" i="2"/>
  <c r="S403" i="2"/>
  <c r="R403" i="2"/>
  <c r="Q403" i="2"/>
  <c r="P403" i="2"/>
  <c r="O403" i="2"/>
  <c r="N403" i="2"/>
  <c r="M403" i="2"/>
  <c r="L403" i="2"/>
  <c r="K403" i="2"/>
  <c r="J403" i="2"/>
  <c r="I403" i="2"/>
  <c r="H403" i="2"/>
  <c r="G403" i="2"/>
  <c r="F403" i="2"/>
  <c r="E403" i="2"/>
  <c r="D403" i="2"/>
  <c r="C403" i="2"/>
  <c r="B403" i="2"/>
  <c r="BF402" i="2"/>
  <c r="BE402" i="2"/>
  <c r="BD402" i="2"/>
  <c r="BC402" i="2"/>
  <c r="BB402" i="2"/>
  <c r="BA402" i="2"/>
  <c r="AZ402" i="2"/>
  <c r="AY402" i="2"/>
  <c r="AX402" i="2"/>
  <c r="AW402" i="2"/>
  <c r="AV402" i="2"/>
  <c r="AU402" i="2"/>
  <c r="AT402" i="2"/>
  <c r="AS402" i="2"/>
  <c r="AR402" i="2"/>
  <c r="AQ402" i="2"/>
  <c r="AP402" i="2"/>
  <c r="AO402" i="2"/>
  <c r="AN402" i="2"/>
  <c r="AM402" i="2"/>
  <c r="AL402" i="2"/>
  <c r="AK402" i="2"/>
  <c r="AJ402" i="2"/>
  <c r="AI402" i="2"/>
  <c r="AH402" i="2"/>
  <c r="AG402" i="2"/>
  <c r="AF402" i="2"/>
  <c r="AE402" i="2"/>
  <c r="AD402" i="2"/>
  <c r="AC402" i="2"/>
  <c r="AB402" i="2"/>
  <c r="AA402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B402" i="2"/>
  <c r="BF401" i="2"/>
  <c r="BE401" i="2"/>
  <c r="BD401" i="2"/>
  <c r="BC401" i="2"/>
  <c r="BB401" i="2"/>
  <c r="BA401" i="2"/>
  <c r="AZ401" i="2"/>
  <c r="AY401" i="2"/>
  <c r="AX401" i="2"/>
  <c r="AW401" i="2"/>
  <c r="AV401" i="2"/>
  <c r="AU401" i="2"/>
  <c r="AT401" i="2"/>
  <c r="AS401" i="2"/>
  <c r="AR401" i="2"/>
  <c r="AQ401" i="2"/>
  <c r="AP401" i="2"/>
  <c r="AO401" i="2"/>
  <c r="AN401" i="2"/>
  <c r="AM401" i="2"/>
  <c r="AL401" i="2"/>
  <c r="AK401" i="2"/>
  <c r="AJ401" i="2"/>
  <c r="AI401" i="2"/>
  <c r="AH401" i="2"/>
  <c r="AG401" i="2"/>
  <c r="AF401" i="2"/>
  <c r="AE401" i="2"/>
  <c r="AD401" i="2"/>
  <c r="AC401" i="2"/>
  <c r="AB401" i="2"/>
  <c r="AA401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B401" i="2"/>
  <c r="BF400" i="2"/>
  <c r="BE400" i="2"/>
  <c r="BD400" i="2"/>
  <c r="BC400" i="2"/>
  <c r="BB400" i="2"/>
  <c r="BA400" i="2"/>
  <c r="AZ400" i="2"/>
  <c r="AY400" i="2"/>
  <c r="AX400" i="2"/>
  <c r="AW400" i="2"/>
  <c r="AV400" i="2"/>
  <c r="AU400" i="2"/>
  <c r="AT400" i="2"/>
  <c r="AS400" i="2"/>
  <c r="AR400" i="2"/>
  <c r="AQ400" i="2"/>
  <c r="AP400" i="2"/>
  <c r="AO400" i="2"/>
  <c r="AN400" i="2"/>
  <c r="AM400" i="2"/>
  <c r="AL400" i="2"/>
  <c r="AK400" i="2"/>
  <c r="AJ400" i="2"/>
  <c r="AI400" i="2"/>
  <c r="AH400" i="2"/>
  <c r="AG400" i="2"/>
  <c r="AF400" i="2"/>
  <c r="AE400" i="2"/>
  <c r="AD400" i="2"/>
  <c r="AC400" i="2"/>
  <c r="AB400" i="2"/>
  <c r="AA400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B400" i="2"/>
  <c r="BF399" i="2"/>
  <c r="BE399" i="2"/>
  <c r="BD399" i="2"/>
  <c r="BC399" i="2"/>
  <c r="BB399" i="2"/>
  <c r="BA399" i="2"/>
  <c r="AZ399" i="2"/>
  <c r="AY399" i="2"/>
  <c r="AX399" i="2"/>
  <c r="AW399" i="2"/>
  <c r="AV399" i="2"/>
  <c r="AU399" i="2"/>
  <c r="AT399" i="2"/>
  <c r="AS399" i="2"/>
  <c r="AR399" i="2"/>
  <c r="AQ399" i="2"/>
  <c r="AP399" i="2"/>
  <c r="AO399" i="2"/>
  <c r="AN399" i="2"/>
  <c r="AM399" i="2"/>
  <c r="AL399" i="2"/>
  <c r="AK399" i="2"/>
  <c r="AJ399" i="2"/>
  <c r="AI399" i="2"/>
  <c r="AH399" i="2"/>
  <c r="AG399" i="2"/>
  <c r="AF399" i="2"/>
  <c r="AE399" i="2"/>
  <c r="AD399" i="2"/>
  <c r="AC399" i="2"/>
  <c r="AB399" i="2"/>
  <c r="AA399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B399" i="2"/>
  <c r="BF398" i="2"/>
  <c r="BE398" i="2"/>
  <c r="BD398" i="2"/>
  <c r="BC398" i="2"/>
  <c r="BB398" i="2"/>
  <c r="BA398" i="2"/>
  <c r="AZ398" i="2"/>
  <c r="AY398" i="2"/>
  <c r="AX398" i="2"/>
  <c r="AW398" i="2"/>
  <c r="AV398" i="2"/>
  <c r="AU398" i="2"/>
  <c r="AT398" i="2"/>
  <c r="AS398" i="2"/>
  <c r="AR398" i="2"/>
  <c r="AQ398" i="2"/>
  <c r="AP398" i="2"/>
  <c r="AO398" i="2"/>
  <c r="AN398" i="2"/>
  <c r="AM398" i="2"/>
  <c r="AL398" i="2"/>
  <c r="AK398" i="2"/>
  <c r="AJ398" i="2"/>
  <c r="AI398" i="2"/>
  <c r="AH398" i="2"/>
  <c r="AG398" i="2"/>
  <c r="AF398" i="2"/>
  <c r="AE398" i="2"/>
  <c r="AD398" i="2"/>
  <c r="AC398" i="2"/>
  <c r="AB398" i="2"/>
  <c r="AA398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B398" i="2"/>
  <c r="BF397" i="2"/>
  <c r="BE397" i="2"/>
  <c r="BD397" i="2"/>
  <c r="BC397" i="2"/>
  <c r="BB397" i="2"/>
  <c r="BA397" i="2"/>
  <c r="AZ397" i="2"/>
  <c r="AY397" i="2"/>
  <c r="AX397" i="2"/>
  <c r="AW397" i="2"/>
  <c r="AV397" i="2"/>
  <c r="AU397" i="2"/>
  <c r="AT397" i="2"/>
  <c r="AS397" i="2"/>
  <c r="AR397" i="2"/>
  <c r="AQ397" i="2"/>
  <c r="AP397" i="2"/>
  <c r="AO397" i="2"/>
  <c r="AN397" i="2"/>
  <c r="AM397" i="2"/>
  <c r="AL397" i="2"/>
  <c r="AK397" i="2"/>
  <c r="AJ397" i="2"/>
  <c r="AI397" i="2"/>
  <c r="AH397" i="2"/>
  <c r="AG397" i="2"/>
  <c r="AF397" i="2"/>
  <c r="AE397" i="2"/>
  <c r="AD397" i="2"/>
  <c r="AC397" i="2"/>
  <c r="AB397" i="2"/>
  <c r="AA397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B397" i="2"/>
  <c r="BF396" i="2"/>
  <c r="BE396" i="2"/>
  <c r="BD396" i="2"/>
  <c r="BC396" i="2"/>
  <c r="BB396" i="2"/>
  <c r="BA396" i="2"/>
  <c r="AZ396" i="2"/>
  <c r="AY396" i="2"/>
  <c r="AX396" i="2"/>
  <c r="AW396" i="2"/>
  <c r="AV396" i="2"/>
  <c r="AU396" i="2"/>
  <c r="AT396" i="2"/>
  <c r="AS396" i="2"/>
  <c r="AR396" i="2"/>
  <c r="AQ396" i="2"/>
  <c r="AP396" i="2"/>
  <c r="AO396" i="2"/>
  <c r="AN396" i="2"/>
  <c r="AM396" i="2"/>
  <c r="AL396" i="2"/>
  <c r="AK396" i="2"/>
  <c r="AJ396" i="2"/>
  <c r="AI396" i="2"/>
  <c r="AH396" i="2"/>
  <c r="AG396" i="2"/>
  <c r="AF396" i="2"/>
  <c r="AE396" i="2"/>
  <c r="AD396" i="2"/>
  <c r="AC396" i="2"/>
  <c r="AB396" i="2"/>
  <c r="AA396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B396" i="2"/>
  <c r="BF395" i="2"/>
  <c r="BE395" i="2"/>
  <c r="BD395" i="2"/>
  <c r="BC395" i="2"/>
  <c r="BB395" i="2"/>
  <c r="BA395" i="2"/>
  <c r="AZ395" i="2"/>
  <c r="AY395" i="2"/>
  <c r="AX395" i="2"/>
  <c r="AW395" i="2"/>
  <c r="AV395" i="2"/>
  <c r="AU395" i="2"/>
  <c r="AT395" i="2"/>
  <c r="AS395" i="2"/>
  <c r="AR395" i="2"/>
  <c r="AQ395" i="2"/>
  <c r="AP395" i="2"/>
  <c r="AO395" i="2"/>
  <c r="AN395" i="2"/>
  <c r="AM395" i="2"/>
  <c r="AL395" i="2"/>
  <c r="AK395" i="2"/>
  <c r="AJ395" i="2"/>
  <c r="AI395" i="2"/>
  <c r="AH395" i="2"/>
  <c r="AG395" i="2"/>
  <c r="AF395" i="2"/>
  <c r="AE395" i="2"/>
  <c r="AD395" i="2"/>
  <c r="AC395" i="2"/>
  <c r="AB395" i="2"/>
  <c r="AA395" i="2"/>
  <c r="Z395" i="2"/>
  <c r="Y395" i="2"/>
  <c r="X395" i="2"/>
  <c r="W395" i="2"/>
  <c r="V395" i="2"/>
  <c r="U395" i="2"/>
  <c r="T395" i="2"/>
  <c r="S395" i="2"/>
  <c r="R395" i="2"/>
  <c r="Q395" i="2"/>
  <c r="P395" i="2"/>
  <c r="O395" i="2"/>
  <c r="N395" i="2"/>
  <c r="M395" i="2"/>
  <c r="L395" i="2"/>
  <c r="K395" i="2"/>
  <c r="J395" i="2"/>
  <c r="I395" i="2"/>
  <c r="H395" i="2"/>
  <c r="G395" i="2"/>
  <c r="F395" i="2"/>
  <c r="E395" i="2"/>
  <c r="D395" i="2"/>
  <c r="C395" i="2"/>
  <c r="B395" i="2"/>
  <c r="BF394" i="2"/>
  <c r="BE394" i="2"/>
  <c r="BD394" i="2"/>
  <c r="BC394" i="2"/>
  <c r="BB394" i="2"/>
  <c r="BA394" i="2"/>
  <c r="AZ394" i="2"/>
  <c r="AY394" i="2"/>
  <c r="AX394" i="2"/>
  <c r="AW394" i="2"/>
  <c r="AV394" i="2"/>
  <c r="AU394" i="2"/>
  <c r="AT394" i="2"/>
  <c r="AS394" i="2"/>
  <c r="AR394" i="2"/>
  <c r="AQ394" i="2"/>
  <c r="AP394" i="2"/>
  <c r="AO394" i="2"/>
  <c r="AN394" i="2"/>
  <c r="AM394" i="2"/>
  <c r="AL394" i="2"/>
  <c r="AK394" i="2"/>
  <c r="AJ394" i="2"/>
  <c r="AI394" i="2"/>
  <c r="AH394" i="2"/>
  <c r="AG394" i="2"/>
  <c r="AF394" i="2"/>
  <c r="AE394" i="2"/>
  <c r="AD394" i="2"/>
  <c r="AC394" i="2"/>
  <c r="AB394" i="2"/>
  <c r="AA394" i="2"/>
  <c r="Z394" i="2"/>
  <c r="Y394" i="2"/>
  <c r="X394" i="2"/>
  <c r="W394" i="2"/>
  <c r="V394" i="2"/>
  <c r="U394" i="2"/>
  <c r="T394" i="2"/>
  <c r="S394" i="2"/>
  <c r="R394" i="2"/>
  <c r="Q394" i="2"/>
  <c r="P394" i="2"/>
  <c r="O394" i="2"/>
  <c r="N394" i="2"/>
  <c r="M394" i="2"/>
  <c r="L394" i="2"/>
  <c r="K394" i="2"/>
  <c r="J394" i="2"/>
  <c r="I394" i="2"/>
  <c r="H394" i="2"/>
  <c r="G394" i="2"/>
  <c r="F394" i="2"/>
  <c r="E394" i="2"/>
  <c r="D394" i="2"/>
  <c r="C394" i="2"/>
  <c r="B394" i="2"/>
  <c r="BF393" i="2"/>
  <c r="BE393" i="2"/>
  <c r="BD393" i="2"/>
  <c r="BC393" i="2"/>
  <c r="BB393" i="2"/>
  <c r="BA393" i="2"/>
  <c r="AZ393" i="2"/>
  <c r="AY393" i="2"/>
  <c r="AX393" i="2"/>
  <c r="AW393" i="2"/>
  <c r="AV393" i="2"/>
  <c r="AU393" i="2"/>
  <c r="AT393" i="2"/>
  <c r="AS393" i="2"/>
  <c r="AR393" i="2"/>
  <c r="AQ393" i="2"/>
  <c r="AP393" i="2"/>
  <c r="AO393" i="2"/>
  <c r="AN393" i="2"/>
  <c r="AM393" i="2"/>
  <c r="AL393" i="2"/>
  <c r="AK393" i="2"/>
  <c r="AJ393" i="2"/>
  <c r="AI393" i="2"/>
  <c r="AH393" i="2"/>
  <c r="AG393" i="2"/>
  <c r="AF393" i="2"/>
  <c r="AE393" i="2"/>
  <c r="AD393" i="2"/>
  <c r="AC393" i="2"/>
  <c r="AB393" i="2"/>
  <c r="AA393" i="2"/>
  <c r="Z393" i="2"/>
  <c r="Y393" i="2"/>
  <c r="X393" i="2"/>
  <c r="W393" i="2"/>
  <c r="V393" i="2"/>
  <c r="U393" i="2"/>
  <c r="T393" i="2"/>
  <c r="S393" i="2"/>
  <c r="R393" i="2"/>
  <c r="Q393" i="2"/>
  <c r="P393" i="2"/>
  <c r="O393" i="2"/>
  <c r="N393" i="2"/>
  <c r="M393" i="2"/>
  <c r="L393" i="2"/>
  <c r="K393" i="2"/>
  <c r="J393" i="2"/>
  <c r="I393" i="2"/>
  <c r="H393" i="2"/>
  <c r="G393" i="2"/>
  <c r="F393" i="2"/>
  <c r="E393" i="2"/>
  <c r="D393" i="2"/>
  <c r="C393" i="2"/>
  <c r="B393" i="2"/>
  <c r="BF392" i="2"/>
  <c r="BE392" i="2"/>
  <c r="BD392" i="2"/>
  <c r="BC392" i="2"/>
  <c r="BB392" i="2"/>
  <c r="BA392" i="2"/>
  <c r="AZ392" i="2"/>
  <c r="AY392" i="2"/>
  <c r="AX392" i="2"/>
  <c r="AW392" i="2"/>
  <c r="AV392" i="2"/>
  <c r="AU392" i="2"/>
  <c r="AT392" i="2"/>
  <c r="AS392" i="2"/>
  <c r="AR392" i="2"/>
  <c r="AQ392" i="2"/>
  <c r="AP392" i="2"/>
  <c r="AO392" i="2"/>
  <c r="AN392" i="2"/>
  <c r="AM392" i="2"/>
  <c r="AL392" i="2"/>
  <c r="AK392" i="2"/>
  <c r="AJ392" i="2"/>
  <c r="AI392" i="2"/>
  <c r="AH392" i="2"/>
  <c r="AG392" i="2"/>
  <c r="AF392" i="2"/>
  <c r="AE392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BF391" i="2"/>
  <c r="BE391" i="2"/>
  <c r="BD391" i="2"/>
  <c r="BC391" i="2"/>
  <c r="BB391" i="2"/>
  <c r="BA391" i="2"/>
  <c r="AZ391" i="2"/>
  <c r="AY391" i="2"/>
  <c r="AX391" i="2"/>
  <c r="AW391" i="2"/>
  <c r="AV391" i="2"/>
  <c r="AU391" i="2"/>
  <c r="AT391" i="2"/>
  <c r="AS391" i="2"/>
  <c r="AR391" i="2"/>
  <c r="AQ391" i="2"/>
  <c r="AP391" i="2"/>
  <c r="AO391" i="2"/>
  <c r="AN391" i="2"/>
  <c r="AM391" i="2"/>
  <c r="AL391" i="2"/>
  <c r="AK391" i="2"/>
  <c r="AJ391" i="2"/>
  <c r="AI391" i="2"/>
  <c r="AH391" i="2"/>
  <c r="AG391" i="2"/>
  <c r="AF391" i="2"/>
  <c r="AE391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BF390" i="2"/>
  <c r="BE390" i="2"/>
  <c r="BD390" i="2"/>
  <c r="BC390" i="2"/>
  <c r="BB390" i="2"/>
  <c r="BA390" i="2"/>
  <c r="AZ390" i="2"/>
  <c r="AY390" i="2"/>
  <c r="AX390" i="2"/>
  <c r="AW390" i="2"/>
  <c r="AV390" i="2"/>
  <c r="AU390" i="2"/>
  <c r="AT390" i="2"/>
  <c r="AS390" i="2"/>
  <c r="AR390" i="2"/>
  <c r="AQ390" i="2"/>
  <c r="AP390" i="2"/>
  <c r="AO390" i="2"/>
  <c r="AN390" i="2"/>
  <c r="AM390" i="2"/>
  <c r="AL390" i="2"/>
  <c r="AK390" i="2"/>
  <c r="AJ390" i="2"/>
  <c r="AI390" i="2"/>
  <c r="AH390" i="2"/>
  <c r="AG390" i="2"/>
  <c r="AF390" i="2"/>
  <c r="AE390" i="2"/>
  <c r="AD390" i="2"/>
  <c r="AC390" i="2"/>
  <c r="AB390" i="2"/>
  <c r="AA390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BF389" i="2"/>
  <c r="BE389" i="2"/>
  <c r="BD389" i="2"/>
  <c r="BC389" i="2"/>
  <c r="BB389" i="2"/>
  <c r="BA389" i="2"/>
  <c r="AZ389" i="2"/>
  <c r="AY389" i="2"/>
  <c r="AX389" i="2"/>
  <c r="AW389" i="2"/>
  <c r="AV389" i="2"/>
  <c r="AU389" i="2"/>
  <c r="AT389" i="2"/>
  <c r="AS389" i="2"/>
  <c r="AR389" i="2"/>
  <c r="AQ389" i="2"/>
  <c r="AP389" i="2"/>
  <c r="AO389" i="2"/>
  <c r="AN389" i="2"/>
  <c r="AM389" i="2"/>
  <c r="AL389" i="2"/>
  <c r="AK389" i="2"/>
  <c r="AJ389" i="2"/>
  <c r="AI389" i="2"/>
  <c r="AH389" i="2"/>
  <c r="AG389" i="2"/>
  <c r="AF389" i="2"/>
  <c r="AE389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BF388" i="2"/>
  <c r="BE388" i="2"/>
  <c r="BD388" i="2"/>
  <c r="BC388" i="2"/>
  <c r="BB388" i="2"/>
  <c r="BA388" i="2"/>
  <c r="AZ388" i="2"/>
  <c r="AY388" i="2"/>
  <c r="AX388" i="2"/>
  <c r="AW388" i="2"/>
  <c r="AV388" i="2"/>
  <c r="AU388" i="2"/>
  <c r="AT388" i="2"/>
  <c r="AS388" i="2"/>
  <c r="AR388" i="2"/>
  <c r="AQ388" i="2"/>
  <c r="AP388" i="2"/>
  <c r="AO388" i="2"/>
  <c r="AN388" i="2"/>
  <c r="AM388" i="2"/>
  <c r="AL388" i="2"/>
  <c r="AK388" i="2"/>
  <c r="AJ388" i="2"/>
  <c r="AI388" i="2"/>
  <c r="AH388" i="2"/>
  <c r="AG388" i="2"/>
  <c r="AF388" i="2"/>
  <c r="AE388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BF78" i="2"/>
  <c r="BE78" i="2"/>
  <c r="BD78" i="2"/>
  <c r="BC78" i="2"/>
  <c r="BB78" i="2"/>
  <c r="BA78" i="2"/>
  <c r="AZ78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F503" i="2"/>
  <c r="BE503" i="2"/>
  <c r="BD503" i="2"/>
  <c r="BC503" i="2"/>
  <c r="BB503" i="2"/>
  <c r="BA503" i="2"/>
  <c r="AZ503" i="2"/>
  <c r="AY503" i="2"/>
  <c r="AX503" i="2"/>
  <c r="AW503" i="2"/>
  <c r="AV503" i="2"/>
  <c r="AU503" i="2"/>
  <c r="AT503" i="2"/>
  <c r="AS503" i="2"/>
  <c r="AR503" i="2"/>
  <c r="AQ503" i="2"/>
  <c r="AP503" i="2"/>
  <c r="AO503" i="2"/>
  <c r="AN503" i="2"/>
  <c r="AM503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BF502" i="2"/>
  <c r="BE502" i="2"/>
  <c r="BD502" i="2"/>
  <c r="BC502" i="2"/>
  <c r="BB502" i="2"/>
  <c r="BA502" i="2"/>
  <c r="AZ502" i="2"/>
  <c r="AY502" i="2"/>
  <c r="AX502" i="2"/>
  <c r="AW502" i="2"/>
  <c r="AV502" i="2"/>
  <c r="AU502" i="2"/>
  <c r="AT502" i="2"/>
  <c r="AS502" i="2"/>
  <c r="AR502" i="2"/>
  <c r="AQ502" i="2"/>
  <c r="AP502" i="2"/>
  <c r="AO502" i="2"/>
  <c r="AN502" i="2"/>
  <c r="AM502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BF501" i="2"/>
  <c r="BE501" i="2"/>
  <c r="BD501" i="2"/>
  <c r="BC501" i="2"/>
  <c r="BB501" i="2"/>
  <c r="BA501" i="2"/>
  <c r="AZ501" i="2"/>
  <c r="AY501" i="2"/>
  <c r="AX501" i="2"/>
  <c r="AW501" i="2"/>
  <c r="AV501" i="2"/>
  <c r="AU501" i="2"/>
  <c r="AT501" i="2"/>
  <c r="AS501" i="2"/>
  <c r="AR501" i="2"/>
  <c r="AQ501" i="2"/>
  <c r="AP501" i="2"/>
  <c r="AO501" i="2"/>
  <c r="AN501" i="2"/>
  <c r="AM501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BF499" i="2"/>
  <c r="BE499" i="2"/>
  <c r="BD499" i="2"/>
  <c r="BC499" i="2"/>
  <c r="BB499" i="2"/>
  <c r="BA499" i="2"/>
  <c r="AZ499" i="2"/>
  <c r="AY499" i="2"/>
  <c r="AX499" i="2"/>
  <c r="AW499" i="2"/>
  <c r="AV499" i="2"/>
  <c r="AU499" i="2"/>
  <c r="AT499" i="2"/>
  <c r="AS499" i="2"/>
  <c r="AR499" i="2"/>
  <c r="AQ499" i="2"/>
  <c r="AP499" i="2"/>
  <c r="AO499" i="2"/>
  <c r="AN499" i="2"/>
  <c r="AM499" i="2"/>
  <c r="AL499" i="2"/>
  <c r="AK499" i="2"/>
  <c r="AJ499" i="2"/>
  <c r="AI499" i="2"/>
  <c r="AH499" i="2"/>
  <c r="AG499" i="2"/>
  <c r="AF499" i="2"/>
  <c r="AE499" i="2"/>
  <c r="AD499" i="2"/>
  <c r="AC499" i="2"/>
  <c r="AB499" i="2"/>
  <c r="AA499" i="2"/>
  <c r="Z499" i="2"/>
  <c r="Y499" i="2"/>
  <c r="X499" i="2"/>
  <c r="W499" i="2"/>
  <c r="V499" i="2"/>
  <c r="U499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BF498" i="2"/>
  <c r="BE498" i="2"/>
  <c r="BD498" i="2"/>
  <c r="BC498" i="2"/>
  <c r="BB498" i="2"/>
  <c r="BA498" i="2"/>
  <c r="AZ498" i="2"/>
  <c r="AY498" i="2"/>
  <c r="AX498" i="2"/>
  <c r="AW498" i="2"/>
  <c r="AV498" i="2"/>
  <c r="AU498" i="2"/>
  <c r="AT498" i="2"/>
  <c r="AS498" i="2"/>
  <c r="AR498" i="2"/>
  <c r="AQ498" i="2"/>
  <c r="AP498" i="2"/>
  <c r="AO498" i="2"/>
  <c r="AN498" i="2"/>
  <c r="AM498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BF497" i="2"/>
  <c r="BE497" i="2"/>
  <c r="BD497" i="2"/>
  <c r="BC497" i="2"/>
  <c r="BB497" i="2"/>
  <c r="BA497" i="2"/>
  <c r="AZ497" i="2"/>
  <c r="AY497" i="2"/>
  <c r="AX497" i="2"/>
  <c r="AW497" i="2"/>
  <c r="AV497" i="2"/>
  <c r="AU497" i="2"/>
  <c r="AT497" i="2"/>
  <c r="AS497" i="2"/>
  <c r="AR497" i="2"/>
  <c r="AQ497" i="2"/>
  <c r="AP497" i="2"/>
  <c r="AO497" i="2"/>
  <c r="AN497" i="2"/>
  <c r="AM497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BF496" i="2"/>
  <c r="BE496" i="2"/>
  <c r="BD496" i="2"/>
  <c r="BC496" i="2"/>
  <c r="BB496" i="2"/>
  <c r="BA496" i="2"/>
  <c r="AZ496" i="2"/>
  <c r="AY496" i="2"/>
  <c r="AX496" i="2"/>
  <c r="AW496" i="2"/>
  <c r="AV496" i="2"/>
  <c r="AU496" i="2"/>
  <c r="AT496" i="2"/>
  <c r="AS496" i="2"/>
  <c r="AR496" i="2"/>
  <c r="AQ496" i="2"/>
  <c r="AP496" i="2"/>
  <c r="AO496" i="2"/>
  <c r="AN496" i="2"/>
  <c r="AM496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BF495" i="2"/>
  <c r="BE495" i="2"/>
  <c r="BD495" i="2"/>
  <c r="BC495" i="2"/>
  <c r="BB495" i="2"/>
  <c r="BA495" i="2"/>
  <c r="AZ495" i="2"/>
  <c r="AY495" i="2"/>
  <c r="AX495" i="2"/>
  <c r="AW495" i="2"/>
  <c r="AV495" i="2"/>
  <c r="AU495" i="2"/>
  <c r="AT495" i="2"/>
  <c r="AS495" i="2"/>
  <c r="AR495" i="2"/>
  <c r="AQ495" i="2"/>
  <c r="AP495" i="2"/>
  <c r="AO495" i="2"/>
  <c r="AN495" i="2"/>
  <c r="AM495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BF493" i="2"/>
  <c r="BE493" i="2"/>
  <c r="BD493" i="2"/>
  <c r="BC493" i="2"/>
  <c r="BB493" i="2"/>
  <c r="BA493" i="2"/>
  <c r="AZ493" i="2"/>
  <c r="AY493" i="2"/>
  <c r="AX493" i="2"/>
  <c r="AW493" i="2"/>
  <c r="AV493" i="2"/>
  <c r="AU493" i="2"/>
  <c r="AT493" i="2"/>
  <c r="AS493" i="2"/>
  <c r="AR493" i="2"/>
  <c r="AQ493" i="2"/>
  <c r="AP493" i="2"/>
  <c r="AO493" i="2"/>
  <c r="AN493" i="2"/>
  <c r="AM493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BF492" i="2"/>
  <c r="BE492" i="2"/>
  <c r="BD492" i="2"/>
  <c r="BC492" i="2"/>
  <c r="BB492" i="2"/>
  <c r="BA492" i="2"/>
  <c r="AZ492" i="2"/>
  <c r="AY492" i="2"/>
  <c r="AX492" i="2"/>
  <c r="AW492" i="2"/>
  <c r="AV492" i="2"/>
  <c r="AU492" i="2"/>
  <c r="AT492" i="2"/>
  <c r="AS492" i="2"/>
  <c r="AR492" i="2"/>
  <c r="AQ492" i="2"/>
  <c r="AP492" i="2"/>
  <c r="AO492" i="2"/>
  <c r="AN492" i="2"/>
  <c r="AM492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BF490" i="2"/>
  <c r="BE490" i="2"/>
  <c r="BD490" i="2"/>
  <c r="BC490" i="2"/>
  <c r="BB490" i="2"/>
  <c r="BA490" i="2"/>
  <c r="AZ490" i="2"/>
  <c r="AY490" i="2"/>
  <c r="AX490" i="2"/>
  <c r="AW490" i="2"/>
  <c r="AV490" i="2"/>
  <c r="AU490" i="2"/>
  <c r="AT490" i="2"/>
  <c r="AS490" i="2"/>
  <c r="AR490" i="2"/>
  <c r="AQ490" i="2"/>
  <c r="AP490" i="2"/>
  <c r="AO490" i="2"/>
  <c r="AN490" i="2"/>
  <c r="AM490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BF489" i="2"/>
  <c r="BE489" i="2"/>
  <c r="BD489" i="2"/>
  <c r="BC489" i="2"/>
  <c r="BB489" i="2"/>
  <c r="BA489" i="2"/>
  <c r="AZ489" i="2"/>
  <c r="AY489" i="2"/>
  <c r="AX489" i="2"/>
  <c r="AW489" i="2"/>
  <c r="AV489" i="2"/>
  <c r="AU489" i="2"/>
  <c r="AT489" i="2"/>
  <c r="AS489" i="2"/>
  <c r="AR489" i="2"/>
  <c r="AQ489" i="2"/>
  <c r="AP489" i="2"/>
  <c r="AO489" i="2"/>
  <c r="AN489" i="2"/>
  <c r="AM489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BF488" i="2"/>
  <c r="BE488" i="2"/>
  <c r="BD488" i="2"/>
  <c r="BC488" i="2"/>
  <c r="BB488" i="2"/>
  <c r="BA488" i="2"/>
  <c r="AZ488" i="2"/>
  <c r="AY488" i="2"/>
  <c r="AX488" i="2"/>
  <c r="AW488" i="2"/>
  <c r="AV488" i="2"/>
  <c r="AU488" i="2"/>
  <c r="AT488" i="2"/>
  <c r="AS488" i="2"/>
  <c r="AR488" i="2"/>
  <c r="AQ488" i="2"/>
  <c r="AP488" i="2"/>
  <c r="AO488" i="2"/>
  <c r="AN488" i="2"/>
  <c r="AM488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BF486" i="2"/>
  <c r="BE486" i="2"/>
  <c r="BD486" i="2"/>
  <c r="BC486" i="2"/>
  <c r="BB486" i="2"/>
  <c r="BA486" i="2"/>
  <c r="AZ486" i="2"/>
  <c r="AY486" i="2"/>
  <c r="AX486" i="2"/>
  <c r="AW486" i="2"/>
  <c r="AV486" i="2"/>
  <c r="AU486" i="2"/>
  <c r="AT486" i="2"/>
  <c r="AS486" i="2"/>
  <c r="AR486" i="2"/>
  <c r="AQ486" i="2"/>
  <c r="AP486" i="2"/>
  <c r="AO486" i="2"/>
  <c r="AN486" i="2"/>
  <c r="AM486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BF485" i="2"/>
  <c r="BE485" i="2"/>
  <c r="BD485" i="2"/>
  <c r="BC485" i="2"/>
  <c r="BB485" i="2"/>
  <c r="BA485" i="2"/>
  <c r="AZ485" i="2"/>
  <c r="AY485" i="2"/>
  <c r="AX485" i="2"/>
  <c r="AW485" i="2"/>
  <c r="AV485" i="2"/>
  <c r="AU485" i="2"/>
  <c r="AT485" i="2"/>
  <c r="AS485" i="2"/>
  <c r="AR485" i="2"/>
  <c r="AQ485" i="2"/>
  <c r="AP485" i="2"/>
  <c r="AO485" i="2"/>
  <c r="AN485" i="2"/>
  <c r="AM485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BF484" i="2"/>
  <c r="BE484" i="2"/>
  <c r="BD484" i="2"/>
  <c r="BC484" i="2"/>
  <c r="BB484" i="2"/>
  <c r="BA484" i="2"/>
  <c r="AZ484" i="2"/>
  <c r="AY484" i="2"/>
  <c r="AX484" i="2"/>
  <c r="AW484" i="2"/>
  <c r="AV484" i="2"/>
  <c r="AU484" i="2"/>
  <c r="AT484" i="2"/>
  <c r="AS484" i="2"/>
  <c r="AR484" i="2"/>
  <c r="AQ484" i="2"/>
  <c r="AP484" i="2"/>
  <c r="AO484" i="2"/>
  <c r="AN484" i="2"/>
  <c r="AM484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BF483" i="2"/>
  <c r="BE483" i="2"/>
  <c r="BD483" i="2"/>
  <c r="BC483" i="2"/>
  <c r="BB483" i="2"/>
  <c r="BA483" i="2"/>
  <c r="AZ483" i="2"/>
  <c r="AY483" i="2"/>
  <c r="AX483" i="2"/>
  <c r="AW483" i="2"/>
  <c r="AV483" i="2"/>
  <c r="AU483" i="2"/>
  <c r="AT483" i="2"/>
  <c r="AS483" i="2"/>
  <c r="AR483" i="2"/>
  <c r="AQ483" i="2"/>
  <c r="AP483" i="2"/>
  <c r="AO483" i="2"/>
  <c r="AN483" i="2"/>
  <c r="AM483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BF482" i="2"/>
  <c r="BE482" i="2"/>
  <c r="BD482" i="2"/>
  <c r="BC482" i="2"/>
  <c r="BB482" i="2"/>
  <c r="BA482" i="2"/>
  <c r="AZ482" i="2"/>
  <c r="AY482" i="2"/>
  <c r="AX482" i="2"/>
  <c r="AW482" i="2"/>
  <c r="AV482" i="2"/>
  <c r="AU482" i="2"/>
  <c r="AT482" i="2"/>
  <c r="AS482" i="2"/>
  <c r="AR482" i="2"/>
  <c r="AQ482" i="2"/>
  <c r="AP482" i="2"/>
  <c r="AO482" i="2"/>
  <c r="AN482" i="2"/>
  <c r="AM482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BF480" i="2"/>
  <c r="BE480" i="2"/>
  <c r="BD480" i="2"/>
  <c r="BC480" i="2"/>
  <c r="BB480" i="2"/>
  <c r="BA480" i="2"/>
  <c r="AZ480" i="2"/>
  <c r="AY480" i="2"/>
  <c r="AX480" i="2"/>
  <c r="AW480" i="2"/>
  <c r="AV480" i="2"/>
  <c r="AU480" i="2"/>
  <c r="AT480" i="2"/>
  <c r="AS480" i="2"/>
  <c r="AR480" i="2"/>
  <c r="AQ480" i="2"/>
  <c r="AP480" i="2"/>
  <c r="AO480" i="2"/>
  <c r="AN480" i="2"/>
  <c r="AM480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BF479" i="2"/>
  <c r="BE479" i="2"/>
  <c r="BD479" i="2"/>
  <c r="BC479" i="2"/>
  <c r="BB479" i="2"/>
  <c r="BA479" i="2"/>
  <c r="AZ479" i="2"/>
  <c r="AY479" i="2"/>
  <c r="AX479" i="2"/>
  <c r="AW479" i="2"/>
  <c r="AV479" i="2"/>
  <c r="AU479" i="2"/>
  <c r="AT479" i="2"/>
  <c r="AS479" i="2"/>
  <c r="AR479" i="2"/>
  <c r="AQ479" i="2"/>
  <c r="AP479" i="2"/>
  <c r="AO479" i="2"/>
  <c r="AN479" i="2"/>
  <c r="AM479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BF469" i="2"/>
  <c r="BE469" i="2"/>
  <c r="BD469" i="2"/>
  <c r="BC469" i="2"/>
  <c r="BB469" i="2"/>
  <c r="BA469" i="2"/>
  <c r="AZ469" i="2"/>
  <c r="AY469" i="2"/>
  <c r="AX469" i="2"/>
  <c r="AW469" i="2"/>
  <c r="AV469" i="2"/>
  <c r="AU469" i="2"/>
  <c r="AT469" i="2"/>
  <c r="AS469" i="2"/>
  <c r="AR469" i="2"/>
  <c r="AQ469" i="2"/>
  <c r="AP469" i="2"/>
  <c r="AO469" i="2"/>
  <c r="AN469" i="2"/>
  <c r="AM46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BF468" i="2"/>
  <c r="BE468" i="2"/>
  <c r="BD468" i="2"/>
  <c r="BC468" i="2"/>
  <c r="BB468" i="2"/>
  <c r="BA468" i="2"/>
  <c r="AZ468" i="2"/>
  <c r="AY468" i="2"/>
  <c r="AX468" i="2"/>
  <c r="AW468" i="2"/>
  <c r="AV468" i="2"/>
  <c r="AU468" i="2"/>
  <c r="AT468" i="2"/>
  <c r="AS468" i="2"/>
  <c r="AR468" i="2"/>
  <c r="AQ468" i="2"/>
  <c r="AP468" i="2"/>
  <c r="AO468" i="2"/>
  <c r="AN468" i="2"/>
  <c r="AM468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BF467" i="2"/>
  <c r="BE467" i="2"/>
  <c r="BD467" i="2"/>
  <c r="BC467" i="2"/>
  <c r="BB467" i="2"/>
  <c r="BA467" i="2"/>
  <c r="AZ467" i="2"/>
  <c r="AY467" i="2"/>
  <c r="AX467" i="2"/>
  <c r="AW467" i="2"/>
  <c r="AV467" i="2"/>
  <c r="AU467" i="2"/>
  <c r="AT467" i="2"/>
  <c r="AS467" i="2"/>
  <c r="AR467" i="2"/>
  <c r="AQ467" i="2"/>
  <c r="AP467" i="2"/>
  <c r="AO467" i="2"/>
  <c r="AN467" i="2"/>
  <c r="AM467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BF465" i="2"/>
  <c r="BE465" i="2"/>
  <c r="BD465" i="2"/>
  <c r="BC465" i="2"/>
  <c r="BB465" i="2"/>
  <c r="BA465" i="2"/>
  <c r="AZ465" i="2"/>
  <c r="AY465" i="2"/>
  <c r="AX465" i="2"/>
  <c r="AW465" i="2"/>
  <c r="AV465" i="2"/>
  <c r="AU465" i="2"/>
  <c r="AT465" i="2"/>
  <c r="AS465" i="2"/>
  <c r="AR465" i="2"/>
  <c r="AQ465" i="2"/>
  <c r="AP465" i="2"/>
  <c r="AO465" i="2"/>
  <c r="AN465" i="2"/>
  <c r="AM465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BF464" i="2"/>
  <c r="BE464" i="2"/>
  <c r="BD464" i="2"/>
  <c r="BC464" i="2"/>
  <c r="BB464" i="2"/>
  <c r="BA464" i="2"/>
  <c r="AZ464" i="2"/>
  <c r="AY464" i="2"/>
  <c r="AX464" i="2"/>
  <c r="AW464" i="2"/>
  <c r="AV464" i="2"/>
  <c r="AU464" i="2"/>
  <c r="AT464" i="2"/>
  <c r="AS464" i="2"/>
  <c r="AR464" i="2"/>
  <c r="AQ464" i="2"/>
  <c r="AP464" i="2"/>
  <c r="AO464" i="2"/>
  <c r="AN464" i="2"/>
  <c r="AM464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BF463" i="2"/>
  <c r="BE463" i="2"/>
  <c r="BD463" i="2"/>
  <c r="BC463" i="2"/>
  <c r="BB463" i="2"/>
  <c r="BA463" i="2"/>
  <c r="AZ463" i="2"/>
  <c r="AY463" i="2"/>
  <c r="AX463" i="2"/>
  <c r="AW463" i="2"/>
  <c r="AV463" i="2"/>
  <c r="AU463" i="2"/>
  <c r="AT463" i="2"/>
  <c r="AS463" i="2"/>
  <c r="AR463" i="2"/>
  <c r="AQ463" i="2"/>
  <c r="AP463" i="2"/>
  <c r="AO463" i="2"/>
  <c r="AN463" i="2"/>
  <c r="AM463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BF462" i="2"/>
  <c r="BE462" i="2"/>
  <c r="BD462" i="2"/>
  <c r="BC462" i="2"/>
  <c r="BB462" i="2"/>
  <c r="BA462" i="2"/>
  <c r="AZ462" i="2"/>
  <c r="AY462" i="2"/>
  <c r="AX462" i="2"/>
  <c r="AW462" i="2"/>
  <c r="AV462" i="2"/>
  <c r="AU462" i="2"/>
  <c r="AT462" i="2"/>
  <c r="AS462" i="2"/>
  <c r="AR462" i="2"/>
  <c r="AQ462" i="2"/>
  <c r="AP462" i="2"/>
  <c r="AO462" i="2"/>
  <c r="AN462" i="2"/>
  <c r="AM462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BF461" i="2"/>
  <c r="BE461" i="2"/>
  <c r="BD461" i="2"/>
  <c r="BC461" i="2"/>
  <c r="BB461" i="2"/>
  <c r="BA461" i="2"/>
  <c r="AZ461" i="2"/>
  <c r="AY461" i="2"/>
  <c r="AX461" i="2"/>
  <c r="AW461" i="2"/>
  <c r="AV461" i="2"/>
  <c r="AU461" i="2"/>
  <c r="AT461" i="2"/>
  <c r="AS461" i="2"/>
  <c r="AR461" i="2"/>
  <c r="AQ461" i="2"/>
  <c r="AP461" i="2"/>
  <c r="AO461" i="2"/>
  <c r="AN461" i="2"/>
  <c r="AM461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BF459" i="2"/>
  <c r="BE459" i="2"/>
  <c r="BD459" i="2"/>
  <c r="BC459" i="2"/>
  <c r="BB459" i="2"/>
  <c r="BA459" i="2"/>
  <c r="AZ459" i="2"/>
  <c r="AY459" i="2"/>
  <c r="AX459" i="2"/>
  <c r="AW459" i="2"/>
  <c r="AV459" i="2"/>
  <c r="AU459" i="2"/>
  <c r="AT459" i="2"/>
  <c r="AS459" i="2"/>
  <c r="AR459" i="2"/>
  <c r="AQ459" i="2"/>
  <c r="AP459" i="2"/>
  <c r="AO459" i="2"/>
  <c r="AN459" i="2"/>
  <c r="AM459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BF458" i="2"/>
  <c r="BE458" i="2"/>
  <c r="BD458" i="2"/>
  <c r="BC458" i="2"/>
  <c r="BB458" i="2"/>
  <c r="BA458" i="2"/>
  <c r="AZ458" i="2"/>
  <c r="AY458" i="2"/>
  <c r="AX458" i="2"/>
  <c r="AW458" i="2"/>
  <c r="AV458" i="2"/>
  <c r="AU458" i="2"/>
  <c r="AT458" i="2"/>
  <c r="AS458" i="2"/>
  <c r="AR458" i="2"/>
  <c r="AQ458" i="2"/>
  <c r="AP458" i="2"/>
  <c r="AO458" i="2"/>
  <c r="AN458" i="2"/>
  <c r="AM458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BF456" i="2"/>
  <c r="BE456" i="2"/>
  <c r="BD456" i="2"/>
  <c r="BC456" i="2"/>
  <c r="BB456" i="2"/>
  <c r="BA456" i="2"/>
  <c r="AZ456" i="2"/>
  <c r="AY456" i="2"/>
  <c r="AX456" i="2"/>
  <c r="AW456" i="2"/>
  <c r="AV456" i="2"/>
  <c r="AU456" i="2"/>
  <c r="AT456" i="2"/>
  <c r="AS456" i="2"/>
  <c r="AR456" i="2"/>
  <c r="AQ456" i="2"/>
  <c r="AP456" i="2"/>
  <c r="AO456" i="2"/>
  <c r="AN456" i="2"/>
  <c r="AM456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BF455" i="2"/>
  <c r="BE455" i="2"/>
  <c r="BD455" i="2"/>
  <c r="BC455" i="2"/>
  <c r="BB455" i="2"/>
  <c r="BA455" i="2"/>
  <c r="AZ455" i="2"/>
  <c r="AY455" i="2"/>
  <c r="AX455" i="2"/>
  <c r="AW455" i="2"/>
  <c r="AV455" i="2"/>
  <c r="AU455" i="2"/>
  <c r="AT455" i="2"/>
  <c r="AS455" i="2"/>
  <c r="AR455" i="2"/>
  <c r="AQ455" i="2"/>
  <c r="AP455" i="2"/>
  <c r="AO455" i="2"/>
  <c r="AN455" i="2"/>
  <c r="AM455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BF454" i="2"/>
  <c r="BE454" i="2"/>
  <c r="BD454" i="2"/>
  <c r="BC454" i="2"/>
  <c r="BB454" i="2"/>
  <c r="BA454" i="2"/>
  <c r="AZ454" i="2"/>
  <c r="AY454" i="2"/>
  <c r="AX454" i="2"/>
  <c r="AW454" i="2"/>
  <c r="AV454" i="2"/>
  <c r="AU454" i="2"/>
  <c r="AT454" i="2"/>
  <c r="AS454" i="2"/>
  <c r="AR454" i="2"/>
  <c r="AQ454" i="2"/>
  <c r="AP454" i="2"/>
  <c r="AO454" i="2"/>
  <c r="AN454" i="2"/>
  <c r="AM454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BF452" i="2"/>
  <c r="BE452" i="2"/>
  <c r="BD452" i="2"/>
  <c r="BC452" i="2"/>
  <c r="BB452" i="2"/>
  <c r="BA452" i="2"/>
  <c r="AZ452" i="2"/>
  <c r="AY452" i="2"/>
  <c r="AX452" i="2"/>
  <c r="AW452" i="2"/>
  <c r="AV452" i="2"/>
  <c r="AU452" i="2"/>
  <c r="AT452" i="2"/>
  <c r="AS452" i="2"/>
  <c r="AR452" i="2"/>
  <c r="AQ452" i="2"/>
  <c r="AP452" i="2"/>
  <c r="AO452" i="2"/>
  <c r="AN452" i="2"/>
  <c r="AM452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BF451" i="2"/>
  <c r="BE451" i="2"/>
  <c r="BD451" i="2"/>
  <c r="BC451" i="2"/>
  <c r="BB451" i="2"/>
  <c r="BA451" i="2"/>
  <c r="AZ451" i="2"/>
  <c r="AY451" i="2"/>
  <c r="AX451" i="2"/>
  <c r="AW451" i="2"/>
  <c r="AV451" i="2"/>
  <c r="AU451" i="2"/>
  <c r="AT451" i="2"/>
  <c r="AS451" i="2"/>
  <c r="AR451" i="2"/>
  <c r="AQ451" i="2"/>
  <c r="AP451" i="2"/>
  <c r="AO451" i="2"/>
  <c r="AN451" i="2"/>
  <c r="AM451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BF450" i="2"/>
  <c r="BE450" i="2"/>
  <c r="BD450" i="2"/>
  <c r="BC450" i="2"/>
  <c r="BB450" i="2"/>
  <c r="BA450" i="2"/>
  <c r="AZ450" i="2"/>
  <c r="AY450" i="2"/>
  <c r="AX450" i="2"/>
  <c r="AW450" i="2"/>
  <c r="AV450" i="2"/>
  <c r="AU450" i="2"/>
  <c r="AT450" i="2"/>
  <c r="AS450" i="2"/>
  <c r="AR450" i="2"/>
  <c r="AQ450" i="2"/>
  <c r="AP450" i="2"/>
  <c r="AO450" i="2"/>
  <c r="AN450" i="2"/>
  <c r="AM450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BF449" i="2"/>
  <c r="BE449" i="2"/>
  <c r="BD449" i="2"/>
  <c r="BC449" i="2"/>
  <c r="BB449" i="2"/>
  <c r="BA449" i="2"/>
  <c r="AZ449" i="2"/>
  <c r="AY449" i="2"/>
  <c r="AX449" i="2"/>
  <c r="AW449" i="2"/>
  <c r="AV449" i="2"/>
  <c r="AU449" i="2"/>
  <c r="AT449" i="2"/>
  <c r="AS449" i="2"/>
  <c r="AR449" i="2"/>
  <c r="AQ449" i="2"/>
  <c r="AP449" i="2"/>
  <c r="AO449" i="2"/>
  <c r="AN449" i="2"/>
  <c r="AM449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BF448" i="2"/>
  <c r="BE448" i="2"/>
  <c r="BD448" i="2"/>
  <c r="BC448" i="2"/>
  <c r="BB448" i="2"/>
  <c r="BA448" i="2"/>
  <c r="AZ448" i="2"/>
  <c r="AY448" i="2"/>
  <c r="AX448" i="2"/>
  <c r="AW448" i="2"/>
  <c r="AV448" i="2"/>
  <c r="AU448" i="2"/>
  <c r="AT448" i="2"/>
  <c r="AS448" i="2"/>
  <c r="AR448" i="2"/>
  <c r="AQ448" i="2"/>
  <c r="AP448" i="2"/>
  <c r="AO448" i="2"/>
  <c r="AN448" i="2"/>
  <c r="AM448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BF446" i="2"/>
  <c r="BE446" i="2"/>
  <c r="BD446" i="2"/>
  <c r="BC446" i="2"/>
  <c r="BB446" i="2"/>
  <c r="BA446" i="2"/>
  <c r="AZ446" i="2"/>
  <c r="AY446" i="2"/>
  <c r="AX446" i="2"/>
  <c r="AW446" i="2"/>
  <c r="AV446" i="2"/>
  <c r="AU446" i="2"/>
  <c r="AT446" i="2"/>
  <c r="AS446" i="2"/>
  <c r="AR446" i="2"/>
  <c r="AQ446" i="2"/>
  <c r="AP446" i="2"/>
  <c r="AO446" i="2"/>
  <c r="AN446" i="2"/>
  <c r="AM446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BF445" i="2"/>
  <c r="BE445" i="2"/>
  <c r="BD445" i="2"/>
  <c r="BC445" i="2"/>
  <c r="BB445" i="2"/>
  <c r="BA445" i="2"/>
  <c r="AZ445" i="2"/>
  <c r="AY445" i="2"/>
  <c r="AX445" i="2"/>
  <c r="AW445" i="2"/>
  <c r="AV445" i="2"/>
  <c r="AU445" i="2"/>
  <c r="AT445" i="2"/>
  <c r="AS445" i="2"/>
  <c r="AR445" i="2"/>
  <c r="AQ445" i="2"/>
  <c r="AP445" i="2"/>
  <c r="AO445" i="2"/>
  <c r="AN445" i="2"/>
  <c r="AM445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BF386" i="2"/>
  <c r="BE386" i="2"/>
  <c r="BD386" i="2"/>
  <c r="BC386" i="2"/>
  <c r="BB386" i="2"/>
  <c r="BA386" i="2"/>
  <c r="AZ386" i="2"/>
  <c r="AY386" i="2"/>
  <c r="AX386" i="2"/>
  <c r="AW386" i="2"/>
  <c r="AV386" i="2"/>
  <c r="AU386" i="2"/>
  <c r="AT386" i="2"/>
  <c r="AS386" i="2"/>
  <c r="AR386" i="2"/>
  <c r="AQ386" i="2"/>
  <c r="AP386" i="2"/>
  <c r="AO386" i="2"/>
  <c r="AN386" i="2"/>
  <c r="AM386" i="2"/>
  <c r="AL386" i="2"/>
  <c r="AK386" i="2"/>
  <c r="AJ386" i="2"/>
  <c r="AI386" i="2"/>
  <c r="AH386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BF385" i="2"/>
  <c r="BE385" i="2"/>
  <c r="BD385" i="2"/>
  <c r="BC385" i="2"/>
  <c r="BB385" i="2"/>
  <c r="BA385" i="2"/>
  <c r="AZ385" i="2"/>
  <c r="AY385" i="2"/>
  <c r="AX385" i="2"/>
  <c r="AW385" i="2"/>
  <c r="AV385" i="2"/>
  <c r="AU385" i="2"/>
  <c r="AT385" i="2"/>
  <c r="AS385" i="2"/>
  <c r="AR385" i="2"/>
  <c r="AQ385" i="2"/>
  <c r="AP385" i="2"/>
  <c r="AO385" i="2"/>
  <c r="AN385" i="2"/>
  <c r="AM385" i="2"/>
  <c r="AL385" i="2"/>
  <c r="AK385" i="2"/>
  <c r="AJ385" i="2"/>
  <c r="AI385" i="2"/>
  <c r="AH385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BF384" i="2"/>
  <c r="BE384" i="2"/>
  <c r="BD384" i="2"/>
  <c r="BC384" i="2"/>
  <c r="BB384" i="2"/>
  <c r="BA384" i="2"/>
  <c r="AZ384" i="2"/>
  <c r="AY384" i="2"/>
  <c r="AX384" i="2"/>
  <c r="AW384" i="2"/>
  <c r="AV384" i="2"/>
  <c r="AU384" i="2"/>
  <c r="AT384" i="2"/>
  <c r="AS384" i="2"/>
  <c r="AR384" i="2"/>
  <c r="AQ384" i="2"/>
  <c r="AP384" i="2"/>
  <c r="AO384" i="2"/>
  <c r="AN384" i="2"/>
  <c r="AM384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F383" i="2"/>
  <c r="BE383" i="2"/>
  <c r="BD383" i="2"/>
  <c r="BC383" i="2"/>
  <c r="BB383" i="2"/>
  <c r="BA383" i="2"/>
  <c r="AZ383" i="2"/>
  <c r="AY383" i="2"/>
  <c r="AX383" i="2"/>
  <c r="AW383" i="2"/>
  <c r="AV383" i="2"/>
  <c r="AU383" i="2"/>
  <c r="AT383" i="2"/>
  <c r="AS383" i="2"/>
  <c r="AR383" i="2"/>
  <c r="AQ383" i="2"/>
  <c r="AP383" i="2"/>
  <c r="AO383" i="2"/>
  <c r="AN383" i="2"/>
  <c r="AM383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F382" i="2"/>
  <c r="BE382" i="2"/>
  <c r="BD382" i="2"/>
  <c r="BC382" i="2"/>
  <c r="BB382" i="2"/>
  <c r="BA382" i="2"/>
  <c r="AZ382" i="2"/>
  <c r="AY382" i="2"/>
  <c r="AX382" i="2"/>
  <c r="AW382" i="2"/>
  <c r="AV382" i="2"/>
  <c r="AU382" i="2"/>
  <c r="AT382" i="2"/>
  <c r="AS382" i="2"/>
  <c r="AR382" i="2"/>
  <c r="AQ382" i="2"/>
  <c r="AP382" i="2"/>
  <c r="AO382" i="2"/>
  <c r="AN382" i="2"/>
  <c r="AM382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F381" i="2"/>
  <c r="BE381" i="2"/>
  <c r="BD381" i="2"/>
  <c r="BC381" i="2"/>
  <c r="BB381" i="2"/>
  <c r="BA381" i="2"/>
  <c r="AZ381" i="2"/>
  <c r="AY381" i="2"/>
  <c r="AX381" i="2"/>
  <c r="AW381" i="2"/>
  <c r="AV381" i="2"/>
  <c r="AU381" i="2"/>
  <c r="AT381" i="2"/>
  <c r="AS381" i="2"/>
  <c r="AR381" i="2"/>
  <c r="AQ381" i="2"/>
  <c r="AP381" i="2"/>
  <c r="AO381" i="2"/>
  <c r="AN381" i="2"/>
  <c r="AM381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F380" i="2"/>
  <c r="BE380" i="2"/>
  <c r="BD380" i="2"/>
  <c r="BC380" i="2"/>
  <c r="BB380" i="2"/>
  <c r="BA380" i="2"/>
  <c r="AZ380" i="2"/>
  <c r="AY380" i="2"/>
  <c r="AX380" i="2"/>
  <c r="AW380" i="2"/>
  <c r="AV380" i="2"/>
  <c r="AU380" i="2"/>
  <c r="AT380" i="2"/>
  <c r="AS380" i="2"/>
  <c r="AR380" i="2"/>
  <c r="AQ380" i="2"/>
  <c r="AP380" i="2"/>
  <c r="AO380" i="2"/>
  <c r="AN380" i="2"/>
  <c r="AM380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F377" i="2"/>
  <c r="BE377" i="2"/>
  <c r="BD377" i="2"/>
  <c r="BC377" i="2"/>
  <c r="BB377" i="2"/>
  <c r="BA377" i="2"/>
  <c r="AZ377" i="2"/>
  <c r="AY377" i="2"/>
  <c r="AX377" i="2"/>
  <c r="AW377" i="2"/>
  <c r="AV377" i="2"/>
  <c r="AU377" i="2"/>
  <c r="AT377" i="2"/>
  <c r="AS377" i="2"/>
  <c r="AR377" i="2"/>
  <c r="AQ377" i="2"/>
  <c r="AP377" i="2"/>
  <c r="AO377" i="2"/>
  <c r="AN377" i="2"/>
  <c r="AM377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F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F375" i="2"/>
  <c r="BE375" i="2"/>
  <c r="BD375" i="2"/>
  <c r="BC375" i="2"/>
  <c r="BB375" i="2"/>
  <c r="BA375" i="2"/>
  <c r="AZ375" i="2"/>
  <c r="AY375" i="2"/>
  <c r="AX375" i="2"/>
  <c r="AW375" i="2"/>
  <c r="AV375" i="2"/>
  <c r="AU375" i="2"/>
  <c r="AT375" i="2"/>
  <c r="AS375" i="2"/>
  <c r="AR375" i="2"/>
  <c r="AQ375" i="2"/>
  <c r="AP375" i="2"/>
  <c r="AO375" i="2"/>
  <c r="AN375" i="2"/>
  <c r="AM375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F374" i="2"/>
  <c r="BE374" i="2"/>
  <c r="BD374" i="2"/>
  <c r="BC374" i="2"/>
  <c r="BB374" i="2"/>
  <c r="BA374" i="2"/>
  <c r="AZ374" i="2"/>
  <c r="AY374" i="2"/>
  <c r="AX374" i="2"/>
  <c r="AW374" i="2"/>
  <c r="AV374" i="2"/>
  <c r="AU374" i="2"/>
  <c r="AT374" i="2"/>
  <c r="AS374" i="2"/>
  <c r="AR374" i="2"/>
  <c r="AQ374" i="2"/>
  <c r="AP374" i="2"/>
  <c r="AO374" i="2"/>
  <c r="AN374" i="2"/>
  <c r="AM374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F373" i="2"/>
  <c r="BE373" i="2"/>
  <c r="BD373" i="2"/>
  <c r="BC373" i="2"/>
  <c r="BB373" i="2"/>
  <c r="BA373" i="2"/>
  <c r="AZ373" i="2"/>
  <c r="AY373" i="2"/>
  <c r="AX373" i="2"/>
  <c r="AW373" i="2"/>
  <c r="AV373" i="2"/>
  <c r="AU373" i="2"/>
  <c r="AT373" i="2"/>
  <c r="AS373" i="2"/>
  <c r="AR373" i="2"/>
  <c r="AQ373" i="2"/>
  <c r="AP373" i="2"/>
  <c r="AO373" i="2"/>
  <c r="AN373" i="2"/>
  <c r="AM373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F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F371" i="2"/>
  <c r="BE371" i="2"/>
  <c r="BD371" i="2"/>
  <c r="BC371" i="2"/>
  <c r="BB371" i="2"/>
  <c r="BA371" i="2"/>
  <c r="AZ371" i="2"/>
  <c r="AY371" i="2"/>
  <c r="AX371" i="2"/>
  <c r="AW371" i="2"/>
  <c r="AV371" i="2"/>
  <c r="AU371" i="2"/>
  <c r="AT371" i="2"/>
  <c r="AS371" i="2"/>
  <c r="AR371" i="2"/>
  <c r="AQ371" i="2"/>
  <c r="AP371" i="2"/>
  <c r="AO371" i="2"/>
  <c r="AN371" i="2"/>
  <c r="AM371" i="2"/>
  <c r="AL371" i="2"/>
  <c r="AK371" i="2"/>
  <c r="AJ371" i="2"/>
  <c r="AI371" i="2"/>
  <c r="AH371" i="2"/>
  <c r="AG371" i="2"/>
  <c r="AF371" i="2"/>
  <c r="AE371" i="2"/>
  <c r="AD371" i="2"/>
  <c r="AC371" i="2"/>
  <c r="AB371" i="2"/>
  <c r="AA371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BF306" i="2"/>
  <c r="BE306" i="2"/>
  <c r="BD306" i="2"/>
  <c r="BC306" i="2"/>
  <c r="BB306" i="2"/>
  <c r="BA306" i="2"/>
  <c r="AZ306" i="2"/>
  <c r="AY306" i="2"/>
  <c r="AX306" i="2"/>
  <c r="AW306" i="2"/>
  <c r="AV306" i="2"/>
  <c r="AU306" i="2"/>
  <c r="AT306" i="2"/>
  <c r="AS306" i="2"/>
  <c r="AR306" i="2"/>
  <c r="AQ306" i="2"/>
  <c r="AP306" i="2"/>
  <c r="AO306" i="2"/>
  <c r="AN306" i="2"/>
  <c r="AM306" i="2"/>
  <c r="AL306" i="2"/>
  <c r="AK306" i="2"/>
  <c r="AJ306" i="2"/>
  <c r="AI306" i="2"/>
  <c r="AH306" i="2"/>
  <c r="AG306" i="2"/>
  <c r="AF306" i="2"/>
  <c r="AE306" i="2"/>
  <c r="AD306" i="2"/>
  <c r="AC306" i="2"/>
  <c r="AB306" i="2"/>
  <c r="AA306" i="2"/>
  <c r="Z306" i="2"/>
  <c r="Y306" i="2"/>
  <c r="X306" i="2"/>
  <c r="W306" i="2"/>
  <c r="V306" i="2"/>
  <c r="U306" i="2"/>
  <c r="T306" i="2"/>
  <c r="S306" i="2"/>
  <c r="R306" i="2"/>
  <c r="Q306" i="2"/>
  <c r="P306" i="2"/>
  <c r="O306" i="2"/>
  <c r="N306" i="2"/>
  <c r="M306" i="2"/>
  <c r="L306" i="2"/>
  <c r="K306" i="2"/>
  <c r="J306" i="2"/>
  <c r="I306" i="2"/>
  <c r="H306" i="2"/>
  <c r="G306" i="2"/>
  <c r="F306" i="2"/>
  <c r="E306" i="2"/>
  <c r="D306" i="2"/>
  <c r="C306" i="2"/>
  <c r="BF305" i="2"/>
  <c r="BE305" i="2"/>
  <c r="BD305" i="2"/>
  <c r="BC305" i="2"/>
  <c r="BB305" i="2"/>
  <c r="BA305" i="2"/>
  <c r="AZ305" i="2"/>
  <c r="AY305" i="2"/>
  <c r="AX305" i="2"/>
  <c r="AW305" i="2"/>
  <c r="AV305" i="2"/>
  <c r="AU305" i="2"/>
  <c r="AT305" i="2"/>
  <c r="AS305" i="2"/>
  <c r="AR305" i="2"/>
  <c r="AQ305" i="2"/>
  <c r="AP305" i="2"/>
  <c r="AO305" i="2"/>
  <c r="AN305" i="2"/>
  <c r="AM305" i="2"/>
  <c r="AL305" i="2"/>
  <c r="AK305" i="2"/>
  <c r="AJ305" i="2"/>
  <c r="AI305" i="2"/>
  <c r="AH305" i="2"/>
  <c r="AG305" i="2"/>
  <c r="AF305" i="2"/>
  <c r="AE305" i="2"/>
  <c r="AD305" i="2"/>
  <c r="AC305" i="2"/>
  <c r="AB305" i="2"/>
  <c r="AA305" i="2"/>
  <c r="Z305" i="2"/>
  <c r="Y305" i="2"/>
  <c r="X305" i="2"/>
  <c r="W305" i="2"/>
  <c r="V305" i="2"/>
  <c r="U305" i="2"/>
  <c r="T305" i="2"/>
  <c r="S305" i="2"/>
  <c r="R305" i="2"/>
  <c r="Q305" i="2"/>
  <c r="P305" i="2"/>
  <c r="O305" i="2"/>
  <c r="N305" i="2"/>
  <c r="M305" i="2"/>
  <c r="L305" i="2"/>
  <c r="K305" i="2"/>
  <c r="J305" i="2"/>
  <c r="I305" i="2"/>
  <c r="H305" i="2"/>
  <c r="G305" i="2"/>
  <c r="F305" i="2"/>
  <c r="E305" i="2"/>
  <c r="D305" i="2"/>
  <c r="C305" i="2"/>
  <c r="BF304" i="2"/>
  <c r="BE304" i="2"/>
  <c r="BD304" i="2"/>
  <c r="BC304" i="2"/>
  <c r="BB304" i="2"/>
  <c r="BA304" i="2"/>
  <c r="AZ304" i="2"/>
  <c r="AY304" i="2"/>
  <c r="AX304" i="2"/>
  <c r="AW304" i="2"/>
  <c r="AV304" i="2"/>
  <c r="AU304" i="2"/>
  <c r="AT304" i="2"/>
  <c r="AS304" i="2"/>
  <c r="AR304" i="2"/>
  <c r="AQ304" i="2"/>
  <c r="AP304" i="2"/>
  <c r="AO304" i="2"/>
  <c r="AN304" i="2"/>
  <c r="AM304" i="2"/>
  <c r="AL304" i="2"/>
  <c r="AK304" i="2"/>
  <c r="AJ304" i="2"/>
  <c r="AI304" i="2"/>
  <c r="AH304" i="2"/>
  <c r="AG304" i="2"/>
  <c r="AF304" i="2"/>
  <c r="AE304" i="2"/>
  <c r="AD304" i="2"/>
  <c r="AC304" i="2"/>
  <c r="AB304" i="2"/>
  <c r="AA304" i="2"/>
  <c r="Z304" i="2"/>
  <c r="Y304" i="2"/>
  <c r="X304" i="2"/>
  <c r="W304" i="2"/>
  <c r="V304" i="2"/>
  <c r="U304" i="2"/>
  <c r="T304" i="2"/>
  <c r="S304" i="2"/>
  <c r="R304" i="2"/>
  <c r="Q304" i="2"/>
  <c r="P304" i="2"/>
  <c r="O304" i="2"/>
  <c r="N304" i="2"/>
  <c r="M304" i="2"/>
  <c r="L304" i="2"/>
  <c r="K304" i="2"/>
  <c r="J304" i="2"/>
  <c r="I304" i="2"/>
  <c r="H304" i="2"/>
  <c r="G304" i="2"/>
  <c r="F304" i="2"/>
  <c r="E304" i="2"/>
  <c r="D304" i="2"/>
  <c r="C304" i="2"/>
  <c r="BF303" i="2"/>
  <c r="BE303" i="2"/>
  <c r="BD303" i="2"/>
  <c r="BC303" i="2"/>
  <c r="BB303" i="2"/>
  <c r="BA303" i="2"/>
  <c r="AZ303" i="2"/>
  <c r="AY303" i="2"/>
  <c r="AX303" i="2"/>
  <c r="AW303" i="2"/>
  <c r="AV303" i="2"/>
  <c r="AU303" i="2"/>
  <c r="AT303" i="2"/>
  <c r="AS303" i="2"/>
  <c r="AR303" i="2"/>
  <c r="AQ303" i="2"/>
  <c r="AP303" i="2"/>
  <c r="AO303" i="2"/>
  <c r="AN303" i="2"/>
  <c r="AM303" i="2"/>
  <c r="AL303" i="2"/>
  <c r="AK303" i="2"/>
  <c r="AJ303" i="2"/>
  <c r="AI303" i="2"/>
  <c r="AH303" i="2"/>
  <c r="AG303" i="2"/>
  <c r="AF303" i="2"/>
  <c r="AE303" i="2"/>
  <c r="AD303" i="2"/>
  <c r="AC303" i="2"/>
  <c r="AB303" i="2"/>
  <c r="AA303" i="2"/>
  <c r="Z303" i="2"/>
  <c r="Y303" i="2"/>
  <c r="X303" i="2"/>
  <c r="W303" i="2"/>
  <c r="V303" i="2"/>
  <c r="U303" i="2"/>
  <c r="T303" i="2"/>
  <c r="S303" i="2"/>
  <c r="R303" i="2"/>
  <c r="Q303" i="2"/>
  <c r="P303" i="2"/>
  <c r="O303" i="2"/>
  <c r="N303" i="2"/>
  <c r="M303" i="2"/>
  <c r="L303" i="2"/>
  <c r="K303" i="2"/>
  <c r="J303" i="2"/>
  <c r="I303" i="2"/>
  <c r="H303" i="2"/>
  <c r="G303" i="2"/>
  <c r="F303" i="2"/>
  <c r="E303" i="2"/>
  <c r="D303" i="2"/>
  <c r="C303" i="2"/>
  <c r="BF300" i="2"/>
  <c r="BE300" i="2"/>
  <c r="BD300" i="2"/>
  <c r="BC300" i="2"/>
  <c r="BB300" i="2"/>
  <c r="BA300" i="2"/>
  <c r="AZ300" i="2"/>
  <c r="AY300" i="2"/>
  <c r="AX300" i="2"/>
  <c r="AW300" i="2"/>
  <c r="AV300" i="2"/>
  <c r="AU300" i="2"/>
  <c r="AT300" i="2"/>
  <c r="AS300" i="2"/>
  <c r="AR300" i="2"/>
  <c r="AQ300" i="2"/>
  <c r="AP300" i="2"/>
  <c r="AO300" i="2"/>
  <c r="AN300" i="2"/>
  <c r="AM300" i="2"/>
  <c r="AL300" i="2"/>
  <c r="AK300" i="2"/>
  <c r="AJ300" i="2"/>
  <c r="AI300" i="2"/>
  <c r="AH300" i="2"/>
  <c r="AG300" i="2"/>
  <c r="AF300" i="2"/>
  <c r="AE300" i="2"/>
  <c r="AD300" i="2"/>
  <c r="AC300" i="2"/>
  <c r="AB300" i="2"/>
  <c r="AA300" i="2"/>
  <c r="Z300" i="2"/>
  <c r="Y300" i="2"/>
  <c r="X300" i="2"/>
  <c r="W300" i="2"/>
  <c r="V300" i="2"/>
  <c r="U300" i="2"/>
  <c r="T300" i="2"/>
  <c r="S300" i="2"/>
  <c r="R300" i="2"/>
  <c r="Q300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F299" i="2"/>
  <c r="BE299" i="2"/>
  <c r="BD299" i="2"/>
  <c r="BC299" i="2"/>
  <c r="BB299" i="2"/>
  <c r="BA299" i="2"/>
  <c r="AZ299" i="2"/>
  <c r="AY299" i="2"/>
  <c r="AX299" i="2"/>
  <c r="AW299" i="2"/>
  <c r="AV299" i="2"/>
  <c r="AU299" i="2"/>
  <c r="AT299" i="2"/>
  <c r="AS299" i="2"/>
  <c r="AR299" i="2"/>
  <c r="AQ299" i="2"/>
  <c r="AP299" i="2"/>
  <c r="AO299" i="2"/>
  <c r="AN299" i="2"/>
  <c r="AM299" i="2"/>
  <c r="AL299" i="2"/>
  <c r="AK299" i="2"/>
  <c r="AJ299" i="2"/>
  <c r="AI299" i="2"/>
  <c r="AH299" i="2"/>
  <c r="AG299" i="2"/>
  <c r="AF299" i="2"/>
  <c r="AE299" i="2"/>
  <c r="AD299" i="2"/>
  <c r="AC299" i="2"/>
  <c r="AB299" i="2"/>
  <c r="AA299" i="2"/>
  <c r="Z299" i="2"/>
  <c r="Y299" i="2"/>
  <c r="X299" i="2"/>
  <c r="W299" i="2"/>
  <c r="V299" i="2"/>
  <c r="U299" i="2"/>
  <c r="T299" i="2"/>
  <c r="S299" i="2"/>
  <c r="R299" i="2"/>
  <c r="Q299" i="2"/>
  <c r="P299" i="2"/>
  <c r="O299" i="2"/>
  <c r="N299" i="2"/>
  <c r="M299" i="2"/>
  <c r="L299" i="2"/>
  <c r="K299" i="2"/>
  <c r="J299" i="2"/>
  <c r="I299" i="2"/>
  <c r="H299" i="2"/>
  <c r="G299" i="2"/>
  <c r="F299" i="2"/>
  <c r="E299" i="2"/>
  <c r="D299" i="2"/>
  <c r="C299" i="2"/>
  <c r="BF298" i="2"/>
  <c r="BE298" i="2"/>
  <c r="BD298" i="2"/>
  <c r="BC298" i="2"/>
  <c r="BB298" i="2"/>
  <c r="BA298" i="2"/>
  <c r="AZ298" i="2"/>
  <c r="AY298" i="2"/>
  <c r="AX298" i="2"/>
  <c r="AW298" i="2"/>
  <c r="AV298" i="2"/>
  <c r="AU298" i="2"/>
  <c r="AT298" i="2"/>
  <c r="AS298" i="2"/>
  <c r="AR298" i="2"/>
  <c r="AQ298" i="2"/>
  <c r="AP298" i="2"/>
  <c r="AO298" i="2"/>
  <c r="AN298" i="2"/>
  <c r="AM298" i="2"/>
  <c r="AL298" i="2"/>
  <c r="AK298" i="2"/>
  <c r="AJ298" i="2"/>
  <c r="AI298" i="2"/>
  <c r="AH298" i="2"/>
  <c r="AG298" i="2"/>
  <c r="AF298" i="2"/>
  <c r="AE298" i="2"/>
  <c r="AD298" i="2"/>
  <c r="AC298" i="2"/>
  <c r="AB298" i="2"/>
  <c r="AA298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BF297" i="2"/>
  <c r="BE297" i="2"/>
  <c r="BD297" i="2"/>
  <c r="BC297" i="2"/>
  <c r="BB297" i="2"/>
  <c r="BA297" i="2"/>
  <c r="AZ297" i="2"/>
  <c r="AY297" i="2"/>
  <c r="AX297" i="2"/>
  <c r="AW297" i="2"/>
  <c r="AV297" i="2"/>
  <c r="AU297" i="2"/>
  <c r="AT297" i="2"/>
  <c r="AS297" i="2"/>
  <c r="AR297" i="2"/>
  <c r="AQ297" i="2"/>
  <c r="AP297" i="2"/>
  <c r="AO297" i="2"/>
  <c r="AN297" i="2"/>
  <c r="AM297" i="2"/>
  <c r="AL297" i="2"/>
  <c r="AK297" i="2"/>
  <c r="AJ297" i="2"/>
  <c r="AI297" i="2"/>
  <c r="AH297" i="2"/>
  <c r="AG297" i="2"/>
  <c r="AF297" i="2"/>
  <c r="AE297" i="2"/>
  <c r="AD297" i="2"/>
  <c r="AC297" i="2"/>
  <c r="AB297" i="2"/>
  <c r="AA297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BF277" i="2"/>
  <c r="BE277" i="2"/>
  <c r="BD277" i="2"/>
  <c r="BC277" i="2"/>
  <c r="BB277" i="2"/>
  <c r="BA277" i="2"/>
  <c r="AZ277" i="2"/>
  <c r="AY277" i="2"/>
  <c r="AX277" i="2"/>
  <c r="AW277" i="2"/>
  <c r="AV277" i="2"/>
  <c r="AU277" i="2"/>
  <c r="AT277" i="2"/>
  <c r="AS277" i="2"/>
  <c r="AR277" i="2"/>
  <c r="AQ277" i="2"/>
  <c r="AP277" i="2"/>
  <c r="AO277" i="2"/>
  <c r="AN277" i="2"/>
  <c r="AM277" i="2"/>
  <c r="AL277" i="2"/>
  <c r="AK277" i="2"/>
  <c r="AJ277" i="2"/>
  <c r="AI277" i="2"/>
  <c r="AH277" i="2"/>
  <c r="AG277" i="2"/>
  <c r="AF277" i="2"/>
  <c r="AE277" i="2"/>
  <c r="AD277" i="2"/>
  <c r="AC277" i="2"/>
  <c r="AB277" i="2"/>
  <c r="AA277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G277" i="2"/>
  <c r="F277" i="2"/>
  <c r="E277" i="2"/>
  <c r="D277" i="2"/>
  <c r="C277" i="2"/>
  <c r="BF276" i="2"/>
  <c r="BE276" i="2"/>
  <c r="BD276" i="2"/>
  <c r="BC276" i="2"/>
  <c r="BB276" i="2"/>
  <c r="BA276" i="2"/>
  <c r="AZ276" i="2"/>
  <c r="AY276" i="2"/>
  <c r="AX276" i="2"/>
  <c r="AW276" i="2"/>
  <c r="AV276" i="2"/>
  <c r="AU276" i="2"/>
  <c r="AT276" i="2"/>
  <c r="AS276" i="2"/>
  <c r="AR276" i="2"/>
  <c r="AQ276" i="2"/>
  <c r="AP276" i="2"/>
  <c r="AO276" i="2"/>
  <c r="AN276" i="2"/>
  <c r="AM276" i="2"/>
  <c r="AL276" i="2"/>
  <c r="AK276" i="2"/>
  <c r="AJ276" i="2"/>
  <c r="AI276" i="2"/>
  <c r="AH276" i="2"/>
  <c r="AG276" i="2"/>
  <c r="AF276" i="2"/>
  <c r="AE276" i="2"/>
  <c r="AD276" i="2"/>
  <c r="AC276" i="2"/>
  <c r="AB276" i="2"/>
  <c r="AA276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BF275" i="2"/>
  <c r="BE275" i="2"/>
  <c r="BD275" i="2"/>
  <c r="BC275" i="2"/>
  <c r="BB275" i="2"/>
  <c r="BA275" i="2"/>
  <c r="AZ275" i="2"/>
  <c r="AY275" i="2"/>
  <c r="AX275" i="2"/>
  <c r="AW275" i="2"/>
  <c r="AV275" i="2"/>
  <c r="AU275" i="2"/>
  <c r="AT275" i="2"/>
  <c r="AS275" i="2"/>
  <c r="AR275" i="2"/>
  <c r="AQ275" i="2"/>
  <c r="AP275" i="2"/>
  <c r="AO275" i="2"/>
  <c r="AN275" i="2"/>
  <c r="AM275" i="2"/>
  <c r="AL275" i="2"/>
  <c r="AK275" i="2"/>
  <c r="AJ275" i="2"/>
  <c r="AI275" i="2"/>
  <c r="AH275" i="2"/>
  <c r="AG275" i="2"/>
  <c r="AF275" i="2"/>
  <c r="AE275" i="2"/>
  <c r="AD275" i="2"/>
  <c r="AC275" i="2"/>
  <c r="AB275" i="2"/>
  <c r="AA275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BF274" i="2"/>
  <c r="BE274" i="2"/>
  <c r="BD274" i="2"/>
  <c r="BC274" i="2"/>
  <c r="BB274" i="2"/>
  <c r="BA274" i="2"/>
  <c r="AZ274" i="2"/>
  <c r="AY274" i="2"/>
  <c r="AX274" i="2"/>
  <c r="AW274" i="2"/>
  <c r="AV274" i="2"/>
  <c r="AU274" i="2"/>
  <c r="AT274" i="2"/>
  <c r="AS274" i="2"/>
  <c r="AR274" i="2"/>
  <c r="AQ274" i="2"/>
  <c r="AP274" i="2"/>
  <c r="AO274" i="2"/>
  <c r="AN274" i="2"/>
  <c r="AM274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BF273" i="2"/>
  <c r="BE273" i="2"/>
  <c r="BD273" i="2"/>
  <c r="BC273" i="2"/>
  <c r="BB273" i="2"/>
  <c r="BA273" i="2"/>
  <c r="AZ273" i="2"/>
  <c r="AY273" i="2"/>
  <c r="AX273" i="2"/>
  <c r="AW273" i="2"/>
  <c r="AV273" i="2"/>
  <c r="AU273" i="2"/>
  <c r="AT273" i="2"/>
  <c r="AS273" i="2"/>
  <c r="AR273" i="2"/>
  <c r="AQ273" i="2"/>
  <c r="AP273" i="2"/>
  <c r="AO273" i="2"/>
  <c r="AN273" i="2"/>
  <c r="AM273" i="2"/>
  <c r="AL273" i="2"/>
  <c r="AK273" i="2"/>
  <c r="AJ273" i="2"/>
  <c r="AI273" i="2"/>
  <c r="AH273" i="2"/>
  <c r="AG273" i="2"/>
  <c r="AF273" i="2"/>
  <c r="AE273" i="2"/>
  <c r="AD273" i="2"/>
  <c r="AC273" i="2"/>
  <c r="AB273" i="2"/>
  <c r="AA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BF272" i="2"/>
  <c r="BE272" i="2"/>
  <c r="BD272" i="2"/>
  <c r="BC272" i="2"/>
  <c r="BB272" i="2"/>
  <c r="BA272" i="2"/>
  <c r="AZ272" i="2"/>
  <c r="AY272" i="2"/>
  <c r="AX272" i="2"/>
  <c r="AW272" i="2"/>
  <c r="AV272" i="2"/>
  <c r="AU272" i="2"/>
  <c r="AT272" i="2"/>
  <c r="AS272" i="2"/>
  <c r="AR272" i="2"/>
  <c r="AQ272" i="2"/>
  <c r="AP272" i="2"/>
  <c r="AO272" i="2"/>
  <c r="AN272" i="2"/>
  <c r="AM272" i="2"/>
  <c r="AL272" i="2"/>
  <c r="AK272" i="2"/>
  <c r="AJ272" i="2"/>
  <c r="AI272" i="2"/>
  <c r="AH272" i="2"/>
  <c r="AG272" i="2"/>
  <c r="AF272" i="2"/>
  <c r="AE272" i="2"/>
  <c r="AD272" i="2"/>
  <c r="AC272" i="2"/>
  <c r="AB272" i="2"/>
  <c r="AA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BF271" i="2"/>
  <c r="BE271" i="2"/>
  <c r="BD271" i="2"/>
  <c r="BC271" i="2"/>
  <c r="BB271" i="2"/>
  <c r="BA271" i="2"/>
  <c r="AZ271" i="2"/>
  <c r="AY271" i="2"/>
  <c r="AX271" i="2"/>
  <c r="AW271" i="2"/>
  <c r="AV271" i="2"/>
  <c r="AU271" i="2"/>
  <c r="AT271" i="2"/>
  <c r="AS271" i="2"/>
  <c r="AR271" i="2"/>
  <c r="AQ271" i="2"/>
  <c r="AP271" i="2"/>
  <c r="AO271" i="2"/>
  <c r="AN271" i="2"/>
  <c r="AM271" i="2"/>
  <c r="AL271" i="2"/>
  <c r="AK271" i="2"/>
  <c r="AJ271" i="2"/>
  <c r="AI271" i="2"/>
  <c r="AH271" i="2"/>
  <c r="AG271" i="2"/>
  <c r="AF271" i="2"/>
  <c r="AE271" i="2"/>
  <c r="AD271" i="2"/>
  <c r="AC271" i="2"/>
  <c r="AB271" i="2"/>
  <c r="AA271" i="2"/>
  <c r="Z271" i="2"/>
  <c r="Y271" i="2"/>
  <c r="X271" i="2"/>
  <c r="W271" i="2"/>
  <c r="V271" i="2"/>
  <c r="U271" i="2"/>
  <c r="T271" i="2"/>
  <c r="S271" i="2"/>
  <c r="R271" i="2"/>
  <c r="Q271" i="2"/>
  <c r="P271" i="2"/>
  <c r="O271" i="2"/>
  <c r="N271" i="2"/>
  <c r="M271" i="2"/>
  <c r="L271" i="2"/>
  <c r="K271" i="2"/>
  <c r="J271" i="2"/>
  <c r="I271" i="2"/>
  <c r="H271" i="2"/>
  <c r="G271" i="2"/>
  <c r="F271" i="2"/>
  <c r="E271" i="2"/>
  <c r="D271" i="2"/>
  <c r="C271" i="2"/>
  <c r="BF269" i="2"/>
  <c r="BE269" i="2"/>
  <c r="BD269" i="2"/>
  <c r="BC269" i="2"/>
  <c r="BB269" i="2"/>
  <c r="BA269" i="2"/>
  <c r="AZ269" i="2"/>
  <c r="AY269" i="2"/>
  <c r="AX269" i="2"/>
  <c r="AW269" i="2"/>
  <c r="AV269" i="2"/>
  <c r="AU269" i="2"/>
  <c r="AT269" i="2"/>
  <c r="AS269" i="2"/>
  <c r="AR269" i="2"/>
  <c r="AQ269" i="2"/>
  <c r="AP269" i="2"/>
  <c r="AO269" i="2"/>
  <c r="AN269" i="2"/>
  <c r="AM269" i="2"/>
  <c r="AL269" i="2"/>
  <c r="AK269" i="2"/>
  <c r="AJ269" i="2"/>
  <c r="AI269" i="2"/>
  <c r="AH269" i="2"/>
  <c r="AG269" i="2"/>
  <c r="AF269" i="2"/>
  <c r="AE269" i="2"/>
  <c r="AD269" i="2"/>
  <c r="AC269" i="2"/>
  <c r="AB269" i="2"/>
  <c r="AA269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BF268" i="2"/>
  <c r="BE268" i="2"/>
  <c r="BD268" i="2"/>
  <c r="BC268" i="2"/>
  <c r="BB268" i="2"/>
  <c r="BA268" i="2"/>
  <c r="AZ268" i="2"/>
  <c r="AY268" i="2"/>
  <c r="AX268" i="2"/>
  <c r="AW268" i="2"/>
  <c r="AV268" i="2"/>
  <c r="AU268" i="2"/>
  <c r="AT268" i="2"/>
  <c r="AS268" i="2"/>
  <c r="AR268" i="2"/>
  <c r="AQ268" i="2"/>
  <c r="AP268" i="2"/>
  <c r="AO268" i="2"/>
  <c r="AN268" i="2"/>
  <c r="AM268" i="2"/>
  <c r="AL268" i="2"/>
  <c r="AK268" i="2"/>
  <c r="AJ268" i="2"/>
  <c r="AI268" i="2"/>
  <c r="AH268" i="2"/>
  <c r="AG268" i="2"/>
  <c r="AF268" i="2"/>
  <c r="AE268" i="2"/>
  <c r="AD268" i="2"/>
  <c r="AC268" i="2"/>
  <c r="AB268" i="2"/>
  <c r="AA268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BF267" i="2"/>
  <c r="BE267" i="2"/>
  <c r="BD267" i="2"/>
  <c r="BC267" i="2"/>
  <c r="BB267" i="2"/>
  <c r="BA267" i="2"/>
  <c r="AZ267" i="2"/>
  <c r="AY267" i="2"/>
  <c r="AX267" i="2"/>
  <c r="AW267" i="2"/>
  <c r="AV267" i="2"/>
  <c r="AU267" i="2"/>
  <c r="AT267" i="2"/>
  <c r="AS267" i="2"/>
  <c r="AR267" i="2"/>
  <c r="AQ267" i="2"/>
  <c r="AP267" i="2"/>
  <c r="AO267" i="2"/>
  <c r="AN267" i="2"/>
  <c r="AM267" i="2"/>
  <c r="AL267" i="2"/>
  <c r="AK267" i="2"/>
  <c r="AJ267" i="2"/>
  <c r="AI267" i="2"/>
  <c r="AH267" i="2"/>
  <c r="AG267" i="2"/>
  <c r="AF267" i="2"/>
  <c r="AE267" i="2"/>
  <c r="AD267" i="2"/>
  <c r="AC267" i="2"/>
  <c r="AB267" i="2"/>
  <c r="AA267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BF266" i="2"/>
  <c r="BE266" i="2"/>
  <c r="BD266" i="2"/>
  <c r="BC266" i="2"/>
  <c r="BB266" i="2"/>
  <c r="BA266" i="2"/>
  <c r="AZ266" i="2"/>
  <c r="AY266" i="2"/>
  <c r="AX266" i="2"/>
  <c r="AW266" i="2"/>
  <c r="AV266" i="2"/>
  <c r="AU266" i="2"/>
  <c r="AT266" i="2"/>
  <c r="AS266" i="2"/>
  <c r="AR266" i="2"/>
  <c r="AQ266" i="2"/>
  <c r="AP266" i="2"/>
  <c r="AO266" i="2"/>
  <c r="AN266" i="2"/>
  <c r="AM266" i="2"/>
  <c r="AL266" i="2"/>
  <c r="AK266" i="2"/>
  <c r="AJ266" i="2"/>
  <c r="AI266" i="2"/>
  <c r="AH266" i="2"/>
  <c r="AG266" i="2"/>
  <c r="AF266" i="2"/>
  <c r="AE266" i="2"/>
  <c r="AD266" i="2"/>
  <c r="AC266" i="2"/>
  <c r="AB266" i="2"/>
  <c r="AA266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F265" i="2"/>
  <c r="BE265" i="2"/>
  <c r="BD265" i="2"/>
  <c r="BC265" i="2"/>
  <c r="BB265" i="2"/>
  <c r="BA265" i="2"/>
  <c r="AZ265" i="2"/>
  <c r="AY265" i="2"/>
  <c r="AX265" i="2"/>
  <c r="AW265" i="2"/>
  <c r="AV265" i="2"/>
  <c r="AU265" i="2"/>
  <c r="AT265" i="2"/>
  <c r="AS265" i="2"/>
  <c r="AR265" i="2"/>
  <c r="AQ265" i="2"/>
  <c r="AP265" i="2"/>
  <c r="AO265" i="2"/>
  <c r="AN265" i="2"/>
  <c r="AM265" i="2"/>
  <c r="AL265" i="2"/>
  <c r="AK265" i="2"/>
  <c r="AJ265" i="2"/>
  <c r="AI265" i="2"/>
  <c r="AH265" i="2"/>
  <c r="AG265" i="2"/>
  <c r="AF265" i="2"/>
  <c r="AE265" i="2"/>
  <c r="AD265" i="2"/>
  <c r="AC265" i="2"/>
  <c r="AB265" i="2"/>
  <c r="AA265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BF264" i="2"/>
  <c r="BE264" i="2"/>
  <c r="BD264" i="2"/>
  <c r="BC264" i="2"/>
  <c r="BB264" i="2"/>
  <c r="BA264" i="2"/>
  <c r="AZ264" i="2"/>
  <c r="AY264" i="2"/>
  <c r="AX264" i="2"/>
  <c r="AW264" i="2"/>
  <c r="AV264" i="2"/>
  <c r="AU264" i="2"/>
  <c r="AT264" i="2"/>
  <c r="AS264" i="2"/>
  <c r="AR264" i="2"/>
  <c r="AQ264" i="2"/>
  <c r="AP264" i="2"/>
  <c r="AO264" i="2"/>
  <c r="AN264" i="2"/>
  <c r="AM264" i="2"/>
  <c r="AL264" i="2"/>
  <c r="AK264" i="2"/>
  <c r="AJ264" i="2"/>
  <c r="AI264" i="2"/>
  <c r="AH264" i="2"/>
  <c r="AG264" i="2"/>
  <c r="AF264" i="2"/>
  <c r="AE264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BF263" i="2"/>
  <c r="BE263" i="2"/>
  <c r="BD263" i="2"/>
  <c r="BC263" i="2"/>
  <c r="BB263" i="2"/>
  <c r="BA263" i="2"/>
  <c r="AZ263" i="2"/>
  <c r="AY263" i="2"/>
  <c r="AX263" i="2"/>
  <c r="AW263" i="2"/>
  <c r="AV263" i="2"/>
  <c r="AU263" i="2"/>
  <c r="AT263" i="2"/>
  <c r="AS263" i="2"/>
  <c r="AR263" i="2"/>
  <c r="AQ263" i="2"/>
  <c r="AP263" i="2"/>
  <c r="AO263" i="2"/>
  <c r="AN263" i="2"/>
  <c r="AM263" i="2"/>
  <c r="AL263" i="2"/>
  <c r="AK263" i="2"/>
  <c r="AJ263" i="2"/>
  <c r="AI263" i="2"/>
  <c r="AH263" i="2"/>
  <c r="AG263" i="2"/>
  <c r="AF263" i="2"/>
  <c r="AE263" i="2"/>
  <c r="AD263" i="2"/>
  <c r="AC263" i="2"/>
  <c r="AB263" i="2"/>
  <c r="AA263" i="2"/>
  <c r="Z263" i="2"/>
  <c r="Y263" i="2"/>
  <c r="X263" i="2"/>
  <c r="W263" i="2"/>
  <c r="V263" i="2"/>
  <c r="U263" i="2"/>
  <c r="T263" i="2"/>
  <c r="S263" i="2"/>
  <c r="R263" i="2"/>
  <c r="Q263" i="2"/>
  <c r="P263" i="2"/>
  <c r="O263" i="2"/>
  <c r="N263" i="2"/>
  <c r="M263" i="2"/>
  <c r="L263" i="2"/>
  <c r="K263" i="2"/>
  <c r="J263" i="2"/>
  <c r="I263" i="2"/>
  <c r="H263" i="2"/>
  <c r="G263" i="2"/>
  <c r="F263" i="2"/>
  <c r="E263" i="2"/>
  <c r="D263" i="2"/>
  <c r="C263" i="2"/>
  <c r="BF251" i="2"/>
  <c r="BE251" i="2"/>
  <c r="BD251" i="2"/>
  <c r="BC251" i="2"/>
  <c r="BB251" i="2"/>
  <c r="BA251" i="2"/>
  <c r="AZ251" i="2"/>
  <c r="AY251" i="2"/>
  <c r="AX251" i="2"/>
  <c r="AW251" i="2"/>
  <c r="AV251" i="2"/>
  <c r="AU251" i="2"/>
  <c r="AT251" i="2"/>
  <c r="AS251" i="2"/>
  <c r="AR251" i="2"/>
  <c r="AQ251" i="2"/>
  <c r="AP251" i="2"/>
  <c r="AO251" i="2"/>
  <c r="AN251" i="2"/>
  <c r="AM251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BF250" i="2"/>
  <c r="BE250" i="2"/>
  <c r="BD250" i="2"/>
  <c r="BC250" i="2"/>
  <c r="BB250" i="2"/>
  <c r="BA250" i="2"/>
  <c r="AZ250" i="2"/>
  <c r="AY250" i="2"/>
  <c r="AX250" i="2"/>
  <c r="AW250" i="2"/>
  <c r="AV250" i="2"/>
  <c r="AU250" i="2"/>
  <c r="AT250" i="2"/>
  <c r="AS250" i="2"/>
  <c r="AR250" i="2"/>
  <c r="AQ250" i="2"/>
  <c r="AP250" i="2"/>
  <c r="AO250" i="2"/>
  <c r="AN250" i="2"/>
  <c r="AM250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F249" i="2"/>
  <c r="BE249" i="2"/>
  <c r="BD249" i="2"/>
  <c r="BC249" i="2"/>
  <c r="BB249" i="2"/>
  <c r="BA249" i="2"/>
  <c r="AZ249" i="2"/>
  <c r="AY249" i="2"/>
  <c r="AX249" i="2"/>
  <c r="AW249" i="2"/>
  <c r="AV249" i="2"/>
  <c r="AU249" i="2"/>
  <c r="AT249" i="2"/>
  <c r="AS249" i="2"/>
  <c r="AR249" i="2"/>
  <c r="AQ249" i="2"/>
  <c r="AP249" i="2"/>
  <c r="AO249" i="2"/>
  <c r="AN249" i="2"/>
  <c r="AM249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BF248" i="2"/>
  <c r="BE248" i="2"/>
  <c r="BD248" i="2"/>
  <c r="BC248" i="2"/>
  <c r="BB248" i="2"/>
  <c r="BA248" i="2"/>
  <c r="AZ248" i="2"/>
  <c r="AY248" i="2"/>
  <c r="AX248" i="2"/>
  <c r="AW248" i="2"/>
  <c r="AV248" i="2"/>
  <c r="AU248" i="2"/>
  <c r="AT248" i="2"/>
  <c r="AS248" i="2"/>
  <c r="AR248" i="2"/>
  <c r="AQ248" i="2"/>
  <c r="AP248" i="2"/>
  <c r="AO248" i="2"/>
  <c r="AN248" i="2"/>
  <c r="AM248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F247" i="2"/>
  <c r="BE247" i="2"/>
  <c r="BD247" i="2"/>
  <c r="BC247" i="2"/>
  <c r="BB247" i="2"/>
  <c r="BA247" i="2"/>
  <c r="AZ247" i="2"/>
  <c r="AY247" i="2"/>
  <c r="AX247" i="2"/>
  <c r="AW247" i="2"/>
  <c r="AV247" i="2"/>
  <c r="AU247" i="2"/>
  <c r="AT247" i="2"/>
  <c r="AS247" i="2"/>
  <c r="AR247" i="2"/>
  <c r="AQ247" i="2"/>
  <c r="AP247" i="2"/>
  <c r="AO247" i="2"/>
  <c r="AN247" i="2"/>
  <c r="AM247" i="2"/>
  <c r="AL247" i="2"/>
  <c r="AK247" i="2"/>
  <c r="AJ247" i="2"/>
  <c r="AI247" i="2"/>
  <c r="AH247" i="2"/>
  <c r="AG247" i="2"/>
  <c r="AF247" i="2"/>
  <c r="AE247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BF246" i="2"/>
  <c r="BE246" i="2"/>
  <c r="BD246" i="2"/>
  <c r="BC246" i="2"/>
  <c r="BB246" i="2"/>
  <c r="BA246" i="2"/>
  <c r="AZ246" i="2"/>
  <c r="AY246" i="2"/>
  <c r="AX246" i="2"/>
  <c r="AW246" i="2"/>
  <c r="AV246" i="2"/>
  <c r="AU246" i="2"/>
  <c r="AT246" i="2"/>
  <c r="AS246" i="2"/>
  <c r="AR246" i="2"/>
  <c r="AQ246" i="2"/>
  <c r="AP246" i="2"/>
  <c r="AO246" i="2"/>
  <c r="AN246" i="2"/>
  <c r="AM246" i="2"/>
  <c r="AL246" i="2"/>
  <c r="AK246" i="2"/>
  <c r="AJ246" i="2"/>
  <c r="AI246" i="2"/>
  <c r="AH246" i="2"/>
  <c r="AG246" i="2"/>
  <c r="AF246" i="2"/>
  <c r="AE246" i="2"/>
  <c r="AD246" i="2"/>
  <c r="AC246" i="2"/>
  <c r="AB246" i="2"/>
  <c r="AA246" i="2"/>
  <c r="Z246" i="2"/>
  <c r="Y246" i="2"/>
  <c r="X246" i="2"/>
  <c r="W246" i="2"/>
  <c r="V246" i="2"/>
  <c r="U246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H246" i="2"/>
  <c r="G246" i="2"/>
  <c r="F246" i="2"/>
  <c r="E246" i="2"/>
  <c r="D246" i="2"/>
  <c r="C246" i="2"/>
  <c r="BF245" i="2"/>
  <c r="BE245" i="2"/>
  <c r="BD245" i="2"/>
  <c r="BC245" i="2"/>
  <c r="BB245" i="2"/>
  <c r="BA245" i="2"/>
  <c r="AZ245" i="2"/>
  <c r="AY245" i="2"/>
  <c r="AX245" i="2"/>
  <c r="AW245" i="2"/>
  <c r="AV245" i="2"/>
  <c r="AU245" i="2"/>
  <c r="AT245" i="2"/>
  <c r="AS245" i="2"/>
  <c r="AR245" i="2"/>
  <c r="AQ245" i="2"/>
  <c r="AP245" i="2"/>
  <c r="AO245" i="2"/>
  <c r="AN245" i="2"/>
  <c r="AM245" i="2"/>
  <c r="AL245" i="2"/>
  <c r="AK245" i="2"/>
  <c r="AJ245" i="2"/>
  <c r="AI245" i="2"/>
  <c r="AH245" i="2"/>
  <c r="AG245" i="2"/>
  <c r="AF245" i="2"/>
  <c r="AE245" i="2"/>
  <c r="AD245" i="2"/>
  <c r="AC245" i="2"/>
  <c r="AB245" i="2"/>
  <c r="AA245" i="2"/>
  <c r="Z245" i="2"/>
  <c r="Y245" i="2"/>
  <c r="X245" i="2"/>
  <c r="W245" i="2"/>
  <c r="V245" i="2"/>
  <c r="U245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BF242" i="2"/>
  <c r="BE242" i="2"/>
  <c r="BD242" i="2"/>
  <c r="BC242" i="2"/>
  <c r="BB242" i="2"/>
  <c r="BA242" i="2"/>
  <c r="AZ242" i="2"/>
  <c r="AY242" i="2"/>
  <c r="AX242" i="2"/>
  <c r="AW242" i="2"/>
  <c r="AV242" i="2"/>
  <c r="AU242" i="2"/>
  <c r="AT242" i="2"/>
  <c r="AS242" i="2"/>
  <c r="AR242" i="2"/>
  <c r="AQ242" i="2"/>
  <c r="AP242" i="2"/>
  <c r="AO242" i="2"/>
  <c r="AN242" i="2"/>
  <c r="AM242" i="2"/>
  <c r="AL242" i="2"/>
  <c r="AK242" i="2"/>
  <c r="AJ242" i="2"/>
  <c r="AI242" i="2"/>
  <c r="AH242" i="2"/>
  <c r="AG242" i="2"/>
  <c r="AF242" i="2"/>
  <c r="AE242" i="2"/>
  <c r="AD242" i="2"/>
  <c r="AC242" i="2"/>
  <c r="AB242" i="2"/>
  <c r="AA242" i="2"/>
  <c r="Z242" i="2"/>
  <c r="Y242" i="2"/>
  <c r="X242" i="2"/>
  <c r="W242" i="2"/>
  <c r="V242" i="2"/>
  <c r="U242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BF241" i="2"/>
  <c r="BE241" i="2"/>
  <c r="BD241" i="2"/>
  <c r="BC241" i="2"/>
  <c r="BB241" i="2"/>
  <c r="BA241" i="2"/>
  <c r="AZ241" i="2"/>
  <c r="AY241" i="2"/>
  <c r="AX241" i="2"/>
  <c r="AW241" i="2"/>
  <c r="AV241" i="2"/>
  <c r="AU241" i="2"/>
  <c r="AT241" i="2"/>
  <c r="AS241" i="2"/>
  <c r="AR241" i="2"/>
  <c r="AQ241" i="2"/>
  <c r="AP241" i="2"/>
  <c r="AO241" i="2"/>
  <c r="AN241" i="2"/>
  <c r="AM241" i="2"/>
  <c r="AL241" i="2"/>
  <c r="AK241" i="2"/>
  <c r="AJ241" i="2"/>
  <c r="AI241" i="2"/>
  <c r="AH241" i="2"/>
  <c r="AG241" i="2"/>
  <c r="AF241" i="2"/>
  <c r="AE241" i="2"/>
  <c r="AD241" i="2"/>
  <c r="AC241" i="2"/>
  <c r="AB241" i="2"/>
  <c r="AA241" i="2"/>
  <c r="Z241" i="2"/>
  <c r="Y241" i="2"/>
  <c r="X241" i="2"/>
  <c r="W241" i="2"/>
  <c r="V241" i="2"/>
  <c r="U241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BF240" i="2"/>
  <c r="BE240" i="2"/>
  <c r="BD240" i="2"/>
  <c r="BC240" i="2"/>
  <c r="BB240" i="2"/>
  <c r="BA240" i="2"/>
  <c r="AZ240" i="2"/>
  <c r="AY240" i="2"/>
  <c r="AX240" i="2"/>
  <c r="AW240" i="2"/>
  <c r="AV240" i="2"/>
  <c r="AU240" i="2"/>
  <c r="AT240" i="2"/>
  <c r="AS240" i="2"/>
  <c r="AR240" i="2"/>
  <c r="AQ240" i="2"/>
  <c r="AP240" i="2"/>
  <c r="AO240" i="2"/>
  <c r="AN240" i="2"/>
  <c r="AM240" i="2"/>
  <c r="AL240" i="2"/>
  <c r="AK240" i="2"/>
  <c r="AJ240" i="2"/>
  <c r="AI240" i="2"/>
  <c r="AH240" i="2"/>
  <c r="AG240" i="2"/>
  <c r="AF240" i="2"/>
  <c r="AE240" i="2"/>
  <c r="AD240" i="2"/>
  <c r="AC240" i="2"/>
  <c r="AB240" i="2"/>
  <c r="AA240" i="2"/>
  <c r="Z240" i="2"/>
  <c r="Y240" i="2"/>
  <c r="X240" i="2"/>
  <c r="W240" i="2"/>
  <c r="V240" i="2"/>
  <c r="U240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BF239" i="2"/>
  <c r="BE239" i="2"/>
  <c r="BD239" i="2"/>
  <c r="BC239" i="2"/>
  <c r="BB239" i="2"/>
  <c r="BA239" i="2"/>
  <c r="AZ239" i="2"/>
  <c r="AY239" i="2"/>
  <c r="AX239" i="2"/>
  <c r="AW239" i="2"/>
  <c r="AV239" i="2"/>
  <c r="AU239" i="2"/>
  <c r="AT239" i="2"/>
  <c r="AS239" i="2"/>
  <c r="AR239" i="2"/>
  <c r="AQ239" i="2"/>
  <c r="AP239" i="2"/>
  <c r="AO239" i="2"/>
  <c r="AN239" i="2"/>
  <c r="AM239" i="2"/>
  <c r="AL239" i="2"/>
  <c r="AK239" i="2"/>
  <c r="AJ239" i="2"/>
  <c r="AI239" i="2"/>
  <c r="AH239" i="2"/>
  <c r="AG239" i="2"/>
  <c r="AF239" i="2"/>
  <c r="AE239" i="2"/>
  <c r="AD239" i="2"/>
  <c r="AC239" i="2"/>
  <c r="AB239" i="2"/>
  <c r="AA239" i="2"/>
  <c r="Z239" i="2"/>
  <c r="Y239" i="2"/>
  <c r="X239" i="2"/>
  <c r="W239" i="2"/>
  <c r="V239" i="2"/>
  <c r="U239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BF238" i="2"/>
  <c r="BE238" i="2"/>
  <c r="BD238" i="2"/>
  <c r="BC238" i="2"/>
  <c r="BB238" i="2"/>
  <c r="BA238" i="2"/>
  <c r="AZ238" i="2"/>
  <c r="AY238" i="2"/>
  <c r="AX238" i="2"/>
  <c r="AW238" i="2"/>
  <c r="AV238" i="2"/>
  <c r="AU238" i="2"/>
  <c r="AT238" i="2"/>
  <c r="AS238" i="2"/>
  <c r="AR238" i="2"/>
  <c r="AQ238" i="2"/>
  <c r="AP238" i="2"/>
  <c r="AO238" i="2"/>
  <c r="AN238" i="2"/>
  <c r="AM238" i="2"/>
  <c r="AL238" i="2"/>
  <c r="AK238" i="2"/>
  <c r="AJ238" i="2"/>
  <c r="AI238" i="2"/>
  <c r="AH238" i="2"/>
  <c r="AG238" i="2"/>
  <c r="AF238" i="2"/>
  <c r="AE238" i="2"/>
  <c r="AD238" i="2"/>
  <c r="AC238" i="2"/>
  <c r="AB238" i="2"/>
  <c r="AA238" i="2"/>
  <c r="Z238" i="2"/>
  <c r="Y238" i="2"/>
  <c r="X238" i="2"/>
  <c r="W238" i="2"/>
  <c r="V238" i="2"/>
  <c r="U238" i="2"/>
  <c r="T238" i="2"/>
  <c r="S238" i="2"/>
  <c r="R238" i="2"/>
  <c r="Q238" i="2"/>
  <c r="P238" i="2"/>
  <c r="O238" i="2"/>
  <c r="N238" i="2"/>
  <c r="M238" i="2"/>
  <c r="L238" i="2"/>
  <c r="K238" i="2"/>
  <c r="J238" i="2"/>
  <c r="I238" i="2"/>
  <c r="H238" i="2"/>
  <c r="G238" i="2"/>
  <c r="F238" i="2"/>
  <c r="E238" i="2"/>
  <c r="D238" i="2"/>
  <c r="C238" i="2"/>
  <c r="BF237" i="2"/>
  <c r="BE237" i="2"/>
  <c r="BD237" i="2"/>
  <c r="BC237" i="2"/>
  <c r="BB237" i="2"/>
  <c r="BA237" i="2"/>
  <c r="AZ237" i="2"/>
  <c r="AY237" i="2"/>
  <c r="AX237" i="2"/>
  <c r="AW237" i="2"/>
  <c r="AV237" i="2"/>
  <c r="AU237" i="2"/>
  <c r="AT237" i="2"/>
  <c r="AS237" i="2"/>
  <c r="AR237" i="2"/>
  <c r="AQ237" i="2"/>
  <c r="AP237" i="2"/>
  <c r="AO237" i="2"/>
  <c r="AN237" i="2"/>
  <c r="AM237" i="2"/>
  <c r="AL237" i="2"/>
  <c r="AK237" i="2"/>
  <c r="AJ237" i="2"/>
  <c r="AI237" i="2"/>
  <c r="AH237" i="2"/>
  <c r="AG237" i="2"/>
  <c r="AF237" i="2"/>
  <c r="AE237" i="2"/>
  <c r="AD237" i="2"/>
  <c r="AC237" i="2"/>
  <c r="AB237" i="2"/>
  <c r="AA237" i="2"/>
  <c r="Z237" i="2"/>
  <c r="Y237" i="2"/>
  <c r="X237" i="2"/>
  <c r="W237" i="2"/>
  <c r="V237" i="2"/>
  <c r="U237" i="2"/>
  <c r="T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G237" i="2"/>
  <c r="F237" i="2"/>
  <c r="E237" i="2"/>
  <c r="D237" i="2"/>
  <c r="C237" i="2"/>
  <c r="BF236" i="2"/>
  <c r="BE236" i="2"/>
  <c r="BD236" i="2"/>
  <c r="BC236" i="2"/>
  <c r="BB236" i="2"/>
  <c r="BA236" i="2"/>
  <c r="AZ236" i="2"/>
  <c r="AY236" i="2"/>
  <c r="AX236" i="2"/>
  <c r="AW236" i="2"/>
  <c r="AV236" i="2"/>
  <c r="AU236" i="2"/>
  <c r="AT236" i="2"/>
  <c r="AS236" i="2"/>
  <c r="AR236" i="2"/>
  <c r="AQ236" i="2"/>
  <c r="AP236" i="2"/>
  <c r="AO236" i="2"/>
  <c r="AN236" i="2"/>
  <c r="AM236" i="2"/>
  <c r="AL236" i="2"/>
  <c r="AK236" i="2"/>
  <c r="AJ236" i="2"/>
  <c r="AI236" i="2"/>
  <c r="AH236" i="2"/>
  <c r="AG236" i="2"/>
  <c r="AF236" i="2"/>
  <c r="AE236" i="2"/>
  <c r="AD236" i="2"/>
  <c r="AC236" i="2"/>
  <c r="AB236" i="2"/>
  <c r="AA236" i="2"/>
  <c r="Z236" i="2"/>
  <c r="Y236" i="2"/>
  <c r="X236" i="2"/>
  <c r="W236" i="2"/>
  <c r="V236" i="2"/>
  <c r="U236" i="2"/>
  <c r="T236" i="2"/>
  <c r="S236" i="2"/>
  <c r="R236" i="2"/>
  <c r="Q236" i="2"/>
  <c r="P236" i="2"/>
  <c r="O236" i="2"/>
  <c r="N236" i="2"/>
  <c r="M236" i="2"/>
  <c r="L236" i="2"/>
  <c r="K236" i="2"/>
  <c r="J236" i="2"/>
  <c r="I236" i="2"/>
  <c r="H236" i="2"/>
  <c r="G236" i="2"/>
  <c r="F236" i="2"/>
  <c r="E236" i="2"/>
  <c r="D236" i="2"/>
  <c r="C236" i="2"/>
  <c r="BF214" i="2"/>
  <c r="BE214" i="2"/>
  <c r="BD214" i="2"/>
  <c r="BC214" i="2"/>
  <c r="BB214" i="2"/>
  <c r="BA214" i="2"/>
  <c r="AZ214" i="2"/>
  <c r="AY214" i="2"/>
  <c r="AX214" i="2"/>
  <c r="AW214" i="2"/>
  <c r="AV214" i="2"/>
  <c r="AU214" i="2"/>
  <c r="AT214" i="2"/>
  <c r="AS214" i="2"/>
  <c r="AR214" i="2"/>
  <c r="AQ214" i="2"/>
  <c r="AP214" i="2"/>
  <c r="AO214" i="2"/>
  <c r="AN214" i="2"/>
  <c r="AM214" i="2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F213" i="2"/>
  <c r="BE213" i="2"/>
  <c r="BD213" i="2"/>
  <c r="BC213" i="2"/>
  <c r="BB213" i="2"/>
  <c r="BA213" i="2"/>
  <c r="AZ213" i="2"/>
  <c r="AY213" i="2"/>
  <c r="AX213" i="2"/>
  <c r="AW213" i="2"/>
  <c r="AV213" i="2"/>
  <c r="AU213" i="2"/>
  <c r="AT213" i="2"/>
  <c r="AS213" i="2"/>
  <c r="AR213" i="2"/>
  <c r="AQ213" i="2"/>
  <c r="AP213" i="2"/>
  <c r="AO213" i="2"/>
  <c r="AN213" i="2"/>
  <c r="AM213" i="2"/>
  <c r="AL213" i="2"/>
  <c r="AK213" i="2"/>
  <c r="AJ213" i="2"/>
  <c r="AI213" i="2"/>
  <c r="AH213" i="2"/>
  <c r="AG213" i="2"/>
  <c r="AF213" i="2"/>
  <c r="AE213" i="2"/>
  <c r="AD213" i="2"/>
  <c r="AC213" i="2"/>
  <c r="AB213" i="2"/>
  <c r="AA213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BF212" i="2"/>
  <c r="BE212" i="2"/>
  <c r="BD212" i="2"/>
  <c r="BC212" i="2"/>
  <c r="BB212" i="2"/>
  <c r="BA212" i="2"/>
  <c r="AZ212" i="2"/>
  <c r="AY212" i="2"/>
  <c r="AX212" i="2"/>
  <c r="AW212" i="2"/>
  <c r="AV212" i="2"/>
  <c r="AU212" i="2"/>
  <c r="AT212" i="2"/>
  <c r="AS212" i="2"/>
  <c r="AR212" i="2"/>
  <c r="AQ212" i="2"/>
  <c r="AP212" i="2"/>
  <c r="AO212" i="2"/>
  <c r="AN212" i="2"/>
  <c r="AM212" i="2"/>
  <c r="AL212" i="2"/>
  <c r="AK212" i="2"/>
  <c r="AJ212" i="2"/>
  <c r="AI212" i="2"/>
  <c r="AH212" i="2"/>
  <c r="AG212" i="2"/>
  <c r="AF212" i="2"/>
  <c r="AE212" i="2"/>
  <c r="AD212" i="2"/>
  <c r="AC212" i="2"/>
  <c r="AB212" i="2"/>
  <c r="AA212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F211" i="2"/>
  <c r="BE211" i="2"/>
  <c r="BD211" i="2"/>
  <c r="BC211" i="2"/>
  <c r="BB211" i="2"/>
  <c r="BA211" i="2"/>
  <c r="AZ211" i="2"/>
  <c r="AY211" i="2"/>
  <c r="AX211" i="2"/>
  <c r="AW211" i="2"/>
  <c r="AV211" i="2"/>
  <c r="AU211" i="2"/>
  <c r="AT211" i="2"/>
  <c r="AS211" i="2"/>
  <c r="AR211" i="2"/>
  <c r="AQ211" i="2"/>
  <c r="AP211" i="2"/>
  <c r="AO211" i="2"/>
  <c r="AN211" i="2"/>
  <c r="AM211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BF208" i="2"/>
  <c r="BE208" i="2"/>
  <c r="BD208" i="2"/>
  <c r="BC208" i="2"/>
  <c r="BB208" i="2"/>
  <c r="BA208" i="2"/>
  <c r="AZ208" i="2"/>
  <c r="AY208" i="2"/>
  <c r="AX208" i="2"/>
  <c r="AW208" i="2"/>
  <c r="AV208" i="2"/>
  <c r="AU208" i="2"/>
  <c r="AT208" i="2"/>
  <c r="AS208" i="2"/>
  <c r="AR208" i="2"/>
  <c r="AQ208" i="2"/>
  <c r="AP208" i="2"/>
  <c r="AO208" i="2"/>
  <c r="AN208" i="2"/>
  <c r="AM208" i="2"/>
  <c r="AL208" i="2"/>
  <c r="AK208" i="2"/>
  <c r="AJ208" i="2"/>
  <c r="AI208" i="2"/>
  <c r="AH208" i="2"/>
  <c r="AG208" i="2"/>
  <c r="AF208" i="2"/>
  <c r="AE208" i="2"/>
  <c r="AD208" i="2"/>
  <c r="AC208" i="2"/>
  <c r="AB208" i="2"/>
  <c r="AA208" i="2"/>
  <c r="Z208" i="2"/>
  <c r="Y208" i="2"/>
  <c r="X208" i="2"/>
  <c r="W208" i="2"/>
  <c r="V208" i="2"/>
  <c r="U208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BF207" i="2"/>
  <c r="BE207" i="2"/>
  <c r="BD207" i="2"/>
  <c r="BC207" i="2"/>
  <c r="BB207" i="2"/>
  <c r="BA207" i="2"/>
  <c r="AZ207" i="2"/>
  <c r="AY207" i="2"/>
  <c r="AX207" i="2"/>
  <c r="AW207" i="2"/>
  <c r="AV207" i="2"/>
  <c r="AU207" i="2"/>
  <c r="AT207" i="2"/>
  <c r="AS207" i="2"/>
  <c r="AR207" i="2"/>
  <c r="AQ207" i="2"/>
  <c r="AP207" i="2"/>
  <c r="AO207" i="2"/>
  <c r="AN207" i="2"/>
  <c r="AM207" i="2"/>
  <c r="AL207" i="2"/>
  <c r="AK207" i="2"/>
  <c r="AJ207" i="2"/>
  <c r="AI207" i="2"/>
  <c r="AH207" i="2"/>
  <c r="AG207" i="2"/>
  <c r="AF207" i="2"/>
  <c r="AE207" i="2"/>
  <c r="AD207" i="2"/>
  <c r="AC207" i="2"/>
  <c r="AB207" i="2"/>
  <c r="AA207" i="2"/>
  <c r="Z207" i="2"/>
  <c r="Y207" i="2"/>
  <c r="X207" i="2"/>
  <c r="W207" i="2"/>
  <c r="V207" i="2"/>
  <c r="U207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BF206" i="2"/>
  <c r="BE206" i="2"/>
  <c r="BD206" i="2"/>
  <c r="BC206" i="2"/>
  <c r="BB206" i="2"/>
  <c r="BA206" i="2"/>
  <c r="AZ206" i="2"/>
  <c r="AY206" i="2"/>
  <c r="AX206" i="2"/>
  <c r="AW206" i="2"/>
  <c r="AV206" i="2"/>
  <c r="AU206" i="2"/>
  <c r="AT206" i="2"/>
  <c r="AS206" i="2"/>
  <c r="AR206" i="2"/>
  <c r="AQ206" i="2"/>
  <c r="AP206" i="2"/>
  <c r="AO206" i="2"/>
  <c r="AN206" i="2"/>
  <c r="AM206" i="2"/>
  <c r="AL206" i="2"/>
  <c r="AK206" i="2"/>
  <c r="AJ206" i="2"/>
  <c r="AI206" i="2"/>
  <c r="AH206" i="2"/>
  <c r="AG206" i="2"/>
  <c r="AF206" i="2"/>
  <c r="AE206" i="2"/>
  <c r="AD206" i="2"/>
  <c r="AC206" i="2"/>
  <c r="AB206" i="2"/>
  <c r="AA206" i="2"/>
  <c r="Z206" i="2"/>
  <c r="Y206" i="2"/>
  <c r="X206" i="2"/>
  <c r="W206" i="2"/>
  <c r="V206" i="2"/>
  <c r="U206" i="2"/>
  <c r="T206" i="2"/>
  <c r="S206" i="2"/>
  <c r="R206" i="2"/>
  <c r="Q206" i="2"/>
  <c r="P206" i="2"/>
  <c r="O206" i="2"/>
  <c r="N206" i="2"/>
  <c r="M206" i="2"/>
  <c r="L206" i="2"/>
  <c r="K206" i="2"/>
  <c r="J206" i="2"/>
  <c r="I206" i="2"/>
  <c r="H206" i="2"/>
  <c r="G206" i="2"/>
  <c r="F206" i="2"/>
  <c r="E206" i="2"/>
  <c r="D206" i="2"/>
  <c r="C206" i="2"/>
  <c r="BF205" i="2"/>
  <c r="BE205" i="2"/>
  <c r="BD205" i="2"/>
  <c r="BC205" i="2"/>
  <c r="BB205" i="2"/>
  <c r="BA205" i="2"/>
  <c r="AZ205" i="2"/>
  <c r="AY205" i="2"/>
  <c r="AX205" i="2"/>
  <c r="AW205" i="2"/>
  <c r="AV205" i="2"/>
  <c r="AU205" i="2"/>
  <c r="AT205" i="2"/>
  <c r="AS205" i="2"/>
  <c r="AR205" i="2"/>
  <c r="AQ205" i="2"/>
  <c r="AP205" i="2"/>
  <c r="AO205" i="2"/>
  <c r="AN205" i="2"/>
  <c r="AM205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BF204" i="2"/>
  <c r="BE204" i="2"/>
  <c r="BD204" i="2"/>
  <c r="BC204" i="2"/>
  <c r="BB204" i="2"/>
  <c r="BA204" i="2"/>
  <c r="AZ204" i="2"/>
  <c r="AY204" i="2"/>
  <c r="AX204" i="2"/>
  <c r="AW204" i="2"/>
  <c r="AV204" i="2"/>
  <c r="AU204" i="2"/>
  <c r="AT204" i="2"/>
  <c r="AS204" i="2"/>
  <c r="AR204" i="2"/>
  <c r="AQ204" i="2"/>
  <c r="AP204" i="2"/>
  <c r="AO204" i="2"/>
  <c r="AN204" i="2"/>
  <c r="AM204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BF202" i="2"/>
  <c r="BE202" i="2"/>
  <c r="BD202" i="2"/>
  <c r="BC202" i="2"/>
  <c r="BB202" i="2"/>
  <c r="BA202" i="2"/>
  <c r="AZ202" i="2"/>
  <c r="AY202" i="2"/>
  <c r="AX202" i="2"/>
  <c r="AW202" i="2"/>
  <c r="AV202" i="2"/>
  <c r="AU202" i="2"/>
  <c r="AT202" i="2"/>
  <c r="AS202" i="2"/>
  <c r="AR202" i="2"/>
  <c r="AQ202" i="2"/>
  <c r="AP202" i="2"/>
  <c r="AO202" i="2"/>
  <c r="AN202" i="2"/>
  <c r="AM202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BF201" i="2"/>
  <c r="BE201" i="2"/>
  <c r="BD201" i="2"/>
  <c r="BC201" i="2"/>
  <c r="BB201" i="2"/>
  <c r="BA201" i="2"/>
  <c r="AZ201" i="2"/>
  <c r="AY201" i="2"/>
  <c r="AX201" i="2"/>
  <c r="AW201" i="2"/>
  <c r="AV201" i="2"/>
  <c r="AU201" i="2"/>
  <c r="AT201" i="2"/>
  <c r="AS201" i="2"/>
  <c r="AR201" i="2"/>
  <c r="AQ201" i="2"/>
  <c r="AP201" i="2"/>
  <c r="AO201" i="2"/>
  <c r="AN201" i="2"/>
  <c r="AM201" i="2"/>
  <c r="AL201" i="2"/>
  <c r="AK201" i="2"/>
  <c r="AJ201" i="2"/>
  <c r="AI201" i="2"/>
  <c r="AH201" i="2"/>
  <c r="AG201" i="2"/>
  <c r="AF201" i="2"/>
  <c r="AE201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BF200" i="2"/>
  <c r="BE200" i="2"/>
  <c r="BD200" i="2"/>
  <c r="BC200" i="2"/>
  <c r="BB200" i="2"/>
  <c r="BA200" i="2"/>
  <c r="AZ200" i="2"/>
  <c r="AY200" i="2"/>
  <c r="AX200" i="2"/>
  <c r="AW200" i="2"/>
  <c r="AV200" i="2"/>
  <c r="AU200" i="2"/>
  <c r="AT200" i="2"/>
  <c r="AS200" i="2"/>
  <c r="AR200" i="2"/>
  <c r="AQ200" i="2"/>
  <c r="AP200" i="2"/>
  <c r="AO200" i="2"/>
  <c r="AN200" i="2"/>
  <c r="AM200" i="2"/>
  <c r="AL200" i="2"/>
  <c r="AK200" i="2"/>
  <c r="AJ200" i="2"/>
  <c r="AI200" i="2"/>
  <c r="AH200" i="2"/>
  <c r="AG200" i="2"/>
  <c r="AF200" i="2"/>
  <c r="AE200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BF199" i="2"/>
  <c r="BE199" i="2"/>
  <c r="BD199" i="2"/>
  <c r="BC199" i="2"/>
  <c r="BB199" i="2"/>
  <c r="BA199" i="2"/>
  <c r="AZ199" i="2"/>
  <c r="AY199" i="2"/>
  <c r="AX199" i="2"/>
  <c r="AW199" i="2"/>
  <c r="AV199" i="2"/>
  <c r="AU199" i="2"/>
  <c r="AT199" i="2"/>
  <c r="AS199" i="2"/>
  <c r="AR199" i="2"/>
  <c r="AQ199" i="2"/>
  <c r="AP199" i="2"/>
  <c r="AO199" i="2"/>
  <c r="AN199" i="2"/>
  <c r="AM199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BF196" i="2"/>
  <c r="BE196" i="2"/>
  <c r="BD196" i="2"/>
  <c r="BC196" i="2"/>
  <c r="BB196" i="2"/>
  <c r="BA196" i="2"/>
  <c r="AZ196" i="2"/>
  <c r="AY196" i="2"/>
  <c r="AX196" i="2"/>
  <c r="AW196" i="2"/>
  <c r="AV196" i="2"/>
  <c r="AU196" i="2"/>
  <c r="AT196" i="2"/>
  <c r="AS196" i="2"/>
  <c r="AR196" i="2"/>
  <c r="AQ196" i="2"/>
  <c r="AP196" i="2"/>
  <c r="AO196" i="2"/>
  <c r="AN196" i="2"/>
  <c r="AM196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BF195" i="2"/>
  <c r="BE195" i="2"/>
  <c r="BD195" i="2"/>
  <c r="BC195" i="2"/>
  <c r="BB195" i="2"/>
  <c r="BA195" i="2"/>
  <c r="AZ195" i="2"/>
  <c r="AY195" i="2"/>
  <c r="AX195" i="2"/>
  <c r="AW195" i="2"/>
  <c r="AV195" i="2"/>
  <c r="AU195" i="2"/>
  <c r="AT195" i="2"/>
  <c r="AS195" i="2"/>
  <c r="AR195" i="2"/>
  <c r="AQ195" i="2"/>
  <c r="AP195" i="2"/>
  <c r="AO195" i="2"/>
  <c r="AN195" i="2"/>
  <c r="AM195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BF194" i="2"/>
  <c r="BE194" i="2"/>
  <c r="BD194" i="2"/>
  <c r="BC194" i="2"/>
  <c r="BB194" i="2"/>
  <c r="BA194" i="2"/>
  <c r="AZ194" i="2"/>
  <c r="AY194" i="2"/>
  <c r="AX194" i="2"/>
  <c r="AW194" i="2"/>
  <c r="AV194" i="2"/>
  <c r="AU194" i="2"/>
  <c r="AT194" i="2"/>
  <c r="AS194" i="2"/>
  <c r="AR194" i="2"/>
  <c r="AQ194" i="2"/>
  <c r="AP194" i="2"/>
  <c r="AO194" i="2"/>
  <c r="AN194" i="2"/>
  <c r="AM194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BF193" i="2"/>
  <c r="BE193" i="2"/>
  <c r="BD193" i="2"/>
  <c r="BC193" i="2"/>
  <c r="BB193" i="2"/>
  <c r="BA193" i="2"/>
  <c r="AZ193" i="2"/>
  <c r="AY193" i="2"/>
  <c r="AX193" i="2"/>
  <c r="AW193" i="2"/>
  <c r="AV193" i="2"/>
  <c r="AU193" i="2"/>
  <c r="AT193" i="2"/>
  <c r="AS193" i="2"/>
  <c r="AR193" i="2"/>
  <c r="AQ193" i="2"/>
  <c r="AP193" i="2"/>
  <c r="AO193" i="2"/>
  <c r="AN193" i="2"/>
  <c r="AM193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BF192" i="2"/>
  <c r="BE192" i="2"/>
  <c r="BD192" i="2"/>
  <c r="BC192" i="2"/>
  <c r="BB192" i="2"/>
  <c r="BA192" i="2"/>
  <c r="AZ192" i="2"/>
  <c r="AY192" i="2"/>
  <c r="AX192" i="2"/>
  <c r="AW192" i="2"/>
  <c r="AV192" i="2"/>
  <c r="AU192" i="2"/>
  <c r="AT192" i="2"/>
  <c r="AS192" i="2"/>
  <c r="AR192" i="2"/>
  <c r="AQ192" i="2"/>
  <c r="AP192" i="2"/>
  <c r="AO192" i="2"/>
  <c r="AN192" i="2"/>
  <c r="AM192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BF103" i="2"/>
  <c r="BE103" i="2"/>
  <c r="BD103" i="2"/>
  <c r="BC103" i="2"/>
  <c r="BB103" i="2"/>
  <c r="BA103" i="2"/>
  <c r="AZ103" i="2"/>
  <c r="AY103" i="2"/>
  <c r="AX103" i="2"/>
  <c r="AW103" i="2"/>
  <c r="AV103" i="2"/>
  <c r="AU103" i="2"/>
  <c r="AT103" i="2"/>
  <c r="AS103" i="2"/>
  <c r="AR103" i="2"/>
  <c r="AQ103" i="2"/>
  <c r="AP103" i="2"/>
  <c r="AO103" i="2"/>
  <c r="AN103" i="2"/>
  <c r="AM103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BF102" i="2"/>
  <c r="BE102" i="2"/>
  <c r="BD102" i="2"/>
  <c r="BC102" i="2"/>
  <c r="BB102" i="2"/>
  <c r="BA102" i="2"/>
  <c r="AZ102" i="2"/>
  <c r="AY102" i="2"/>
  <c r="AX102" i="2"/>
  <c r="AW102" i="2"/>
  <c r="AV102" i="2"/>
  <c r="AU102" i="2"/>
  <c r="AT102" i="2"/>
  <c r="AS102" i="2"/>
  <c r="AR102" i="2"/>
  <c r="AQ102" i="2"/>
  <c r="AP102" i="2"/>
  <c r="AO102" i="2"/>
  <c r="AN102" i="2"/>
  <c r="AM102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BF101" i="2"/>
  <c r="BE101" i="2"/>
  <c r="BD101" i="2"/>
  <c r="BC101" i="2"/>
  <c r="BB101" i="2"/>
  <c r="BA101" i="2"/>
  <c r="AZ101" i="2"/>
  <c r="AY101" i="2"/>
  <c r="AX101" i="2"/>
  <c r="AW101" i="2"/>
  <c r="AV101" i="2"/>
  <c r="AU101" i="2"/>
  <c r="AT101" i="2"/>
  <c r="AS101" i="2"/>
  <c r="AR101" i="2"/>
  <c r="AQ101" i="2"/>
  <c r="AP101" i="2"/>
  <c r="AO101" i="2"/>
  <c r="AN101" i="2"/>
  <c r="AM101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BF100" i="2"/>
  <c r="BE100" i="2"/>
  <c r="BD100" i="2"/>
  <c r="BC100" i="2"/>
  <c r="BB100" i="2"/>
  <c r="BA100" i="2"/>
  <c r="AZ100" i="2"/>
  <c r="AY100" i="2"/>
  <c r="AX100" i="2"/>
  <c r="AW100" i="2"/>
  <c r="AV100" i="2"/>
  <c r="AU100" i="2"/>
  <c r="AT100" i="2"/>
  <c r="AS100" i="2"/>
  <c r="AR100" i="2"/>
  <c r="AQ100" i="2"/>
  <c r="AP100" i="2"/>
  <c r="AO100" i="2"/>
  <c r="AN100" i="2"/>
  <c r="AM100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BF97" i="2"/>
  <c r="BE97" i="2"/>
  <c r="BD97" i="2"/>
  <c r="BC97" i="2"/>
  <c r="BB97" i="2"/>
  <c r="BA97" i="2"/>
  <c r="AZ97" i="2"/>
  <c r="AY97" i="2"/>
  <c r="AX97" i="2"/>
  <c r="AW97" i="2"/>
  <c r="AV97" i="2"/>
  <c r="AU97" i="2"/>
  <c r="AT97" i="2"/>
  <c r="AS97" i="2"/>
  <c r="AR97" i="2"/>
  <c r="AQ97" i="2"/>
  <c r="AP97" i="2"/>
  <c r="AO97" i="2"/>
  <c r="AN97" i="2"/>
  <c r="AM97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BF95" i="2"/>
  <c r="BE95" i="2"/>
  <c r="BD95" i="2"/>
  <c r="BC95" i="2"/>
  <c r="BB95" i="2"/>
  <c r="BA95" i="2"/>
  <c r="AZ95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BF94" i="2"/>
  <c r="BE94" i="2"/>
  <c r="BD94" i="2"/>
  <c r="BC94" i="2"/>
  <c r="BB94" i="2"/>
  <c r="BA94" i="2"/>
  <c r="AZ94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BF93" i="2"/>
  <c r="BE93" i="2"/>
  <c r="BD93" i="2"/>
  <c r="BC93" i="2"/>
  <c r="BB93" i="2"/>
  <c r="BA93" i="2"/>
  <c r="AZ93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BF91" i="2"/>
  <c r="BE91" i="2"/>
  <c r="BD91" i="2"/>
  <c r="BC91" i="2"/>
  <c r="BB91" i="2"/>
  <c r="BA91" i="2"/>
  <c r="AZ91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BF90" i="2"/>
  <c r="BE90" i="2"/>
  <c r="BD90" i="2"/>
  <c r="BC90" i="2"/>
  <c r="BB90" i="2"/>
  <c r="BA90" i="2"/>
  <c r="AZ90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BF89" i="2"/>
  <c r="BE89" i="2"/>
  <c r="BD89" i="2"/>
  <c r="BC89" i="2"/>
  <c r="BB89" i="2"/>
  <c r="BA89" i="2"/>
  <c r="AZ89" i="2"/>
  <c r="AY89" i="2"/>
  <c r="AX89" i="2"/>
  <c r="AW89" i="2"/>
  <c r="AV89" i="2"/>
  <c r="AU89" i="2"/>
  <c r="AT89" i="2"/>
  <c r="AS89" i="2"/>
  <c r="AR89" i="2"/>
  <c r="AQ89" i="2"/>
  <c r="AP89" i="2"/>
  <c r="AO89" i="2"/>
  <c r="AN89" i="2"/>
  <c r="AM89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BF88" i="2"/>
  <c r="BE88" i="2"/>
  <c r="BD88" i="2"/>
  <c r="BC88" i="2"/>
  <c r="BB88" i="2"/>
  <c r="BA88" i="2"/>
  <c r="AZ88" i="2"/>
  <c r="AY88" i="2"/>
  <c r="AX88" i="2"/>
  <c r="AW88" i="2"/>
  <c r="AV88" i="2"/>
  <c r="AU88" i="2"/>
  <c r="AT88" i="2"/>
  <c r="AS88" i="2"/>
  <c r="AR88" i="2"/>
  <c r="AQ88" i="2"/>
  <c r="AP88" i="2"/>
  <c r="AO88" i="2"/>
  <c r="AN88" i="2"/>
  <c r="AM88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BF84" i="2"/>
  <c r="BE84" i="2"/>
  <c r="BD84" i="2"/>
  <c r="BC84" i="2"/>
  <c r="BB84" i="2"/>
  <c r="BA84" i="2"/>
  <c r="AZ84" i="2"/>
  <c r="AY84" i="2"/>
  <c r="AX84" i="2"/>
  <c r="AW84" i="2"/>
  <c r="AV84" i="2"/>
  <c r="AU84" i="2"/>
  <c r="AT84" i="2"/>
  <c r="AS84" i="2"/>
  <c r="AR84" i="2"/>
  <c r="AQ84" i="2"/>
  <c r="AP84" i="2"/>
  <c r="AO84" i="2"/>
  <c r="AN84" i="2"/>
  <c r="AM84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F83" i="2"/>
  <c r="BE83" i="2"/>
  <c r="BD83" i="2"/>
  <c r="BC83" i="2"/>
  <c r="BB83" i="2"/>
  <c r="BA83" i="2"/>
  <c r="AZ83" i="2"/>
  <c r="AY83" i="2"/>
  <c r="AX83" i="2"/>
  <c r="AW83" i="2"/>
  <c r="AV83" i="2"/>
  <c r="AU83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BF82" i="2"/>
  <c r="BE82" i="2"/>
  <c r="BD82" i="2"/>
  <c r="BC82" i="2"/>
  <c r="BB82" i="2"/>
  <c r="BA82" i="2"/>
  <c r="AZ82" i="2"/>
  <c r="AY82" i="2"/>
  <c r="AX82" i="2"/>
  <c r="AW82" i="2"/>
  <c r="AV82" i="2"/>
  <c r="AU82" i="2"/>
  <c r="AT82" i="2"/>
  <c r="AS82" i="2"/>
  <c r="AR82" i="2"/>
  <c r="AQ82" i="2"/>
  <c r="AP82" i="2"/>
  <c r="AO82" i="2"/>
  <c r="AN82" i="2"/>
  <c r="AM82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F81" i="2"/>
  <c r="BE81" i="2"/>
  <c r="BD81" i="2"/>
  <c r="BC81" i="2"/>
  <c r="BB81" i="2"/>
  <c r="BA81" i="2"/>
  <c r="AZ81" i="2"/>
  <c r="AY81" i="2"/>
  <c r="AX81" i="2"/>
  <c r="AW81" i="2"/>
  <c r="AV81" i="2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BF216" i="2" l="1"/>
  <c r="BE217" i="2"/>
  <c r="BF218" i="2"/>
  <c r="BF219" i="2"/>
  <c r="BE210" i="2"/>
  <c r="BE209" i="2" s="1"/>
  <c r="BF281" i="2"/>
  <c r="BF284" i="2"/>
  <c r="AM223" i="2"/>
  <c r="AU87" i="2"/>
  <c r="BD87" i="2"/>
  <c r="AP279" i="2"/>
  <c r="AT64" i="2"/>
  <c r="BF60" i="2"/>
  <c r="BF65" i="2"/>
  <c r="BE69" i="2"/>
  <c r="BD75" i="2"/>
  <c r="BF75" i="2"/>
  <c r="BF99" i="2"/>
  <c r="BF258" i="2"/>
  <c r="BF186" i="2"/>
  <c r="BE188" i="2"/>
  <c r="BF188" i="2"/>
  <c r="BD189" i="2"/>
  <c r="BE189" i="2"/>
  <c r="BE190" i="2"/>
  <c r="BF190" i="2"/>
  <c r="BD184" i="2"/>
  <c r="BE184" i="2"/>
  <c r="BF184" i="2"/>
  <c r="BD185" i="2"/>
  <c r="BE185" i="2"/>
  <c r="BF185" i="2"/>
  <c r="BD186" i="2"/>
  <c r="BE186" i="2"/>
  <c r="BD187" i="2"/>
  <c r="BE187" i="2"/>
  <c r="BF187" i="2"/>
  <c r="BD188" i="2"/>
  <c r="BF189" i="2"/>
  <c r="BD190" i="2"/>
  <c r="BE223" i="2"/>
  <c r="BE198" i="2"/>
  <c r="BE216" i="2"/>
  <c r="BE258" i="2"/>
  <c r="BF279" i="2"/>
  <c r="BE282" i="2"/>
  <c r="BF331" i="2"/>
  <c r="BD332" i="2"/>
  <c r="BE332" i="2"/>
  <c r="BE334" i="2"/>
  <c r="BF334" i="2"/>
  <c r="BD337" i="2"/>
  <c r="BE337" i="2"/>
  <c r="BF337" i="2"/>
  <c r="BF332" i="2"/>
  <c r="BD333" i="2"/>
  <c r="BE335" i="2"/>
  <c r="BF335" i="2"/>
  <c r="BD331" i="2"/>
  <c r="BE331" i="2"/>
  <c r="BF333" i="2"/>
  <c r="BD334" i="2"/>
  <c r="BD336" i="2"/>
  <c r="BE336" i="2"/>
  <c r="BF336" i="2"/>
  <c r="BE333" i="2"/>
  <c r="BD335" i="2"/>
  <c r="BD363" i="2"/>
  <c r="BE368" i="2"/>
  <c r="BE364" i="2"/>
  <c r="BF364" i="2"/>
  <c r="BE367" i="2"/>
  <c r="BF365" i="2"/>
  <c r="BD367" i="2"/>
  <c r="BD418" i="2"/>
  <c r="BF419" i="2"/>
  <c r="BD421" i="2"/>
  <c r="BD422" i="2"/>
  <c r="BE422" i="2"/>
  <c r="BD424" i="2"/>
  <c r="BE424" i="2"/>
  <c r="BF424" i="2"/>
  <c r="BD426" i="2"/>
  <c r="BF425" i="2"/>
  <c r="BE427" i="2"/>
  <c r="BE428" i="2"/>
  <c r="BF428" i="2"/>
  <c r="BD428" i="2"/>
  <c r="BF418" i="2"/>
  <c r="BE418" i="2"/>
  <c r="BD419" i="2"/>
  <c r="BE419" i="2"/>
  <c r="BD420" i="2"/>
  <c r="BE420" i="2"/>
  <c r="BF420" i="2"/>
  <c r="BE421" i="2"/>
  <c r="BF421" i="2"/>
  <c r="BF422" i="2"/>
  <c r="BF423" i="2"/>
  <c r="BD425" i="2"/>
  <c r="BE425" i="2"/>
  <c r="BE426" i="2"/>
  <c r="BF426" i="2"/>
  <c r="BF427" i="2"/>
  <c r="BF466" i="2"/>
  <c r="BF507" i="2"/>
  <c r="BE481" i="2"/>
  <c r="BF509" i="2"/>
  <c r="BE506" i="2"/>
  <c r="BF506" i="2"/>
  <c r="BD526" i="2"/>
  <c r="BE529" i="2"/>
  <c r="BD529" i="2"/>
  <c r="BD528" i="2"/>
  <c r="AO60" i="2"/>
  <c r="BA65" i="2"/>
  <c r="AO69" i="2"/>
  <c r="AP69" i="2"/>
  <c r="AW69" i="2"/>
  <c r="AX69" i="2"/>
  <c r="AM75" i="2"/>
  <c r="AN75" i="2"/>
  <c r="AO75" i="2"/>
  <c r="AR75" i="2"/>
  <c r="AT75" i="2"/>
  <c r="AU75" i="2"/>
  <c r="AV75" i="2"/>
  <c r="AW75" i="2"/>
  <c r="BB75" i="2"/>
  <c r="BC75" i="2"/>
  <c r="AS75" i="2"/>
  <c r="BA75" i="2"/>
  <c r="AZ75" i="2"/>
  <c r="AO87" i="2"/>
  <c r="AQ87" i="2"/>
  <c r="AR87" i="2"/>
  <c r="AR189" i="2"/>
  <c r="AZ189" i="2"/>
  <c r="BB189" i="2"/>
  <c r="BC189" i="2"/>
  <c r="AQ189" i="2"/>
  <c r="AY189" i="2"/>
  <c r="AP190" i="2"/>
  <c r="AQ190" i="2"/>
  <c r="AR190" i="2"/>
  <c r="AS190" i="2"/>
  <c r="AX190" i="2"/>
  <c r="AY190" i="2"/>
  <c r="AZ190" i="2"/>
  <c r="BA190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AZ184" i="2"/>
  <c r="BA184" i="2"/>
  <c r="BB184" i="2"/>
  <c r="BC184" i="2"/>
  <c r="AM185" i="2"/>
  <c r="AN185" i="2"/>
  <c r="AO185" i="2"/>
  <c r="AP185" i="2"/>
  <c r="AQ185" i="2"/>
  <c r="AR185" i="2"/>
  <c r="AS185" i="2"/>
  <c r="AT185" i="2"/>
  <c r="AU185" i="2"/>
  <c r="AV185" i="2"/>
  <c r="AW185" i="2"/>
  <c r="AX185" i="2"/>
  <c r="AY185" i="2"/>
  <c r="AZ185" i="2"/>
  <c r="BA185" i="2"/>
  <c r="BB185" i="2"/>
  <c r="BC185" i="2"/>
  <c r="AM186" i="2"/>
  <c r="AN186" i="2"/>
  <c r="AO186" i="2"/>
  <c r="AP186" i="2"/>
  <c r="AQ186" i="2"/>
  <c r="AR186" i="2"/>
  <c r="AS186" i="2"/>
  <c r="AT186" i="2"/>
  <c r="AU186" i="2"/>
  <c r="AV186" i="2"/>
  <c r="AW186" i="2"/>
  <c r="AX186" i="2"/>
  <c r="AY186" i="2"/>
  <c r="AZ186" i="2"/>
  <c r="BA186" i="2"/>
  <c r="BB186" i="2"/>
  <c r="BC186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Y187" i="2"/>
  <c r="AZ187" i="2"/>
  <c r="BA187" i="2"/>
  <c r="BB187" i="2"/>
  <c r="BC187" i="2"/>
  <c r="AM188" i="2"/>
  <c r="AN188" i="2"/>
  <c r="AO188" i="2"/>
  <c r="AP188" i="2"/>
  <c r="AQ188" i="2"/>
  <c r="AR188" i="2"/>
  <c r="AS188" i="2"/>
  <c r="AT188" i="2"/>
  <c r="AU188" i="2"/>
  <c r="AV188" i="2"/>
  <c r="AW188" i="2"/>
  <c r="AX188" i="2"/>
  <c r="AY188" i="2"/>
  <c r="AZ188" i="2"/>
  <c r="BA188" i="2"/>
  <c r="BB188" i="2"/>
  <c r="BC188" i="2"/>
  <c r="AM189" i="2"/>
  <c r="AN189" i="2"/>
  <c r="AO189" i="2"/>
  <c r="AP189" i="2"/>
  <c r="AT189" i="2"/>
  <c r="AU189" i="2"/>
  <c r="AV189" i="2"/>
  <c r="AW189" i="2"/>
  <c r="AX189" i="2"/>
  <c r="AM190" i="2"/>
  <c r="AN190" i="2"/>
  <c r="AO190" i="2"/>
  <c r="AT190" i="2"/>
  <c r="AU190" i="2"/>
  <c r="AV190" i="2"/>
  <c r="AW190" i="2"/>
  <c r="BB190" i="2"/>
  <c r="BC190" i="2"/>
  <c r="AR216" i="2"/>
  <c r="AN217" i="2"/>
  <c r="AV217" i="2"/>
  <c r="BC217" i="2"/>
  <c r="AX218" i="2"/>
  <c r="AV220" i="2"/>
  <c r="AW216" i="2"/>
  <c r="AT218" i="2"/>
  <c r="AZ218" i="2"/>
  <c r="AO219" i="2"/>
  <c r="BB219" i="2"/>
  <c r="AO216" i="2"/>
  <c r="AZ255" i="2"/>
  <c r="AT256" i="2"/>
  <c r="AR256" i="2"/>
  <c r="AZ257" i="2"/>
  <c r="AR258" i="2"/>
  <c r="BC258" i="2"/>
  <c r="AV259" i="2"/>
  <c r="AQ256" i="2"/>
  <c r="AT283" i="2"/>
  <c r="AZ331" i="2"/>
  <c r="AQ332" i="2"/>
  <c r="AR332" i="2"/>
  <c r="AY332" i="2"/>
  <c r="AP333" i="2"/>
  <c r="AX333" i="2"/>
  <c r="AY333" i="2"/>
  <c r="AO334" i="2"/>
  <c r="AW334" i="2"/>
  <c r="AN335" i="2"/>
  <c r="AO335" i="2"/>
  <c r="AV335" i="2"/>
  <c r="AM336" i="2"/>
  <c r="AN336" i="2"/>
  <c r="AU336" i="2"/>
  <c r="BC336" i="2"/>
  <c r="AT337" i="2"/>
  <c r="BB337" i="2"/>
  <c r="AR335" i="2"/>
  <c r="AZ335" i="2"/>
  <c r="AQ336" i="2"/>
  <c r="AY336" i="2"/>
  <c r="AP337" i="2"/>
  <c r="AU337" i="2"/>
  <c r="AX337" i="2"/>
  <c r="AZ337" i="2"/>
  <c r="AS331" i="2"/>
  <c r="AT331" i="2"/>
  <c r="BB331" i="2"/>
  <c r="AS332" i="2"/>
  <c r="BA332" i="2"/>
  <c r="AR333" i="2"/>
  <c r="AZ333" i="2"/>
  <c r="AQ334" i="2"/>
  <c r="AP335" i="2"/>
  <c r="AX335" i="2"/>
  <c r="AO336" i="2"/>
  <c r="AW336" i="2"/>
  <c r="AN337" i="2"/>
  <c r="AR331" i="2"/>
  <c r="AY334" i="2"/>
  <c r="AV337" i="2"/>
  <c r="AP362" i="2"/>
  <c r="AX362" i="2"/>
  <c r="AW363" i="2"/>
  <c r="AN364" i="2"/>
  <c r="AM365" i="2"/>
  <c r="AU365" i="2"/>
  <c r="BC365" i="2"/>
  <c r="AT366" i="2"/>
  <c r="AM362" i="2"/>
  <c r="AO362" i="2"/>
  <c r="AU362" i="2"/>
  <c r="BC362" i="2"/>
  <c r="AN363" i="2"/>
  <c r="AU363" i="2"/>
  <c r="AV363" i="2"/>
  <c r="BB363" i="2"/>
  <c r="AM364" i="2"/>
  <c r="AS364" i="2"/>
  <c r="AT364" i="2"/>
  <c r="BA364" i="2"/>
  <c r="BC364" i="2"/>
  <c r="AR365" i="2"/>
  <c r="AT365" i="2"/>
  <c r="AZ365" i="2"/>
  <c r="BB365" i="2"/>
  <c r="AQ366" i="2"/>
  <c r="AS366" i="2"/>
  <c r="AX366" i="2"/>
  <c r="AY366" i="2"/>
  <c r="BA366" i="2"/>
  <c r="AR367" i="2"/>
  <c r="AX367" i="2"/>
  <c r="AZ367" i="2"/>
  <c r="AO368" i="2"/>
  <c r="AQ368" i="2"/>
  <c r="AW368" i="2"/>
  <c r="AY368" i="2"/>
  <c r="AN362" i="2"/>
  <c r="AV362" i="2"/>
  <c r="AW362" i="2"/>
  <c r="AZ362" i="2"/>
  <c r="AM363" i="2"/>
  <c r="AO363" i="2"/>
  <c r="AT363" i="2"/>
  <c r="BC363" i="2"/>
  <c r="AU364" i="2"/>
  <c r="AV364" i="2"/>
  <c r="AX364" i="2"/>
  <c r="BB364" i="2"/>
  <c r="AS365" i="2"/>
  <c r="AW365" i="2"/>
  <c r="BA365" i="2"/>
  <c r="AR366" i="2"/>
  <c r="BB366" i="2"/>
  <c r="AP367" i="2"/>
  <c r="AU367" i="2"/>
  <c r="AY367" i="2"/>
  <c r="AR419" i="2"/>
  <c r="AS419" i="2"/>
  <c r="AT419" i="2"/>
  <c r="BA419" i="2"/>
  <c r="BB419" i="2"/>
  <c r="AN423" i="2"/>
  <c r="AM421" i="2"/>
  <c r="AP421" i="2"/>
  <c r="AT421" i="2"/>
  <c r="AU421" i="2"/>
  <c r="AV421" i="2"/>
  <c r="AW421" i="2"/>
  <c r="BB421" i="2"/>
  <c r="BC421" i="2"/>
  <c r="AM422" i="2"/>
  <c r="AN422" i="2"/>
  <c r="AP422" i="2"/>
  <c r="AR422" i="2"/>
  <c r="AT422" i="2"/>
  <c r="AV422" i="2"/>
  <c r="AX422" i="2"/>
  <c r="AZ422" i="2"/>
  <c r="BA422" i="2"/>
  <c r="BB422" i="2"/>
  <c r="BC422" i="2"/>
  <c r="AQ426" i="2"/>
  <c r="AN424" i="2"/>
  <c r="AO424" i="2"/>
  <c r="AP424" i="2"/>
  <c r="AQ424" i="2"/>
  <c r="AV424" i="2"/>
  <c r="AW424" i="2"/>
  <c r="AX424" i="2"/>
  <c r="AY424" i="2"/>
  <c r="BC424" i="2"/>
  <c r="AN426" i="2"/>
  <c r="AT426" i="2"/>
  <c r="AU426" i="2"/>
  <c r="AV426" i="2"/>
  <c r="AW426" i="2"/>
  <c r="BB426" i="2"/>
  <c r="AM425" i="2"/>
  <c r="AO425" i="2"/>
  <c r="AQ425" i="2"/>
  <c r="AS425" i="2"/>
  <c r="AT425" i="2"/>
  <c r="AU425" i="2"/>
  <c r="AV425" i="2"/>
  <c r="AW425" i="2"/>
  <c r="AY425" i="2"/>
  <c r="BA425" i="2"/>
  <c r="BC425" i="2"/>
  <c r="AT427" i="2"/>
  <c r="BB427" i="2"/>
  <c r="AM428" i="2"/>
  <c r="AU428" i="2"/>
  <c r="AY428" i="2"/>
  <c r="BC428" i="2"/>
  <c r="AN428" i="2"/>
  <c r="AP428" i="2"/>
  <c r="AV428" i="2"/>
  <c r="AX428" i="2"/>
  <c r="AX429" i="2"/>
  <c r="AZ429" i="2"/>
  <c r="AY418" i="2"/>
  <c r="AX427" i="2"/>
  <c r="AO418" i="2"/>
  <c r="AQ418" i="2"/>
  <c r="AS418" i="2"/>
  <c r="AU418" i="2"/>
  <c r="AW418" i="2"/>
  <c r="AM419" i="2"/>
  <c r="AN419" i="2"/>
  <c r="AO419" i="2"/>
  <c r="AP419" i="2"/>
  <c r="AQ419" i="2"/>
  <c r="AU419" i="2"/>
  <c r="AV419" i="2"/>
  <c r="AW419" i="2"/>
  <c r="AX419" i="2"/>
  <c r="AY419" i="2"/>
  <c r="AZ419" i="2"/>
  <c r="BC419" i="2"/>
  <c r="AM420" i="2"/>
  <c r="AS420" i="2"/>
  <c r="AU420" i="2"/>
  <c r="AW420" i="2"/>
  <c r="BA420" i="2"/>
  <c r="BC420" i="2"/>
  <c r="AN421" i="2"/>
  <c r="AO421" i="2"/>
  <c r="AQ421" i="2"/>
  <c r="AR421" i="2"/>
  <c r="AS421" i="2"/>
  <c r="AX421" i="2"/>
  <c r="AY421" i="2"/>
  <c r="AZ421" i="2"/>
  <c r="BA421" i="2"/>
  <c r="AO422" i="2"/>
  <c r="AQ422" i="2"/>
  <c r="AS422" i="2"/>
  <c r="AU422" i="2"/>
  <c r="AW422" i="2"/>
  <c r="AY422" i="2"/>
  <c r="AR423" i="2"/>
  <c r="AV423" i="2"/>
  <c r="AX423" i="2"/>
  <c r="AZ423" i="2"/>
  <c r="AM424" i="2"/>
  <c r="AR424" i="2"/>
  <c r="AS424" i="2"/>
  <c r="AT424" i="2"/>
  <c r="AU424" i="2"/>
  <c r="AZ424" i="2"/>
  <c r="BA424" i="2"/>
  <c r="BB424" i="2"/>
  <c r="AN425" i="2"/>
  <c r="AP425" i="2"/>
  <c r="AR425" i="2"/>
  <c r="AX425" i="2"/>
  <c r="AZ425" i="2"/>
  <c r="BB425" i="2"/>
  <c r="AM426" i="2"/>
  <c r="AO426" i="2"/>
  <c r="AS426" i="2"/>
  <c r="AY426" i="2"/>
  <c r="BA426" i="2"/>
  <c r="BC426" i="2"/>
  <c r="AP427" i="2"/>
  <c r="AQ428" i="2"/>
  <c r="AS428" i="2"/>
  <c r="AW428" i="2"/>
  <c r="AO481" i="2"/>
  <c r="AR487" i="2"/>
  <c r="AR509" i="2"/>
  <c r="AO494" i="2"/>
  <c r="BC494" i="2"/>
  <c r="AZ510" i="2"/>
  <c r="AQ500" i="2"/>
  <c r="AM526" i="2"/>
  <c r="AS526" i="2"/>
  <c r="AU526" i="2"/>
  <c r="BA526" i="2"/>
  <c r="AR529" i="2"/>
  <c r="AZ529" i="2"/>
  <c r="AQ528" i="2"/>
  <c r="AY528" i="2"/>
  <c r="AT527" i="2"/>
  <c r="AU527" i="2"/>
  <c r="BB527" i="2"/>
  <c r="BC527" i="2"/>
  <c r="AP529" i="2"/>
  <c r="AX529" i="2"/>
  <c r="AN527" i="2"/>
  <c r="AR526" i="2"/>
  <c r="AV527" i="2"/>
  <c r="AZ526" i="2"/>
  <c r="BB528" i="2"/>
  <c r="BC526" i="2"/>
  <c r="AM527" i="2"/>
  <c r="AS528" i="2"/>
  <c r="AT528" i="2"/>
  <c r="BA528" i="2"/>
  <c r="BE510" i="2" l="1"/>
  <c r="BE476" i="2"/>
  <c r="AV279" i="2"/>
  <c r="AV526" i="2"/>
  <c r="AT466" i="2"/>
  <c r="AO473" i="2"/>
  <c r="AY420" i="2"/>
  <c r="AQ420" i="2"/>
  <c r="AU368" i="2"/>
  <c r="AS362" i="2"/>
  <c r="AV366" i="2"/>
  <c r="AY363" i="2"/>
  <c r="BE500" i="2"/>
  <c r="BE507" i="2"/>
  <c r="BE466" i="2"/>
  <c r="BF429" i="2"/>
  <c r="BD423" i="2"/>
  <c r="AY527" i="2"/>
  <c r="AQ527" i="2"/>
  <c r="AZ528" i="2"/>
  <c r="AR528" i="2"/>
  <c r="BB526" i="2"/>
  <c r="AT526" i="2"/>
  <c r="BC529" i="2"/>
  <c r="AU529" i="2"/>
  <c r="AM529" i="2"/>
  <c r="AW528" i="2"/>
  <c r="AO528" i="2"/>
  <c r="AY526" i="2"/>
  <c r="AQ526" i="2"/>
  <c r="AO466" i="2"/>
  <c r="AO476" i="2"/>
  <c r="AX420" i="2"/>
  <c r="AP420" i="2"/>
  <c r="BB368" i="2"/>
  <c r="AT368" i="2"/>
  <c r="BC367" i="2"/>
  <c r="AM367" i="2"/>
  <c r="AN366" i="2"/>
  <c r="AO365" i="2"/>
  <c r="AP364" i="2"/>
  <c r="AQ363" i="2"/>
  <c r="AR362" i="2"/>
  <c r="AU69" i="2"/>
  <c r="AV69" i="2"/>
  <c r="AN69" i="2"/>
  <c r="BE527" i="2"/>
  <c r="BF527" i="2"/>
  <c r="BF529" i="2"/>
  <c r="BD527" i="2"/>
  <c r="BE526" i="2"/>
  <c r="BE429" i="2"/>
  <c r="BD427" i="2"/>
  <c r="BE423" i="2"/>
  <c r="AO453" i="2"/>
  <c r="AZ427" i="2"/>
  <c r="AR427" i="2"/>
  <c r="AO420" i="2"/>
  <c r="AP423" i="2"/>
  <c r="BA418" i="2"/>
  <c r="BC69" i="2"/>
  <c r="AM69" i="2"/>
  <c r="BD429" i="2"/>
  <c r="BD362" i="2"/>
  <c r="AN526" i="2"/>
  <c r="AP527" i="2"/>
  <c r="AS527" i="2"/>
  <c r="AT529" i="2"/>
  <c r="AV528" i="2"/>
  <c r="AW529" i="2"/>
  <c r="AX526" i="2"/>
  <c r="AW527" i="2"/>
  <c r="AO527" i="2"/>
  <c r="AX528" i="2"/>
  <c r="AP528" i="2"/>
  <c r="AY529" i="2"/>
  <c r="AQ529" i="2"/>
  <c r="BA529" i="2"/>
  <c r="AS529" i="2"/>
  <c r="BC528" i="2"/>
  <c r="AU528" i="2"/>
  <c r="AM528" i="2"/>
  <c r="AV529" i="2"/>
  <c r="AN529" i="2"/>
  <c r="AW526" i="2"/>
  <c r="AO526" i="2"/>
  <c r="AV500" i="2"/>
  <c r="BB69" i="2"/>
  <c r="AT69" i="2"/>
  <c r="BE528" i="2"/>
  <c r="BF260" i="2"/>
  <c r="AX527" i="2"/>
  <c r="BA527" i="2"/>
  <c r="BB529" i="2"/>
  <c r="AN528" i="2"/>
  <c r="AO529" i="2"/>
  <c r="AP526" i="2"/>
  <c r="AZ466" i="2"/>
  <c r="AT472" i="2"/>
  <c r="BA189" i="2"/>
  <c r="AS189" i="2"/>
  <c r="BE260" i="2"/>
  <c r="BE256" i="2"/>
  <c r="BE75" i="2"/>
  <c r="AR472" i="2"/>
  <c r="BC337" i="2"/>
  <c r="AM337" i="2"/>
  <c r="AV336" i="2"/>
  <c r="AW335" i="2"/>
  <c r="AX334" i="2"/>
  <c r="AP334" i="2"/>
  <c r="AQ333" i="2"/>
  <c r="AZ332" i="2"/>
  <c r="BA331" i="2"/>
  <c r="BF259" i="2"/>
  <c r="BF235" i="2"/>
  <c r="BF255" i="2"/>
  <c r="BE285" i="2"/>
  <c r="BE284" i="2"/>
  <c r="BE281" i="2"/>
  <c r="BE218" i="2"/>
  <c r="AR429" i="2"/>
  <c r="BB429" i="2"/>
  <c r="AT429" i="2"/>
  <c r="AO428" i="2"/>
  <c r="AY427" i="2"/>
  <c r="AQ427" i="2"/>
  <c r="AZ418" i="2"/>
  <c r="AR418" i="2"/>
  <c r="BA368" i="2"/>
  <c r="AS368" i="2"/>
  <c r="AZ368" i="2"/>
  <c r="AR368" i="2"/>
  <c r="BA367" i="2"/>
  <c r="AS367" i="2"/>
  <c r="AW258" i="2"/>
  <c r="AZ220" i="2"/>
  <c r="AR217" i="2"/>
  <c r="AT216" i="2"/>
  <c r="BC87" i="2"/>
  <c r="BC86" i="2" s="1"/>
  <c r="AN87" i="2"/>
  <c r="AN86" i="2" s="1"/>
  <c r="BF510" i="2"/>
  <c r="BF494" i="2"/>
  <c r="BF476" i="2"/>
  <c r="BF460" i="2"/>
  <c r="BE259" i="2"/>
  <c r="BE235" i="2"/>
  <c r="BF87" i="2"/>
  <c r="BF86" i="2" s="1"/>
  <c r="AZ472" i="2"/>
  <c r="BA337" i="2"/>
  <c r="AS337" i="2"/>
  <c r="BB336" i="2"/>
  <c r="AT336" i="2"/>
  <c r="BC335" i="2"/>
  <c r="AU335" i="2"/>
  <c r="AM335" i="2"/>
  <c r="AV334" i="2"/>
  <c r="AN334" i="2"/>
  <c r="AW333" i="2"/>
  <c r="AO333" i="2"/>
  <c r="AX332" i="2"/>
  <c r="AP332" i="2"/>
  <c r="AY331" i="2"/>
  <c r="AQ331" i="2"/>
  <c r="AR337" i="2"/>
  <c r="BA336" i="2"/>
  <c r="AS336" i="2"/>
  <c r="BB335" i="2"/>
  <c r="AT335" i="2"/>
  <c r="BC334" i="2"/>
  <c r="AU334" i="2"/>
  <c r="AM334" i="2"/>
  <c r="AV333" i="2"/>
  <c r="AN333" i="2"/>
  <c r="AW332" i="2"/>
  <c r="AO332" i="2"/>
  <c r="AX331" i="2"/>
  <c r="AP331" i="2"/>
  <c r="AY337" i="2"/>
  <c r="AQ337" i="2"/>
  <c r="AZ336" i="2"/>
  <c r="AR336" i="2"/>
  <c r="BA335" i="2"/>
  <c r="AS335" i="2"/>
  <c r="BB334" i="2"/>
  <c r="AT334" i="2"/>
  <c r="BC333" i="2"/>
  <c r="AU333" i="2"/>
  <c r="AM333" i="2"/>
  <c r="AV332" i="2"/>
  <c r="AN332" i="2"/>
  <c r="AW331" i="2"/>
  <c r="AO331" i="2"/>
  <c r="AW99" i="2"/>
  <c r="AW98" i="2" s="1"/>
  <c r="BA69" i="2"/>
  <c r="AS69" i="2"/>
  <c r="BE494" i="2"/>
  <c r="BE508" i="2" s="1"/>
  <c r="BE460" i="2"/>
  <c r="BF244" i="2"/>
  <c r="BE220" i="2"/>
  <c r="BF69" i="2"/>
  <c r="AY87" i="2"/>
  <c r="AY86" i="2" s="1"/>
  <c r="AP87" i="2"/>
  <c r="AP86" i="2" s="1"/>
  <c r="AR223" i="2"/>
  <c r="AV473" i="2"/>
  <c r="AT420" i="2"/>
  <c r="AX368" i="2"/>
  <c r="AP368" i="2"/>
  <c r="AQ367" i="2"/>
  <c r="AZ366" i="2"/>
  <c r="AR255" i="2"/>
  <c r="AU218" i="2"/>
  <c r="AT99" i="2"/>
  <c r="AT98" i="2" s="1"/>
  <c r="AZ87" i="2"/>
  <c r="AZ86" i="2" s="1"/>
  <c r="AY75" i="2"/>
  <c r="AQ75" i="2"/>
  <c r="AY69" i="2"/>
  <c r="AQ69" i="2"/>
  <c r="AZ69" i="2"/>
  <c r="AR69" i="2"/>
  <c r="BF473" i="2"/>
  <c r="BE366" i="2"/>
  <c r="BF363" i="2"/>
  <c r="BD368" i="2"/>
  <c r="BE365" i="2"/>
  <c r="BF362" i="2"/>
  <c r="BE244" i="2"/>
  <c r="BE219" i="2"/>
  <c r="AX87" i="2"/>
  <c r="AX86" i="2" s="1"/>
  <c r="BA334" i="2"/>
  <c r="AS334" i="2"/>
  <c r="BB333" i="2"/>
  <c r="AT333" i="2"/>
  <c r="BC332" i="2"/>
  <c r="AU332" i="2"/>
  <c r="AM332" i="2"/>
  <c r="AV331" i="2"/>
  <c r="AN331" i="2"/>
  <c r="AW337" i="2"/>
  <c r="AO337" i="2"/>
  <c r="AX336" i="2"/>
  <c r="AP336" i="2"/>
  <c r="AY335" i="2"/>
  <c r="AQ335" i="2"/>
  <c r="AZ334" i="2"/>
  <c r="AR334" i="2"/>
  <c r="BA333" i="2"/>
  <c r="AS333" i="2"/>
  <c r="BB332" i="2"/>
  <c r="AT332" i="2"/>
  <c r="BC331" i="2"/>
  <c r="AU331" i="2"/>
  <c r="AM331" i="2"/>
  <c r="AV257" i="2"/>
  <c r="AW87" i="2"/>
  <c r="AW86" i="2" s="1"/>
  <c r="AX75" i="2"/>
  <c r="AP75" i="2"/>
  <c r="BF368" i="2"/>
  <c r="BD366" i="2"/>
  <c r="BE363" i="2"/>
  <c r="BF367" i="2"/>
  <c r="BD365" i="2"/>
  <c r="BE362" i="2"/>
  <c r="BF366" i="2"/>
  <c r="BD364" i="2"/>
  <c r="BF261" i="2"/>
  <c r="BF257" i="2"/>
  <c r="BF98" i="2"/>
  <c r="BD69" i="2"/>
  <c r="AR284" i="2"/>
  <c r="AV429" i="2"/>
  <c r="AN429" i="2"/>
  <c r="AP429" i="2"/>
  <c r="AY429" i="2"/>
  <c r="AQ429" i="2"/>
  <c r="AZ428" i="2"/>
  <c r="AR428" i="2"/>
  <c r="BA428" i="2"/>
  <c r="BC427" i="2"/>
  <c r="AU427" i="2"/>
  <c r="AM427" i="2"/>
  <c r="AV427" i="2"/>
  <c r="AN427" i="2"/>
  <c r="AX426" i="2"/>
  <c r="AP426" i="2"/>
  <c r="BB423" i="2"/>
  <c r="AT423" i="2"/>
  <c r="BC418" i="2"/>
  <c r="AM418" i="2"/>
  <c r="AV418" i="2"/>
  <c r="AN418" i="2"/>
  <c r="AV368" i="2"/>
  <c r="AN368" i="2"/>
  <c r="AW367" i="2"/>
  <c r="AO367" i="2"/>
  <c r="AP366" i="2"/>
  <c r="AY365" i="2"/>
  <c r="AQ365" i="2"/>
  <c r="AZ364" i="2"/>
  <c r="AR364" i="2"/>
  <c r="BA363" i="2"/>
  <c r="AS363" i="2"/>
  <c r="BB362" i="2"/>
  <c r="AT362" i="2"/>
  <c r="BC368" i="2"/>
  <c r="AM368" i="2"/>
  <c r="AV367" i="2"/>
  <c r="AN367" i="2"/>
  <c r="AW366" i="2"/>
  <c r="AO366" i="2"/>
  <c r="AX365" i="2"/>
  <c r="AP365" i="2"/>
  <c r="AY364" i="2"/>
  <c r="AQ364" i="2"/>
  <c r="AZ363" i="2"/>
  <c r="AR363" i="2"/>
  <c r="BA362" i="2"/>
  <c r="AP220" i="2"/>
  <c r="BE261" i="2"/>
  <c r="BE257" i="2"/>
  <c r="BE99" i="2"/>
  <c r="AV87" i="2"/>
  <c r="AM87" i="2"/>
  <c r="BF64" i="2"/>
  <c r="BF283" i="2"/>
  <c r="BF210" i="2"/>
  <c r="BF209" i="2" s="1"/>
  <c r="BF223" i="2"/>
  <c r="BF220" i="2"/>
  <c r="BF217" i="2"/>
  <c r="BF285" i="2"/>
  <c r="BF280" i="2"/>
  <c r="BE197" i="2"/>
  <c r="BE221" i="2" s="1"/>
  <c r="BE283" i="2"/>
  <c r="BF256" i="2"/>
  <c r="BF472" i="2"/>
  <c r="BE447" i="2"/>
  <c r="BE87" i="2"/>
  <c r="BE86" i="2" s="1"/>
  <c r="BE64" i="2"/>
  <c r="BF453" i="2"/>
  <c r="BF477" i="2" s="1"/>
  <c r="BF447" i="2"/>
  <c r="BE280" i="2"/>
  <c r="BE509" i="2"/>
  <c r="BE472" i="2"/>
  <c r="BE487" i="2"/>
  <c r="BE255" i="2"/>
  <c r="BE453" i="2"/>
  <c r="BF282" i="2"/>
  <c r="BF487" i="2"/>
  <c r="BF500" i="2"/>
  <c r="BF481" i="2"/>
  <c r="BE279" i="2"/>
  <c r="BF198" i="2"/>
  <c r="BD64" i="2"/>
  <c r="BD510" i="2"/>
  <c r="BD506" i="2"/>
  <c r="BD509" i="2"/>
  <c r="BD460" i="2"/>
  <c r="BD261" i="2"/>
  <c r="BD256" i="2"/>
  <c r="AT284" i="2"/>
  <c r="AR198" i="2"/>
  <c r="AN261" i="2"/>
  <c r="BB99" i="2"/>
  <c r="BB98" i="2" s="1"/>
  <c r="AV507" i="2"/>
  <c r="AT475" i="2"/>
  <c r="AO258" i="2"/>
  <c r="AZ198" i="2"/>
  <c r="AZ197" i="2" s="1"/>
  <c r="AU60" i="2"/>
  <c r="AO509" i="2"/>
  <c r="AO487" i="2"/>
  <c r="AR466" i="2"/>
  <c r="AR99" i="2"/>
  <c r="AR98" i="2" s="1"/>
  <c r="AW60" i="2"/>
  <c r="AO500" i="2"/>
  <c r="AQ481" i="2"/>
  <c r="AV453" i="2"/>
  <c r="AR244" i="2"/>
  <c r="AN500" i="2"/>
  <c r="AY509" i="2"/>
  <c r="AT453" i="2"/>
  <c r="AZ475" i="2"/>
  <c r="AQ510" i="2"/>
  <c r="AQ453" i="2"/>
  <c r="AP283" i="2"/>
  <c r="BC223" i="2"/>
  <c r="AZ99" i="2"/>
  <c r="AZ98" i="2" s="1"/>
  <c r="AZ487" i="2"/>
  <c r="AN260" i="2"/>
  <c r="AT494" i="2"/>
  <c r="AN453" i="2"/>
  <c r="BB280" i="2"/>
  <c r="AN259" i="2"/>
  <c r="AU217" i="2"/>
  <c r="AT281" i="2"/>
  <c r="AU257" i="2"/>
  <c r="BC466" i="2"/>
  <c r="BC453" i="2"/>
  <c r="AW500" i="2"/>
  <c r="BB259" i="2"/>
  <c r="AU487" i="2"/>
  <c r="AW487" i="2"/>
  <c r="BB256" i="2"/>
  <c r="BB261" i="2"/>
  <c r="BB260" i="2"/>
  <c r="AW481" i="2"/>
  <c r="AU481" i="2"/>
  <c r="BB472" i="2"/>
  <c r="AV256" i="2"/>
  <c r="AN257" i="2"/>
  <c r="AW466" i="2"/>
  <c r="AO281" i="2"/>
  <c r="AO244" i="2"/>
  <c r="AX99" i="2"/>
  <c r="AX98" i="2" s="1"/>
  <c r="AR86" i="2"/>
  <c r="AT282" i="2"/>
  <c r="AV506" i="2"/>
  <c r="AN475" i="2"/>
  <c r="AZ473" i="2"/>
  <c r="AR282" i="2"/>
  <c r="AT219" i="2"/>
  <c r="BC198" i="2"/>
  <c r="BC197" i="2" s="1"/>
  <c r="AZ217" i="2"/>
  <c r="AQ494" i="2"/>
  <c r="AV509" i="2"/>
  <c r="AR460" i="2"/>
  <c r="AV472" i="2"/>
  <c r="BC476" i="2"/>
  <c r="AY510" i="2"/>
  <c r="AU223" i="2"/>
  <c r="AX220" i="2"/>
  <c r="AV510" i="2"/>
  <c r="AN506" i="2"/>
  <c r="BC487" i="2"/>
  <c r="AT473" i="2"/>
  <c r="AR257" i="2"/>
  <c r="AT255" i="2"/>
  <c r="AP218" i="2"/>
  <c r="AZ216" i="2"/>
  <c r="AR220" i="2"/>
  <c r="AP510" i="2"/>
  <c r="AX472" i="2"/>
  <c r="AX509" i="2"/>
  <c r="BD65" i="2"/>
  <c r="AP60" i="2"/>
  <c r="AR261" i="2"/>
  <c r="BD283" i="2"/>
  <c r="BD280" i="2"/>
  <c r="AN280" i="2"/>
  <c r="AT285" i="2"/>
  <c r="BD284" i="2"/>
  <c r="AZ283" i="2"/>
  <c r="AY282" i="2"/>
  <c r="BB281" i="2"/>
  <c r="AP219" i="2"/>
  <c r="AM218" i="2"/>
  <c r="AT261" i="2"/>
  <c r="AO259" i="2"/>
  <c r="AN216" i="2"/>
  <c r="BD466" i="2"/>
  <c r="BD473" i="2"/>
  <c r="BD210" i="2"/>
  <c r="BD209" i="2" s="1"/>
  <c r="AM217" i="2"/>
  <c r="BB284" i="2"/>
  <c r="AV260" i="2"/>
  <c r="AW255" i="2"/>
  <c r="AR218" i="2"/>
  <c r="BC218" i="2"/>
  <c r="BD218" i="2"/>
  <c r="AT280" i="2"/>
  <c r="AO261" i="2"/>
  <c r="AN258" i="2"/>
  <c r="AT244" i="2"/>
  <c r="AZ256" i="2"/>
  <c r="AO256" i="2"/>
  <c r="BB216" i="2"/>
  <c r="AO99" i="2"/>
  <c r="AO98" i="2" s="1"/>
  <c r="AR64" i="2"/>
  <c r="BD472" i="2"/>
  <c r="AM244" i="2"/>
  <c r="AM258" i="2"/>
  <c r="AM261" i="2"/>
  <c r="AM466" i="2"/>
  <c r="AM453" i="2"/>
  <c r="AM487" i="2"/>
  <c r="AM494" i="2"/>
  <c r="AP285" i="2"/>
  <c r="AX60" i="2"/>
  <c r="AW509" i="2"/>
  <c r="AR506" i="2"/>
  <c r="AX475" i="2"/>
  <c r="AV475" i="2"/>
  <c r="AZ460" i="2"/>
  <c r="AX473" i="2"/>
  <c r="AW473" i="2"/>
  <c r="AN472" i="2"/>
  <c r="AP475" i="2"/>
  <c r="AZ285" i="2"/>
  <c r="BB282" i="2"/>
  <c r="AW281" i="2"/>
  <c r="AZ279" i="2"/>
  <c r="BC257" i="2"/>
  <c r="AN220" i="2"/>
  <c r="BB218" i="2"/>
  <c r="AV216" i="2"/>
  <c r="BD258" i="2"/>
  <c r="AW280" i="2"/>
  <c r="AO280" i="2"/>
  <c r="BA460" i="2"/>
  <c r="BA481" i="2"/>
  <c r="BA99" i="2"/>
  <c r="BA98" i="2" s="1"/>
  <c r="BA220" i="2"/>
  <c r="BA216" i="2"/>
  <c r="BA87" i="2"/>
  <c r="BA86" i="2" s="1"/>
  <c r="AS481" i="2"/>
  <c r="AS99" i="2"/>
  <c r="AS98" i="2" s="1"/>
  <c r="AS220" i="2"/>
  <c r="AS216" i="2"/>
  <c r="AS219" i="2"/>
  <c r="AS210" i="2"/>
  <c r="AS209" i="2" s="1"/>
  <c r="AS87" i="2"/>
  <c r="AS86" i="2" s="1"/>
  <c r="AN510" i="2"/>
  <c r="AN509" i="2"/>
  <c r="AZ506" i="2"/>
  <c r="AM476" i="2"/>
  <c r="AO279" i="2"/>
  <c r="AR260" i="2"/>
  <c r="AV261" i="2"/>
  <c r="BC259" i="2"/>
  <c r="AT258" i="2"/>
  <c r="AP255" i="2"/>
  <c r="AV99" i="2"/>
  <c r="AV98" i="2" s="1"/>
  <c r="AN282" i="2"/>
  <c r="AR279" i="2"/>
  <c r="AR510" i="2"/>
  <c r="AZ507" i="2"/>
  <c r="AW279" i="2"/>
  <c r="AN279" i="2"/>
  <c r="AT260" i="2"/>
  <c r="AT259" i="2"/>
  <c r="BB258" i="2"/>
  <c r="AO255" i="2"/>
  <c r="AZ223" i="2"/>
  <c r="AP65" i="2"/>
  <c r="AU64" i="2"/>
  <c r="AQ284" i="2"/>
  <c r="AV282" i="2"/>
  <c r="AQ210" i="2"/>
  <c r="AQ209" i="2" s="1"/>
  <c r="AY284" i="2"/>
  <c r="BD282" i="2"/>
  <c r="BD279" i="2"/>
  <c r="AY64" i="2"/>
  <c r="AY494" i="2"/>
  <c r="AQ507" i="2"/>
  <c r="AS281" i="2"/>
  <c r="AW244" i="2"/>
  <c r="AW256" i="2"/>
  <c r="AN256" i="2"/>
  <c r="AY210" i="2"/>
  <c r="AY209" i="2" s="1"/>
  <c r="AP210" i="2"/>
  <c r="AP209" i="2" s="1"/>
  <c r="AU198" i="2"/>
  <c r="AU197" i="2" s="1"/>
  <c r="AM198" i="2"/>
  <c r="AM197" i="2" s="1"/>
  <c r="AY65" i="2"/>
  <c r="AQ65" i="2"/>
  <c r="BA60" i="2"/>
  <c r="AS60" i="2"/>
  <c r="AU260" i="2"/>
  <c r="AM260" i="2"/>
  <c r="AY285" i="2"/>
  <c r="AY283" i="2"/>
  <c r="AQ283" i="2"/>
  <c r="BA281" i="2"/>
  <c r="AV281" i="2"/>
  <c r="AZ509" i="2"/>
  <c r="AY507" i="2"/>
  <c r="AU510" i="2"/>
  <c r="AR473" i="2"/>
  <c r="AQ473" i="2"/>
  <c r="AW283" i="2"/>
  <c r="AP281" i="2"/>
  <c r="AV280" i="2"/>
  <c r="BC244" i="2"/>
  <c r="AX258" i="2"/>
  <c r="AU235" i="2"/>
  <c r="AT235" i="2"/>
  <c r="AX210" i="2"/>
  <c r="AX209" i="2" s="1"/>
  <c r="AW260" i="2"/>
  <c r="AZ261" i="2"/>
  <c r="BD281" i="2"/>
  <c r="AX506" i="2"/>
  <c r="AO508" i="2"/>
  <c r="AR475" i="2"/>
  <c r="AR285" i="2"/>
  <c r="AN284" i="2"/>
  <c r="AZ281" i="2"/>
  <c r="BB255" i="2"/>
  <c r="AM257" i="2"/>
  <c r="AW65" i="2"/>
  <c r="AQ282" i="2"/>
  <c r="AY279" i="2"/>
  <c r="AQ279" i="2"/>
  <c r="AY99" i="2"/>
  <c r="AY98" i="2" s="1"/>
  <c r="AQ99" i="2"/>
  <c r="AQ98" i="2" s="1"/>
  <c r="AW210" i="2"/>
  <c r="AW209" i="2" s="1"/>
  <c r="AO210" i="2"/>
  <c r="AO209" i="2" s="1"/>
  <c r="AY220" i="2"/>
  <c r="AQ220" i="2"/>
  <c r="AQ217" i="2"/>
  <c r="AW223" i="2"/>
  <c r="AO223" i="2"/>
  <c r="AW220" i="2"/>
  <c r="AO220" i="2"/>
  <c r="AY219" i="2"/>
  <c r="AQ219" i="2"/>
  <c r="AY218" i="2"/>
  <c r="AQ218" i="2"/>
  <c r="AW217" i="2"/>
  <c r="AO217" i="2"/>
  <c r="AN99" i="2"/>
  <c r="AN98" i="2" s="1"/>
  <c r="BD223" i="2"/>
  <c r="AV223" i="2"/>
  <c r="BD220" i="2"/>
  <c r="AX219" i="2"/>
  <c r="BB223" i="2"/>
  <c r="BD198" i="2"/>
  <c r="BB220" i="2"/>
  <c r="AT220" i="2"/>
  <c r="BD219" i="2"/>
  <c r="AV218" i="2"/>
  <c r="AN218" i="2"/>
  <c r="BD216" i="2"/>
  <c r="AQ466" i="2"/>
  <c r="AY466" i="2"/>
  <c r="AY258" i="2"/>
  <c r="AQ258" i="2"/>
  <c r="AY257" i="2"/>
  <c r="AQ257" i="2"/>
  <c r="AW460" i="2"/>
  <c r="AO460" i="2"/>
  <c r="BC473" i="2"/>
  <c r="AU473" i="2"/>
  <c r="AM473" i="2"/>
  <c r="AY453" i="2"/>
  <c r="AW447" i="2"/>
  <c r="BC447" i="2"/>
  <c r="AU447" i="2"/>
  <c r="BC472" i="2"/>
  <c r="AU472" i="2"/>
  <c r="AM472" i="2"/>
  <c r="AY500" i="2"/>
  <c r="AW494" i="2"/>
  <c r="AU507" i="2"/>
  <c r="AY487" i="2"/>
  <c r="AQ487" i="2"/>
  <c r="AQ511" i="2" s="1"/>
  <c r="AY476" i="2"/>
  <c r="BC507" i="2"/>
  <c r="BC510" i="2"/>
  <c r="AM507" i="2"/>
  <c r="AM510" i="2"/>
  <c r="AX285" i="2"/>
  <c r="AX279" i="2"/>
  <c r="AY217" i="2"/>
  <c r="AU509" i="2"/>
  <c r="AO447" i="2"/>
  <c r="AO283" i="2"/>
  <c r="AV285" i="2"/>
  <c r="AS244" i="2"/>
  <c r="AM235" i="2"/>
  <c r="AM255" i="2"/>
  <c r="AM99" i="2"/>
  <c r="AM98" i="2" s="1"/>
  <c r="AQ244" i="2"/>
  <c r="BD60" i="2"/>
  <c r="BE60" i="2"/>
  <c r="AS235" i="2"/>
  <c r="AO472" i="2"/>
  <c r="AU460" i="2"/>
  <c r="BC460" i="2"/>
  <c r="AW259" i="2"/>
  <c r="BC235" i="2"/>
  <c r="BC255" i="2"/>
  <c r="AU99" i="2"/>
  <c r="AU98" i="2" s="1"/>
  <c r="AQ506" i="2"/>
  <c r="AT510" i="2"/>
  <c r="BB475" i="2"/>
  <c r="AN473" i="2"/>
  <c r="AV284" i="2"/>
  <c r="AX280" i="2"/>
  <c r="BA261" i="2"/>
  <c r="BB235" i="2"/>
  <c r="AX64" i="2"/>
  <c r="AS256" i="2"/>
  <c r="BA507" i="2"/>
  <c r="AQ285" i="2"/>
  <c r="AS65" i="2"/>
  <c r="AT65" i="2"/>
  <c r="BB64" i="2"/>
  <c r="BC64" i="2"/>
  <c r="AZ259" i="2"/>
  <c r="AZ260" i="2"/>
  <c r="AX284" i="2"/>
  <c r="AP284" i="2"/>
  <c r="AX282" i="2"/>
  <c r="AP282" i="2"/>
  <c r="BB285" i="2"/>
  <c r="BB283" i="2"/>
  <c r="AN281" i="2"/>
  <c r="AM509" i="2"/>
  <c r="BA219" i="2"/>
  <c r="AY244" i="2"/>
  <c r="BA235" i="2"/>
  <c r="AS261" i="2"/>
  <c r="AU259" i="2"/>
  <c r="AS507" i="2"/>
  <c r="AR507" i="2"/>
  <c r="AW261" i="2"/>
  <c r="AY506" i="2"/>
  <c r="AS473" i="2"/>
  <c r="AX283" i="2"/>
  <c r="AU255" i="2"/>
  <c r="AN507" i="2"/>
  <c r="AW507" i="2"/>
  <c r="AO507" i="2"/>
  <c r="AW472" i="2"/>
  <c r="AY460" i="2"/>
  <c r="AQ460" i="2"/>
  <c r="BA473" i="2"/>
  <c r="BB473" i="2"/>
  <c r="AV283" i="2"/>
  <c r="AS280" i="2"/>
  <c r="AS255" i="2"/>
  <c r="AU244" i="2"/>
  <c r="AU261" i="2"/>
  <c r="BC260" i="2"/>
  <c r="AX223" i="2"/>
  <c r="AO65" i="2"/>
  <c r="BA282" i="2"/>
  <c r="BC509" i="2"/>
  <c r="BB510" i="2"/>
  <c r="AW476" i="2"/>
  <c r="BC500" i="2"/>
  <c r="AU500" i="2"/>
  <c r="AM500" i="2"/>
  <c r="BC261" i="2"/>
  <c r="AZ284" i="2"/>
  <c r="AR281" i="2"/>
  <c r="AY280" i="2"/>
  <c r="AM259" i="2"/>
  <c r="AY256" i="2"/>
  <c r="AY198" i="2"/>
  <c r="AY197" i="2" s="1"/>
  <c r="AQ198" i="2"/>
  <c r="AQ197" i="2" s="1"/>
  <c r="AP223" i="2"/>
  <c r="BB60" i="2"/>
  <c r="BD260" i="2"/>
  <c r="BD257" i="2"/>
  <c r="AP64" i="2"/>
  <c r="AZ65" i="2"/>
  <c r="AR65" i="2"/>
  <c r="BC481" i="2"/>
  <c r="BC508" i="2" s="1"/>
  <c r="AM481" i="2"/>
  <c r="AM460" i="2"/>
  <c r="AV460" i="2"/>
  <c r="AN460" i="2"/>
  <c r="AY473" i="2"/>
  <c r="AV476" i="2"/>
  <c r="AN476" i="2"/>
  <c r="AW475" i="2"/>
  <c r="AO475" i="2"/>
  <c r="AY447" i="2"/>
  <c r="AQ447" i="2"/>
  <c r="AZ447" i="2"/>
  <c r="AR447" i="2"/>
  <c r="AN285" i="2"/>
  <c r="AW284" i="2"/>
  <c r="AO284" i="2"/>
  <c r="AN283" i="2"/>
  <c r="AW282" i="2"/>
  <c r="AO282" i="2"/>
  <c r="AX281" i="2"/>
  <c r="BB279" i="2"/>
  <c r="AT279" i="2"/>
  <c r="BB244" i="2"/>
  <c r="AU258" i="2"/>
  <c r="AV235" i="2"/>
  <c r="AN235" i="2"/>
  <c r="BA258" i="2"/>
  <c r="AS258" i="2"/>
  <c r="BB257" i="2"/>
  <c r="AT257" i="2"/>
  <c r="BC256" i="2"/>
  <c r="AU256" i="2"/>
  <c r="AM256" i="2"/>
  <c r="AV255" i="2"/>
  <c r="AN255" i="2"/>
  <c r="BB65" i="2"/>
  <c r="BD285" i="2"/>
  <c r="AN223" i="2"/>
  <c r="AT223" i="2"/>
  <c r="AS460" i="2"/>
  <c r="AZ282" i="2"/>
  <c r="BA280" i="2"/>
  <c r="AQ280" i="2"/>
  <c r="AP258" i="2"/>
  <c r="AP244" i="2"/>
  <c r="AR259" i="2"/>
  <c r="AZ258" i="2"/>
  <c r="AR235" i="2"/>
  <c r="BA210" i="2"/>
  <c r="BA209" i="2" s="1"/>
  <c r="BC99" i="2"/>
  <c r="BC98" i="2" s="1"/>
  <c r="AO260" i="2"/>
  <c r="AY481" i="2"/>
  <c r="AU453" i="2"/>
  <c r="AM447" i="2"/>
  <c r="AV447" i="2"/>
  <c r="AN447" i="2"/>
  <c r="AW285" i="2"/>
  <c r="AO285" i="2"/>
  <c r="AY281" i="2"/>
  <c r="AQ281" i="2"/>
  <c r="AZ280" i="2"/>
  <c r="AR280" i="2"/>
  <c r="AR283" i="2"/>
  <c r="AS282" i="2"/>
  <c r="AP280" i="2"/>
  <c r="AX244" i="2"/>
  <c r="AZ235" i="2"/>
  <c r="AW219" i="2"/>
  <c r="BC60" i="2"/>
  <c r="AT60" i="2"/>
  <c r="BD217" i="2"/>
  <c r="BD447" i="2"/>
  <c r="AX476" i="2"/>
  <c r="AP476" i="2"/>
  <c r="AS447" i="2"/>
  <c r="BB447" i="2"/>
  <c r="AT447" i="2"/>
  <c r="AV198" i="2"/>
  <c r="AV197" i="2" s="1"/>
  <c r="AN198" i="2"/>
  <c r="AN197" i="2" s="1"/>
  <c r="AX65" i="2"/>
  <c r="AQ64" i="2"/>
  <c r="BA64" i="2"/>
  <c r="AS64" i="2"/>
  <c r="AX460" i="2"/>
  <c r="AP460" i="2"/>
  <c r="AW453" i="2"/>
  <c r="AV258" i="2"/>
  <c r="AW235" i="2"/>
  <c r="AO235" i="2"/>
  <c r="AZ210" i="2"/>
  <c r="AZ209" i="2" s="1"/>
  <c r="AR210" i="2"/>
  <c r="AR209" i="2" s="1"/>
  <c r="AP99" i="2"/>
  <c r="AP98" i="2" s="1"/>
  <c r="AZ64" i="2"/>
  <c r="BD255" i="2"/>
  <c r="BD259" i="2"/>
  <c r="BB506" i="2"/>
  <c r="BB481" i="2"/>
  <c r="BB509" i="2"/>
  <c r="BB507" i="2"/>
  <c r="AT506" i="2"/>
  <c r="AT481" i="2"/>
  <c r="AT509" i="2"/>
  <c r="AT507" i="2"/>
  <c r="AZ219" i="2"/>
  <c r="AR219" i="2"/>
  <c r="BB217" i="2"/>
  <c r="AT217" i="2"/>
  <c r="BC216" i="2"/>
  <c r="AU216" i="2"/>
  <c r="AM216" i="2"/>
  <c r="AW198" i="2"/>
  <c r="AW197" i="2" s="1"/>
  <c r="AO198" i="2"/>
  <c r="AX198" i="2"/>
  <c r="AP198" i="2"/>
  <c r="AY223" i="2"/>
  <c r="AQ223" i="2"/>
  <c r="BC219" i="2"/>
  <c r="AU219" i="2"/>
  <c r="AM219" i="2"/>
  <c r="AX216" i="2"/>
  <c r="AP216" i="2"/>
  <c r="BD476" i="2"/>
  <c r="BD99" i="2"/>
  <c r="BD98" i="2" s="1"/>
  <c r="BD86" i="2"/>
  <c r="BE65" i="2"/>
  <c r="AV210" i="2"/>
  <c r="AV209" i="2" s="1"/>
  <c r="AN210" i="2"/>
  <c r="AN209" i="2" s="1"/>
  <c r="BC220" i="2"/>
  <c r="AU220" i="2"/>
  <c r="AM220" i="2"/>
  <c r="AV219" i="2"/>
  <c r="AN219" i="2"/>
  <c r="AW218" i="2"/>
  <c r="AO218" i="2"/>
  <c r="AX217" i="2"/>
  <c r="AP217" i="2"/>
  <c r="AY216" i="2"/>
  <c r="AQ216" i="2"/>
  <c r="BB198" i="2"/>
  <c r="BB197" i="2" s="1"/>
  <c r="AT198" i="2"/>
  <c r="AT197" i="2" s="1"/>
  <c r="AQ86" i="2"/>
  <c r="BB210" i="2"/>
  <c r="AT210" i="2"/>
  <c r="AT209" i="2" s="1"/>
  <c r="BC210" i="2"/>
  <c r="BC209" i="2" s="1"/>
  <c r="AU210" i="2"/>
  <c r="AU209" i="2" s="1"/>
  <c r="AM210" i="2"/>
  <c r="AM209" i="2" s="1"/>
  <c r="BA198" i="2"/>
  <c r="BA197" i="2" s="1"/>
  <c r="AS198" i="2"/>
  <c r="AS197" i="2" s="1"/>
  <c r="AV86" i="2"/>
  <c r="BC65" i="2"/>
  <c r="AV60" i="2"/>
  <c r="AN60" i="2"/>
  <c r="BD475" i="2"/>
  <c r="BE222" i="2"/>
  <c r="BE98" i="2"/>
  <c r="BF526" i="2"/>
  <c r="BE473" i="2"/>
  <c r="BF475" i="2"/>
  <c r="BF528" i="2"/>
  <c r="BE475" i="2"/>
  <c r="AZ420" i="2"/>
  <c r="AR420" i="2"/>
  <c r="BA423" i="2"/>
  <c r="AS423" i="2"/>
  <c r="BB500" i="2"/>
  <c r="AT500" i="2"/>
  <c r="AZ494" i="2"/>
  <c r="AR494" i="2"/>
  <c r="AX487" i="2"/>
  <c r="AP487" i="2"/>
  <c r="AV481" i="2"/>
  <c r="AN481" i="2"/>
  <c r="AW429" i="2"/>
  <c r="AO429" i="2"/>
  <c r="BA427" i="2"/>
  <c r="AS427" i="2"/>
  <c r="AY423" i="2"/>
  <c r="AQ423" i="2"/>
  <c r="BB418" i="2"/>
  <c r="AT418" i="2"/>
  <c r="AZ527" i="2"/>
  <c r="AR527" i="2"/>
  <c r="AW510" i="2"/>
  <c r="AO510" i="2"/>
  <c r="AU476" i="2"/>
  <c r="BA472" i="2"/>
  <c r="AS472" i="2"/>
  <c r="AV466" i="2"/>
  <c r="AN466" i="2"/>
  <c r="BB460" i="2"/>
  <c r="AT460" i="2"/>
  <c r="AZ453" i="2"/>
  <c r="AR453" i="2"/>
  <c r="BB476" i="2"/>
  <c r="AT476" i="2"/>
  <c r="BC475" i="2"/>
  <c r="AU475" i="2"/>
  <c r="AM475" i="2"/>
  <c r="AX447" i="2"/>
  <c r="AP447" i="2"/>
  <c r="BC279" i="2"/>
  <c r="BC281" i="2"/>
  <c r="BC282" i="2"/>
  <c r="BC283" i="2"/>
  <c r="BC280" i="2"/>
  <c r="AU279" i="2"/>
  <c r="AU281" i="2"/>
  <c r="AU282" i="2"/>
  <c r="AU283" i="2"/>
  <c r="AU280" i="2"/>
  <c r="AM279" i="2"/>
  <c r="AM281" i="2"/>
  <c r="AM282" i="2"/>
  <c r="AM283" i="2"/>
  <c r="AM280" i="2"/>
  <c r="AW506" i="2"/>
  <c r="AO506" i="2"/>
  <c r="AZ500" i="2"/>
  <c r="AZ511" i="2" s="1"/>
  <c r="AR500" i="2"/>
  <c r="AR511" i="2" s="1"/>
  <c r="AX494" i="2"/>
  <c r="AP494" i="2"/>
  <c r="AV487" i="2"/>
  <c r="AN487" i="2"/>
  <c r="AQ509" i="2"/>
  <c r="AS476" i="2"/>
  <c r="BC429" i="2"/>
  <c r="AU429" i="2"/>
  <c r="AM429" i="2"/>
  <c r="AV420" i="2"/>
  <c r="AN420" i="2"/>
  <c r="AW423" i="2"/>
  <c r="AO423" i="2"/>
  <c r="AQ476" i="2"/>
  <c r="AY472" i="2"/>
  <c r="AQ472" i="2"/>
  <c r="AZ476" i="2"/>
  <c r="AR476" i="2"/>
  <c r="BA475" i="2"/>
  <c r="AS475" i="2"/>
  <c r="BC506" i="2"/>
  <c r="AU506" i="2"/>
  <c r="AM506" i="2"/>
  <c r="AX500" i="2"/>
  <c r="AP500" i="2"/>
  <c r="AV494" i="2"/>
  <c r="AN494" i="2"/>
  <c r="BB487" i="2"/>
  <c r="AT487" i="2"/>
  <c r="AZ481" i="2"/>
  <c r="AR481" i="2"/>
  <c r="BA429" i="2"/>
  <c r="AS429" i="2"/>
  <c r="BB428" i="2"/>
  <c r="AT428" i="2"/>
  <c r="AW427" i="2"/>
  <c r="AO427" i="2"/>
  <c r="AZ426" i="2"/>
  <c r="AR426" i="2"/>
  <c r="BB420" i="2"/>
  <c r="BC423" i="2"/>
  <c r="AU423" i="2"/>
  <c r="AM423" i="2"/>
  <c r="AX418" i="2"/>
  <c r="AP418" i="2"/>
  <c r="AY475" i="2"/>
  <c r="AQ475" i="2"/>
  <c r="AW257" i="2"/>
  <c r="AV244" i="2"/>
  <c r="AN244" i="2"/>
  <c r="AX235" i="2"/>
  <c r="AP235" i="2"/>
  <c r="AY235" i="2"/>
  <c r="AQ235" i="2"/>
  <c r="AO86" i="2"/>
  <c r="AX259" i="2"/>
  <c r="AX260" i="2"/>
  <c r="AX261" i="2"/>
  <c r="AP259" i="2"/>
  <c r="AP260" i="2"/>
  <c r="AP261" i="2"/>
  <c r="AY60" i="2"/>
  <c r="AZ60" i="2"/>
  <c r="AY259" i="2"/>
  <c r="AY260" i="2"/>
  <c r="AY261" i="2"/>
  <c r="AQ60" i="2"/>
  <c r="AR60" i="2"/>
  <c r="AQ259" i="2"/>
  <c r="AQ260" i="2"/>
  <c r="AQ261" i="2"/>
  <c r="BA255" i="2"/>
  <c r="AU86" i="2"/>
  <c r="AM86" i="2"/>
  <c r="AQ255" i="2"/>
  <c r="AZ244" i="2"/>
  <c r="AR197" i="2"/>
  <c r="AU65" i="2"/>
  <c r="AV65" i="2"/>
  <c r="AN65" i="2"/>
  <c r="AV64" i="2"/>
  <c r="AW64" i="2"/>
  <c r="AN64" i="2"/>
  <c r="AO64" i="2"/>
  <c r="AY255" i="2"/>
  <c r="BB87" i="2"/>
  <c r="BB86" i="2" s="1"/>
  <c r="AT87" i="2"/>
  <c r="AT86" i="2" s="1"/>
  <c r="AX256" i="2"/>
  <c r="BB367" i="2"/>
  <c r="AT367" i="2"/>
  <c r="BC366" i="2"/>
  <c r="AU366" i="2"/>
  <c r="AM366" i="2"/>
  <c r="AV365" i="2"/>
  <c r="AN365" i="2"/>
  <c r="AW364" i="2"/>
  <c r="AO364" i="2"/>
  <c r="AX363" i="2"/>
  <c r="AP363" i="2"/>
  <c r="AY362" i="2"/>
  <c r="AQ362" i="2"/>
  <c r="BC285" i="2"/>
  <c r="AU285" i="2"/>
  <c r="AM285" i="2"/>
  <c r="BA283" i="2"/>
  <c r="BA284" i="2"/>
  <c r="BA285" i="2"/>
  <c r="BA279" i="2"/>
  <c r="AS283" i="2"/>
  <c r="AS284" i="2"/>
  <c r="AS285" i="2"/>
  <c r="AS279" i="2"/>
  <c r="BC284" i="2"/>
  <c r="AU284" i="2"/>
  <c r="AM284" i="2"/>
  <c r="AO257" i="2"/>
  <c r="I526" i="2"/>
  <c r="Q526" i="2"/>
  <c r="Y526" i="2"/>
  <c r="AG526" i="2"/>
  <c r="I528" i="2"/>
  <c r="Q528" i="2"/>
  <c r="Y528" i="2"/>
  <c r="AG528" i="2"/>
  <c r="E527" i="2"/>
  <c r="H527" i="2"/>
  <c r="M527" i="2"/>
  <c r="U527" i="2"/>
  <c r="AC527" i="2"/>
  <c r="AK527" i="2"/>
  <c r="AZ477" i="2" l="1"/>
  <c r="AW477" i="2"/>
  <c r="AN511" i="2"/>
  <c r="BB474" i="2"/>
  <c r="AR254" i="2"/>
  <c r="BC511" i="2"/>
  <c r="AR474" i="2"/>
  <c r="AO477" i="2"/>
  <c r="AY254" i="2"/>
  <c r="AV254" i="2"/>
  <c r="AR221" i="2"/>
  <c r="AW508" i="2"/>
  <c r="AT477" i="2"/>
  <c r="AU474" i="2"/>
  <c r="AW474" i="2"/>
  <c r="BF222" i="2"/>
  <c r="BE474" i="2"/>
  <c r="BF511" i="2"/>
  <c r="AS254" i="2"/>
  <c r="AY222" i="2"/>
  <c r="AZ221" i="2"/>
  <c r="AV477" i="2"/>
  <c r="AU254" i="2"/>
  <c r="AP222" i="2"/>
  <c r="AM477" i="2"/>
  <c r="BF197" i="2"/>
  <c r="BF221" i="2" s="1"/>
  <c r="AP254" i="2"/>
  <c r="AT474" i="2"/>
  <c r="AT254" i="2"/>
  <c r="BE511" i="2"/>
  <c r="AR477" i="2"/>
  <c r="AX474" i="2"/>
  <c r="AZ474" i="2"/>
  <c r="BC477" i="2"/>
  <c r="AO511" i="2"/>
  <c r="AQ508" i="2"/>
  <c r="AR508" i="2"/>
  <c r="AY477" i="2"/>
  <c r="BF474" i="2"/>
  <c r="AY508" i="2"/>
  <c r="AM254" i="2"/>
  <c r="AY511" i="2"/>
  <c r="BC254" i="2"/>
  <c r="AS222" i="2"/>
  <c r="AQ477" i="2"/>
  <c r="AN474" i="2"/>
  <c r="AM508" i="2"/>
  <c r="AT508" i="2"/>
  <c r="BD222" i="2"/>
  <c r="BF508" i="2"/>
  <c r="AV511" i="2"/>
  <c r="AQ222" i="2"/>
  <c r="AN254" i="2"/>
  <c r="AN477" i="2"/>
  <c r="AM474" i="2"/>
  <c r="AM511" i="2"/>
  <c r="AO254" i="2"/>
  <c r="BE477" i="2"/>
  <c r="AW254" i="2"/>
  <c r="AU222" i="2"/>
  <c r="AY474" i="2"/>
  <c r="AS487" i="2"/>
  <c r="AW511" i="2"/>
  <c r="BF254" i="2"/>
  <c r="BE254" i="2"/>
  <c r="AP466" i="2"/>
  <c r="AP481" i="2"/>
  <c r="AP508" i="2" s="1"/>
  <c r="BD500" i="2"/>
  <c r="BD244" i="2"/>
  <c r="BD235" i="2"/>
  <c r="BD453" i="2"/>
  <c r="BD477" i="2" s="1"/>
  <c r="BD197" i="2"/>
  <c r="BD221" i="2" s="1"/>
  <c r="BD481" i="2"/>
  <c r="BD487" i="2"/>
  <c r="BD494" i="2"/>
  <c r="BD507" i="2"/>
  <c r="AX222" i="2"/>
  <c r="AU511" i="2"/>
  <c r="AQ474" i="2"/>
  <c r="AO474" i="2"/>
  <c r="BA494" i="2"/>
  <c r="BA508" i="2" s="1"/>
  <c r="AU494" i="2"/>
  <c r="AU508" i="2" s="1"/>
  <c r="AU466" i="2"/>
  <c r="AU477" i="2" s="1"/>
  <c r="AZ254" i="2"/>
  <c r="AO222" i="2"/>
  <c r="AX254" i="2"/>
  <c r="AW222" i="2"/>
  <c r="AV474" i="2"/>
  <c r="BC221" i="2"/>
  <c r="AS474" i="2"/>
  <c r="BA223" i="2"/>
  <c r="AX466" i="2"/>
  <c r="AP453" i="2"/>
  <c r="BC222" i="2"/>
  <c r="AP474" i="2"/>
  <c r="AX453" i="2"/>
  <c r="AX481" i="2"/>
  <c r="AX508" i="2" s="1"/>
  <c r="BA500" i="2"/>
  <c r="BB453" i="2"/>
  <c r="AS509" i="2"/>
  <c r="BA218" i="2"/>
  <c r="BB494" i="2"/>
  <c r="BB508" i="2" s="1"/>
  <c r="BB466" i="2"/>
  <c r="AW221" i="2"/>
  <c r="AQ254" i="2"/>
  <c r="BA222" i="2"/>
  <c r="AS453" i="2"/>
  <c r="AS500" i="2"/>
  <c r="BA487" i="2"/>
  <c r="AO197" i="2"/>
  <c r="AO221" i="2" s="1"/>
  <c r="AP506" i="2"/>
  <c r="AX507" i="2"/>
  <c r="AP507" i="2"/>
  <c r="AX257" i="2"/>
  <c r="AS223" i="2"/>
  <c r="AS259" i="2"/>
  <c r="AP472" i="2"/>
  <c r="BD474" i="2"/>
  <c r="BC474" i="2"/>
  <c r="AS506" i="2"/>
  <c r="AP256" i="2"/>
  <c r="AP257" i="2"/>
  <c r="AP509" i="2"/>
  <c r="AS221" i="2"/>
  <c r="BA257" i="2"/>
  <c r="BA466" i="2"/>
  <c r="AX255" i="2"/>
  <c r="AX510" i="2"/>
  <c r="AP473" i="2"/>
  <c r="AS218" i="2"/>
  <c r="AS494" i="2"/>
  <c r="AS508" i="2" s="1"/>
  <c r="BA506" i="2"/>
  <c r="AQ221" i="2"/>
  <c r="BB254" i="2"/>
  <c r="AY221" i="2"/>
  <c r="BA217" i="2"/>
  <c r="BA453" i="2"/>
  <c r="AT222" i="2"/>
  <c r="BA256" i="2"/>
  <c r="BB222" i="2"/>
  <c r="AS257" i="2"/>
  <c r="BA260" i="2"/>
  <c r="AS466" i="2"/>
  <c r="BA244" i="2"/>
  <c r="BA254" i="2" s="1"/>
  <c r="BA259" i="2"/>
  <c r="BA476" i="2"/>
  <c r="BA510" i="2"/>
  <c r="AM222" i="2"/>
  <c r="BA509" i="2"/>
  <c r="AU221" i="2"/>
  <c r="AS217" i="2"/>
  <c r="AS260" i="2"/>
  <c r="AS510" i="2"/>
  <c r="BA447" i="2"/>
  <c r="BA474" i="2" s="1"/>
  <c r="BB209" i="2"/>
  <c r="BB221" i="2" s="1"/>
  <c r="BB511" i="2"/>
  <c r="AN222" i="2"/>
  <c r="AN221" i="2"/>
  <c r="AM221" i="2"/>
  <c r="AV222" i="2"/>
  <c r="AX197" i="2"/>
  <c r="AX221" i="2" s="1"/>
  <c r="BA221" i="2"/>
  <c r="AP197" i="2"/>
  <c r="AP221" i="2" s="1"/>
  <c r="AZ222" i="2"/>
  <c r="AV221" i="2"/>
  <c r="AT221" i="2"/>
  <c r="AR222" i="2"/>
  <c r="AV508" i="2"/>
  <c r="AP511" i="2"/>
  <c r="AX511" i="2"/>
  <c r="AZ508" i="2"/>
  <c r="AT511" i="2"/>
  <c r="AN508" i="2"/>
  <c r="AL528" i="2"/>
  <c r="AD528" i="2"/>
  <c r="V528" i="2"/>
  <c r="N528" i="2"/>
  <c r="F528" i="2"/>
  <c r="AL526" i="2"/>
  <c r="AD526" i="2"/>
  <c r="V526" i="2"/>
  <c r="N526" i="2"/>
  <c r="F526" i="2"/>
  <c r="AK528" i="2"/>
  <c r="AC528" i="2"/>
  <c r="U528" i="2"/>
  <c r="M528" i="2"/>
  <c r="E528" i="2"/>
  <c r="X527" i="2"/>
  <c r="AF527" i="2"/>
  <c r="P527" i="2"/>
  <c r="AI528" i="2"/>
  <c r="AA528" i="2"/>
  <c r="S528" i="2"/>
  <c r="K528" i="2"/>
  <c r="C528" i="2"/>
  <c r="AI526" i="2"/>
  <c r="AA526" i="2"/>
  <c r="S526" i="2"/>
  <c r="K526" i="2"/>
  <c r="C526" i="2"/>
  <c r="AF528" i="2"/>
  <c r="X528" i="2"/>
  <c r="P528" i="2"/>
  <c r="H528" i="2"/>
  <c r="AF526" i="2"/>
  <c r="X526" i="2"/>
  <c r="P526" i="2"/>
  <c r="H526" i="2"/>
  <c r="AJ529" i="2"/>
  <c r="AB529" i="2"/>
  <c r="T529" i="2"/>
  <c r="L529" i="2"/>
  <c r="D529" i="2"/>
  <c r="AJ528" i="2"/>
  <c r="AB528" i="2"/>
  <c r="T528" i="2"/>
  <c r="L528" i="2"/>
  <c r="D528" i="2"/>
  <c r="AJ526" i="2"/>
  <c r="AB526" i="2"/>
  <c r="T526" i="2"/>
  <c r="L526" i="2"/>
  <c r="D526" i="2"/>
  <c r="AI529" i="2"/>
  <c r="AA529" i="2"/>
  <c r="S529" i="2"/>
  <c r="K529" i="2"/>
  <c r="C529" i="2"/>
  <c r="AE527" i="2"/>
  <c r="W527" i="2"/>
  <c r="O527" i="2"/>
  <c r="G527" i="2"/>
  <c r="AH529" i="2"/>
  <c r="Z529" i="2"/>
  <c r="R529" i="2"/>
  <c r="J529" i="2"/>
  <c r="AL527" i="2"/>
  <c r="AD527" i="2"/>
  <c r="V527" i="2"/>
  <c r="N527" i="2"/>
  <c r="F527" i="2"/>
  <c r="AH528" i="2"/>
  <c r="Z528" i="2"/>
  <c r="R528" i="2"/>
  <c r="J528" i="2"/>
  <c r="AH526" i="2"/>
  <c r="Z526" i="2"/>
  <c r="R526" i="2"/>
  <c r="J526" i="2"/>
  <c r="AG529" i="2"/>
  <c r="Y529" i="2"/>
  <c r="Q529" i="2"/>
  <c r="I529" i="2"/>
  <c r="AF529" i="2"/>
  <c r="X529" i="2"/>
  <c r="P529" i="2"/>
  <c r="H529" i="2"/>
  <c r="AJ527" i="2"/>
  <c r="AB527" i="2"/>
  <c r="T527" i="2"/>
  <c r="L527" i="2"/>
  <c r="D527" i="2"/>
  <c r="AE529" i="2"/>
  <c r="W529" i="2"/>
  <c r="O529" i="2"/>
  <c r="G529" i="2"/>
  <c r="AI527" i="2"/>
  <c r="AA527" i="2"/>
  <c r="S527" i="2"/>
  <c r="K527" i="2"/>
  <c r="C527" i="2"/>
  <c r="AE528" i="2"/>
  <c r="W528" i="2"/>
  <c r="O528" i="2"/>
  <c r="G528" i="2"/>
  <c r="AE526" i="2"/>
  <c r="W526" i="2"/>
  <c r="O526" i="2"/>
  <c r="G526" i="2"/>
  <c r="AL529" i="2"/>
  <c r="AD529" i="2"/>
  <c r="V529" i="2"/>
  <c r="N529" i="2"/>
  <c r="F529" i="2"/>
  <c r="AH527" i="2"/>
  <c r="Z527" i="2"/>
  <c r="R527" i="2"/>
  <c r="J527" i="2"/>
  <c r="AK529" i="2"/>
  <c r="AC529" i="2"/>
  <c r="U529" i="2"/>
  <c r="M529" i="2"/>
  <c r="E529" i="2"/>
  <c r="AG527" i="2"/>
  <c r="Y527" i="2"/>
  <c r="Q527" i="2"/>
  <c r="I527" i="2"/>
  <c r="AK526" i="2"/>
  <c r="AC526" i="2"/>
  <c r="U526" i="2"/>
  <c r="M526" i="2"/>
  <c r="E526" i="2"/>
  <c r="C506" i="2"/>
  <c r="G506" i="2"/>
  <c r="O506" i="2"/>
  <c r="W506" i="2"/>
  <c r="AE506" i="2"/>
  <c r="K510" i="2"/>
  <c r="BA511" i="2" l="1"/>
  <c r="AS511" i="2"/>
  <c r="AP477" i="2"/>
  <c r="BD254" i="2"/>
  <c r="BD508" i="2"/>
  <c r="BD511" i="2"/>
  <c r="AX477" i="2"/>
  <c r="BB477" i="2"/>
  <c r="BA477" i="2"/>
  <c r="AS477" i="2"/>
  <c r="F507" i="2"/>
  <c r="AF510" i="2"/>
  <c r="X510" i="2"/>
  <c r="P510" i="2"/>
  <c r="H510" i="2"/>
  <c r="AF506" i="2"/>
  <c r="X506" i="2"/>
  <c r="P506" i="2"/>
  <c r="H506" i="2"/>
  <c r="C509" i="2"/>
  <c r="AH509" i="2"/>
  <c r="R509" i="2"/>
  <c r="Z509" i="2"/>
  <c r="J509" i="2"/>
  <c r="AI510" i="2"/>
  <c r="AA510" i="2"/>
  <c r="S510" i="2"/>
  <c r="AI506" i="2"/>
  <c r="AA506" i="2"/>
  <c r="S506" i="2"/>
  <c r="K506" i="2"/>
  <c r="AD507" i="2"/>
  <c r="V507" i="2"/>
  <c r="N507" i="2"/>
  <c r="AG507" i="2"/>
  <c r="Y507" i="2"/>
  <c r="Q507" i="2"/>
  <c r="I507" i="2"/>
  <c r="AG510" i="2"/>
  <c r="Y510" i="2"/>
  <c r="Q510" i="2"/>
  <c r="I510" i="2"/>
  <c r="AK509" i="2"/>
  <c r="AC509" i="2"/>
  <c r="U509" i="2"/>
  <c r="M509" i="2"/>
  <c r="E509" i="2"/>
  <c r="AK507" i="2"/>
  <c r="AC507" i="2"/>
  <c r="U507" i="2"/>
  <c r="M507" i="2"/>
  <c r="E507" i="2"/>
  <c r="AG506" i="2"/>
  <c r="Y506" i="2"/>
  <c r="Q506" i="2"/>
  <c r="I506" i="2"/>
  <c r="AJ509" i="2"/>
  <c r="AB509" i="2"/>
  <c r="T509" i="2"/>
  <c r="L509" i="2"/>
  <c r="D509" i="2"/>
  <c r="AE510" i="2"/>
  <c r="W510" i="2"/>
  <c r="O510" i="2"/>
  <c r="G510" i="2"/>
  <c r="AI509" i="2"/>
  <c r="AA509" i="2"/>
  <c r="S509" i="2"/>
  <c r="K509" i="2"/>
  <c r="AI507" i="2"/>
  <c r="AA507" i="2"/>
  <c r="S507" i="2"/>
  <c r="K507" i="2"/>
  <c r="AD510" i="2"/>
  <c r="V510" i="2"/>
  <c r="N510" i="2"/>
  <c r="F510" i="2"/>
  <c r="AH507" i="2"/>
  <c r="Z507" i="2"/>
  <c r="R507" i="2"/>
  <c r="J507" i="2"/>
  <c r="AD506" i="2"/>
  <c r="V506" i="2"/>
  <c r="N506" i="2"/>
  <c r="F506" i="2"/>
  <c r="AK510" i="2"/>
  <c r="AC510" i="2"/>
  <c r="U510" i="2"/>
  <c r="M510" i="2"/>
  <c r="E510" i="2"/>
  <c r="AG509" i="2"/>
  <c r="Y509" i="2"/>
  <c r="Q509" i="2"/>
  <c r="I509" i="2"/>
  <c r="AK506" i="2"/>
  <c r="AC506" i="2"/>
  <c r="U506" i="2"/>
  <c r="M506" i="2"/>
  <c r="E506" i="2"/>
  <c r="AJ507" i="2"/>
  <c r="AB507" i="2"/>
  <c r="T507" i="2"/>
  <c r="L507" i="2"/>
  <c r="D507" i="2"/>
  <c r="AJ510" i="2"/>
  <c r="AB510" i="2"/>
  <c r="T510" i="2"/>
  <c r="L510" i="2"/>
  <c r="D510" i="2"/>
  <c r="AF509" i="2"/>
  <c r="X509" i="2"/>
  <c r="P509" i="2"/>
  <c r="H509" i="2"/>
  <c r="AF507" i="2"/>
  <c r="X507" i="2"/>
  <c r="P507" i="2"/>
  <c r="H507" i="2"/>
  <c r="AJ506" i="2"/>
  <c r="AB506" i="2"/>
  <c r="T506" i="2"/>
  <c r="L506" i="2"/>
  <c r="D506" i="2"/>
  <c r="C510" i="2"/>
  <c r="AE509" i="2"/>
  <c r="W509" i="2"/>
  <c r="O509" i="2"/>
  <c r="G509" i="2"/>
  <c r="AE507" i="2"/>
  <c r="W507" i="2"/>
  <c r="O507" i="2"/>
  <c r="G507" i="2"/>
  <c r="AH510" i="2"/>
  <c r="Z510" i="2"/>
  <c r="R510" i="2"/>
  <c r="J510" i="2"/>
  <c r="AD509" i="2"/>
  <c r="V509" i="2"/>
  <c r="N509" i="2"/>
  <c r="F509" i="2"/>
  <c r="AH506" i="2"/>
  <c r="Z506" i="2"/>
  <c r="R506" i="2"/>
  <c r="J506" i="2"/>
  <c r="C507" i="2"/>
  <c r="AH494" i="2"/>
  <c r="R500" i="2"/>
  <c r="M494" i="2"/>
  <c r="AJ500" i="2"/>
  <c r="AB500" i="2"/>
  <c r="T500" i="2"/>
  <c r="L500" i="2"/>
  <c r="D500" i="2"/>
  <c r="AI500" i="2"/>
  <c r="AA500" i="2"/>
  <c r="S500" i="2"/>
  <c r="K500" i="2"/>
  <c r="C500" i="2"/>
  <c r="AA487" i="2"/>
  <c r="AE481" i="2"/>
  <c r="J500" i="2"/>
  <c r="AG500" i="2"/>
  <c r="Y500" i="2"/>
  <c r="Q500" i="2"/>
  <c r="I500" i="2"/>
  <c r="AK494" i="2"/>
  <c r="AC494" i="2"/>
  <c r="U494" i="2"/>
  <c r="E494" i="2"/>
  <c r="AF500" i="2"/>
  <c r="X500" i="2"/>
  <c r="P500" i="2"/>
  <c r="H500" i="2"/>
  <c r="AE500" i="2"/>
  <c r="W500" i="2"/>
  <c r="O500" i="2"/>
  <c r="G500" i="2"/>
  <c r="Z500" i="2"/>
  <c r="AD500" i="2"/>
  <c r="V500" i="2"/>
  <c r="N500" i="2"/>
  <c r="F500" i="2"/>
  <c r="Z494" i="2"/>
  <c r="R494" i="2"/>
  <c r="J494" i="2"/>
  <c r="AH500" i="2"/>
  <c r="AK500" i="2"/>
  <c r="AC500" i="2"/>
  <c r="U500" i="2"/>
  <c r="M500" i="2"/>
  <c r="E500" i="2"/>
  <c r="AG494" i="2"/>
  <c r="Y494" i="2"/>
  <c r="Q494" i="2"/>
  <c r="I494" i="2"/>
  <c r="AI487" i="2"/>
  <c r="AD494" i="2"/>
  <c r="V494" i="2"/>
  <c r="N494" i="2"/>
  <c r="F494" i="2"/>
  <c r="S487" i="2"/>
  <c r="W494" i="2"/>
  <c r="G481" i="2"/>
  <c r="AJ494" i="2"/>
  <c r="AB494" i="2"/>
  <c r="T494" i="2"/>
  <c r="L494" i="2"/>
  <c r="D494" i="2"/>
  <c r="AE494" i="2"/>
  <c r="AI494" i="2"/>
  <c r="AA494" i="2"/>
  <c r="S494" i="2"/>
  <c r="K494" i="2"/>
  <c r="C494" i="2"/>
  <c r="C481" i="2"/>
  <c r="G494" i="2"/>
  <c r="O481" i="2"/>
  <c r="O494" i="2"/>
  <c r="W481" i="2"/>
  <c r="K487" i="2"/>
  <c r="AF494" i="2"/>
  <c r="X494" i="2"/>
  <c r="P494" i="2"/>
  <c r="H494" i="2"/>
  <c r="AF481" i="2"/>
  <c r="X481" i="2"/>
  <c r="P481" i="2"/>
  <c r="H481" i="2"/>
  <c r="AK487" i="2"/>
  <c r="AC487" i="2"/>
  <c r="U487" i="2"/>
  <c r="M487" i="2"/>
  <c r="E487" i="2"/>
  <c r="AG481" i="2"/>
  <c r="Y481" i="2"/>
  <c r="Q481" i="2"/>
  <c r="I481" i="2"/>
  <c r="AH487" i="2"/>
  <c r="Z487" i="2"/>
  <c r="R487" i="2"/>
  <c r="J487" i="2"/>
  <c r="AD481" i="2"/>
  <c r="V481" i="2"/>
  <c r="N481" i="2"/>
  <c r="F481" i="2"/>
  <c r="AG487" i="2"/>
  <c r="Y487" i="2"/>
  <c r="Q487" i="2"/>
  <c r="I487" i="2"/>
  <c r="AK481" i="2"/>
  <c r="AC481" i="2"/>
  <c r="U481" i="2"/>
  <c r="M481" i="2"/>
  <c r="E481" i="2"/>
  <c r="AJ487" i="2"/>
  <c r="AB487" i="2"/>
  <c r="T487" i="2"/>
  <c r="L487" i="2"/>
  <c r="AF487" i="2"/>
  <c r="X487" i="2"/>
  <c r="P487" i="2"/>
  <c r="H487" i="2"/>
  <c r="AJ481" i="2"/>
  <c r="AB481" i="2"/>
  <c r="T481" i="2"/>
  <c r="L481" i="2"/>
  <c r="D481" i="2"/>
  <c r="C487" i="2"/>
  <c r="AE487" i="2"/>
  <c r="W487" i="2"/>
  <c r="O487" i="2"/>
  <c r="G487" i="2"/>
  <c r="AI481" i="2"/>
  <c r="AA481" i="2"/>
  <c r="S481" i="2"/>
  <c r="K481" i="2"/>
  <c r="D487" i="2"/>
  <c r="AD487" i="2"/>
  <c r="V487" i="2"/>
  <c r="N487" i="2"/>
  <c r="F487" i="2"/>
  <c r="AH481" i="2"/>
  <c r="Z481" i="2"/>
  <c r="R481" i="2"/>
  <c r="J481" i="2"/>
  <c r="AE476" i="2"/>
  <c r="AD453" i="2"/>
  <c r="V453" i="2"/>
  <c r="N453" i="2"/>
  <c r="F453" i="2"/>
  <c r="AI472" i="2"/>
  <c r="AA472" i="2"/>
  <c r="S472" i="2"/>
  <c r="K472" i="2"/>
  <c r="AE473" i="2"/>
  <c r="W473" i="2"/>
  <c r="O473" i="2"/>
  <c r="G473" i="2"/>
  <c r="AH472" i="2"/>
  <c r="Z472" i="2"/>
  <c r="R472" i="2"/>
  <c r="J472" i="2"/>
  <c r="C472" i="2"/>
  <c r="C475" i="2"/>
  <c r="AI466" i="2"/>
  <c r="AA466" i="2"/>
  <c r="S466" i="2"/>
  <c r="K466" i="2"/>
  <c r="AD466" i="2"/>
  <c r="V466" i="2"/>
  <c r="N466" i="2"/>
  <c r="F466" i="2"/>
  <c r="AK460" i="2"/>
  <c r="AC460" i="2"/>
  <c r="U460" i="2"/>
  <c r="M460" i="2"/>
  <c r="E460" i="2"/>
  <c r="AJ453" i="2"/>
  <c r="AB453" i="2"/>
  <c r="T453" i="2"/>
  <c r="L453" i="2"/>
  <c r="D453" i="2"/>
  <c r="W476" i="2"/>
  <c r="O476" i="2"/>
  <c r="G476" i="2"/>
  <c r="AH475" i="2"/>
  <c r="Z475" i="2"/>
  <c r="R475" i="2"/>
  <c r="J475" i="2"/>
  <c r="AD473" i="2"/>
  <c r="V473" i="2"/>
  <c r="N473" i="2"/>
  <c r="F473" i="2"/>
  <c r="AG472" i="2"/>
  <c r="Y472" i="2"/>
  <c r="Q472" i="2"/>
  <c r="I472" i="2"/>
  <c r="AE475" i="2"/>
  <c r="W475" i="2"/>
  <c r="O475" i="2"/>
  <c r="G475" i="2"/>
  <c r="AD472" i="2"/>
  <c r="V472" i="2"/>
  <c r="N472" i="2"/>
  <c r="F472" i="2"/>
  <c r="AG476" i="2"/>
  <c r="Y476" i="2"/>
  <c r="Q476" i="2"/>
  <c r="I476" i="2"/>
  <c r="AJ475" i="2"/>
  <c r="AB475" i="2"/>
  <c r="T475" i="2"/>
  <c r="L475" i="2"/>
  <c r="D475" i="2"/>
  <c r="AF473" i="2"/>
  <c r="X473" i="2"/>
  <c r="P473" i="2"/>
  <c r="H473" i="2"/>
  <c r="C476" i="2"/>
  <c r="AD476" i="2"/>
  <c r="V476" i="2"/>
  <c r="N476" i="2"/>
  <c r="F476" i="2"/>
  <c r="AG475" i="2"/>
  <c r="Y475" i="2"/>
  <c r="Q475" i="2"/>
  <c r="I475" i="2"/>
  <c r="AK473" i="2"/>
  <c r="AC473" i="2"/>
  <c r="U473" i="2"/>
  <c r="M473" i="2"/>
  <c r="E473" i="2"/>
  <c r="AF472" i="2"/>
  <c r="X472" i="2"/>
  <c r="P472" i="2"/>
  <c r="H472" i="2"/>
  <c r="AJ473" i="2"/>
  <c r="AB473" i="2"/>
  <c r="T473" i="2"/>
  <c r="L473" i="2"/>
  <c r="D473" i="2"/>
  <c r="AE472" i="2"/>
  <c r="W472" i="2"/>
  <c r="O472" i="2"/>
  <c r="G472" i="2"/>
  <c r="AJ476" i="2"/>
  <c r="AB476" i="2"/>
  <c r="T476" i="2"/>
  <c r="L476" i="2"/>
  <c r="D476" i="2"/>
  <c r="AI473" i="2"/>
  <c r="AA473" i="2"/>
  <c r="S473" i="2"/>
  <c r="K473" i="2"/>
  <c r="AK476" i="2"/>
  <c r="U476" i="2"/>
  <c r="E476" i="2"/>
  <c r="X475" i="2"/>
  <c r="P475" i="2"/>
  <c r="AI476" i="2"/>
  <c r="AA476" i="2"/>
  <c r="S476" i="2"/>
  <c r="K476" i="2"/>
  <c r="AD475" i="2"/>
  <c r="V475" i="2"/>
  <c r="N475" i="2"/>
  <c r="F475" i="2"/>
  <c r="AH473" i="2"/>
  <c r="Z473" i="2"/>
  <c r="R473" i="2"/>
  <c r="J473" i="2"/>
  <c r="AK472" i="2"/>
  <c r="AC472" i="2"/>
  <c r="U472" i="2"/>
  <c r="M472" i="2"/>
  <c r="E472" i="2"/>
  <c r="AC476" i="2"/>
  <c r="M476" i="2"/>
  <c r="AF475" i="2"/>
  <c r="H475" i="2"/>
  <c r="AE453" i="2"/>
  <c r="W453" i="2"/>
  <c r="O453" i="2"/>
  <c r="G453" i="2"/>
  <c r="AH476" i="2"/>
  <c r="Z476" i="2"/>
  <c r="R476" i="2"/>
  <c r="J476" i="2"/>
  <c r="AK475" i="2"/>
  <c r="AC475" i="2"/>
  <c r="U475" i="2"/>
  <c r="M475" i="2"/>
  <c r="E475" i="2"/>
  <c r="AG473" i="2"/>
  <c r="Y473" i="2"/>
  <c r="Q473" i="2"/>
  <c r="I473" i="2"/>
  <c r="AJ472" i="2"/>
  <c r="AB472" i="2"/>
  <c r="T472" i="2"/>
  <c r="L472" i="2"/>
  <c r="D472" i="2"/>
  <c r="AF476" i="2"/>
  <c r="X476" i="2"/>
  <c r="P476" i="2"/>
  <c r="H476" i="2"/>
  <c r="AI475" i="2"/>
  <c r="AA475" i="2"/>
  <c r="S475" i="2"/>
  <c r="K475" i="2"/>
  <c r="AE466" i="2"/>
  <c r="W466" i="2"/>
  <c r="O466" i="2"/>
  <c r="G466" i="2"/>
  <c r="AH453" i="2"/>
  <c r="Z453" i="2"/>
  <c r="R453" i="2"/>
  <c r="J453" i="2"/>
  <c r="AK453" i="2"/>
  <c r="AC453" i="2"/>
  <c r="U453" i="2"/>
  <c r="M453" i="2"/>
  <c r="E453" i="2"/>
  <c r="AF466" i="2"/>
  <c r="AI453" i="2"/>
  <c r="AA453" i="2"/>
  <c r="S453" i="2"/>
  <c r="K453" i="2"/>
  <c r="H466" i="2"/>
  <c r="P466" i="2"/>
  <c r="C453" i="2"/>
  <c r="AG453" i="2"/>
  <c r="Y453" i="2"/>
  <c r="Q453" i="2"/>
  <c r="I453" i="2"/>
  <c r="AF453" i="2"/>
  <c r="X453" i="2"/>
  <c r="P453" i="2"/>
  <c r="H453" i="2"/>
  <c r="X466" i="2"/>
  <c r="C473" i="2"/>
  <c r="C466" i="2"/>
  <c r="AK466" i="2"/>
  <c r="AC466" i="2"/>
  <c r="U466" i="2"/>
  <c r="M466" i="2"/>
  <c r="E466" i="2"/>
  <c r="AJ460" i="2"/>
  <c r="AB460" i="2"/>
  <c r="T460" i="2"/>
  <c r="L460" i="2"/>
  <c r="D460" i="2"/>
  <c r="AJ466" i="2"/>
  <c r="AB466" i="2"/>
  <c r="T466" i="2"/>
  <c r="L466" i="2"/>
  <c r="D466" i="2"/>
  <c r="AH466" i="2"/>
  <c r="Z466" i="2"/>
  <c r="R466" i="2"/>
  <c r="J466" i="2"/>
  <c r="C447" i="2"/>
  <c r="AG466" i="2"/>
  <c r="Y466" i="2"/>
  <c r="Q466" i="2"/>
  <c r="I466" i="2"/>
  <c r="AI460" i="2"/>
  <c r="AA460" i="2"/>
  <c r="S460" i="2"/>
  <c r="K460" i="2"/>
  <c r="AE460" i="2"/>
  <c r="W460" i="2"/>
  <c r="O460" i="2"/>
  <c r="G460" i="2"/>
  <c r="AH460" i="2"/>
  <c r="Z460" i="2"/>
  <c r="R460" i="2"/>
  <c r="J460" i="2"/>
  <c r="AH447" i="2"/>
  <c r="Z447" i="2"/>
  <c r="R447" i="2"/>
  <c r="J447" i="2"/>
  <c r="AF447" i="2"/>
  <c r="X447" i="2"/>
  <c r="P447" i="2"/>
  <c r="H447" i="2"/>
  <c r="I460" i="2"/>
  <c r="H460" i="2"/>
  <c r="Y460" i="2"/>
  <c r="P460" i="2"/>
  <c r="AG460" i="2"/>
  <c r="Q460" i="2"/>
  <c r="AF460" i="2"/>
  <c r="X460" i="2"/>
  <c r="C460" i="2"/>
  <c r="AD460" i="2"/>
  <c r="V460" i="2"/>
  <c r="N460" i="2"/>
  <c r="F460" i="2"/>
  <c r="AE447" i="2"/>
  <c r="W447" i="2"/>
  <c r="O447" i="2"/>
  <c r="G447" i="2"/>
  <c r="AK447" i="2"/>
  <c r="AC447" i="2"/>
  <c r="U447" i="2"/>
  <c r="M447" i="2"/>
  <c r="E447" i="2"/>
  <c r="AD447" i="2"/>
  <c r="V447" i="2"/>
  <c r="N447" i="2"/>
  <c r="F447" i="2"/>
  <c r="AG447" i="2"/>
  <c r="Y447" i="2"/>
  <c r="Q447" i="2"/>
  <c r="I447" i="2"/>
  <c r="AJ447" i="2"/>
  <c r="AB447" i="2"/>
  <c r="T447" i="2"/>
  <c r="L447" i="2"/>
  <c r="D447" i="2"/>
  <c r="AI447" i="2"/>
  <c r="AA447" i="2"/>
  <c r="S447" i="2"/>
  <c r="K447" i="2"/>
  <c r="AI508" i="2" l="1"/>
  <c r="S508" i="2"/>
  <c r="E508" i="2"/>
  <c r="K508" i="2"/>
  <c r="AA508" i="2"/>
  <c r="M508" i="2"/>
  <c r="P511" i="2"/>
  <c r="I508" i="2"/>
  <c r="AK511" i="2"/>
  <c r="AD511" i="2"/>
  <c r="AC511" i="2"/>
  <c r="X511" i="2"/>
  <c r="AH508" i="2"/>
  <c r="D508" i="2"/>
  <c r="AF511" i="2"/>
  <c r="N508" i="2"/>
  <c r="Q508" i="2"/>
  <c r="L508" i="2"/>
  <c r="AG508" i="2"/>
  <c r="G511" i="2"/>
  <c r="J511" i="2"/>
  <c r="R508" i="2"/>
  <c r="D511" i="2"/>
  <c r="AH511" i="2"/>
  <c r="V508" i="2"/>
  <c r="H508" i="2"/>
  <c r="K511" i="2"/>
  <c r="L511" i="2"/>
  <c r="Z508" i="2"/>
  <c r="T508" i="2"/>
  <c r="I511" i="2"/>
  <c r="X508" i="2"/>
  <c r="C511" i="2"/>
  <c r="O511" i="2"/>
  <c r="AJ511" i="2"/>
  <c r="U508" i="2"/>
  <c r="AJ508" i="2"/>
  <c r="AE511" i="2"/>
  <c r="F508" i="2"/>
  <c r="AC508" i="2"/>
  <c r="F511" i="2"/>
  <c r="AK508" i="2"/>
  <c r="AD508" i="2"/>
  <c r="Y508" i="2"/>
  <c r="G508" i="2"/>
  <c r="AI511" i="2"/>
  <c r="N511" i="2"/>
  <c r="T511" i="2"/>
  <c r="V511" i="2"/>
  <c r="AB508" i="2"/>
  <c r="AB511" i="2"/>
  <c r="Q511" i="2"/>
  <c r="E511" i="2"/>
  <c r="AF508" i="2"/>
  <c r="O508" i="2"/>
  <c r="S511" i="2"/>
  <c r="J508" i="2"/>
  <c r="W511" i="2"/>
  <c r="H511" i="2"/>
  <c r="AG511" i="2"/>
  <c r="Z511" i="2"/>
  <c r="U511" i="2"/>
  <c r="C508" i="2"/>
  <c r="AE508" i="2"/>
  <c r="AA511" i="2"/>
  <c r="P508" i="2"/>
  <c r="W508" i="2"/>
  <c r="Y511" i="2"/>
  <c r="R511" i="2"/>
  <c r="M511" i="2"/>
  <c r="U474" i="2"/>
  <c r="T477" i="2"/>
  <c r="L477" i="2"/>
  <c r="P477" i="2"/>
  <c r="I477" i="2"/>
  <c r="S477" i="2"/>
  <c r="F477" i="2"/>
  <c r="M474" i="2"/>
  <c r="K477" i="2"/>
  <c r="N477" i="2"/>
  <c r="V477" i="2"/>
  <c r="AD477" i="2"/>
  <c r="AA474" i="2"/>
  <c r="Q474" i="2"/>
  <c r="E474" i="2"/>
  <c r="AJ477" i="2"/>
  <c r="O477" i="2"/>
  <c r="AE477" i="2"/>
  <c r="AA477" i="2"/>
  <c r="AK474" i="2"/>
  <c r="AI477" i="2"/>
  <c r="G477" i="2"/>
  <c r="W477" i="2"/>
  <c r="AC474" i="2"/>
  <c r="D477" i="2"/>
  <c r="Z474" i="2"/>
  <c r="K474" i="2"/>
  <c r="AB477" i="2"/>
  <c r="AG474" i="2"/>
  <c r="T474" i="2"/>
  <c r="AB474" i="2"/>
  <c r="V474" i="2"/>
  <c r="G474" i="2"/>
  <c r="AG477" i="2"/>
  <c r="Z477" i="2"/>
  <c r="C477" i="2"/>
  <c r="L474" i="2"/>
  <c r="AD474" i="2"/>
  <c r="AH474" i="2"/>
  <c r="AE474" i="2"/>
  <c r="P474" i="2"/>
  <c r="O474" i="2"/>
  <c r="AH477" i="2"/>
  <c r="AI474" i="2"/>
  <c r="Y474" i="2"/>
  <c r="X474" i="2"/>
  <c r="AJ474" i="2"/>
  <c r="H477" i="2"/>
  <c r="E477" i="2"/>
  <c r="S474" i="2"/>
  <c r="I474" i="2"/>
  <c r="W474" i="2"/>
  <c r="H474" i="2"/>
  <c r="C474" i="2"/>
  <c r="M477" i="2"/>
  <c r="AF474" i="2"/>
  <c r="AK477" i="2"/>
  <c r="U477" i="2"/>
  <c r="AF477" i="2"/>
  <c r="AC477" i="2"/>
  <c r="D474" i="2"/>
  <c r="F474" i="2"/>
  <c r="J474" i="2"/>
  <c r="Q477" i="2"/>
  <c r="J477" i="2"/>
  <c r="X477" i="2"/>
  <c r="N474" i="2"/>
  <c r="R474" i="2"/>
  <c r="Y477" i="2"/>
  <c r="R477" i="2"/>
  <c r="C419" i="2" l="1"/>
  <c r="D419" i="2"/>
  <c r="E419" i="2"/>
  <c r="F419" i="2"/>
  <c r="G419" i="2"/>
  <c r="H419" i="2"/>
  <c r="C433" i="2" s="1"/>
  <c r="I419" i="2"/>
  <c r="J419" i="2"/>
  <c r="K419" i="2"/>
  <c r="L419" i="2"/>
  <c r="M419" i="2"/>
  <c r="N419" i="2"/>
  <c r="O419" i="2"/>
  <c r="P419" i="2"/>
  <c r="Q419" i="2"/>
  <c r="R419" i="2"/>
  <c r="D433" i="2" s="1"/>
  <c r="S419" i="2"/>
  <c r="T419" i="2"/>
  <c r="U419" i="2"/>
  <c r="V419" i="2"/>
  <c r="W419" i="2"/>
  <c r="X419" i="2"/>
  <c r="Y419" i="2"/>
  <c r="Z419" i="2"/>
  <c r="AA419" i="2"/>
  <c r="AB419" i="2"/>
  <c r="E433" i="2" s="1"/>
  <c r="AC419" i="2"/>
  <c r="AD419" i="2"/>
  <c r="AE419" i="2"/>
  <c r="AF419" i="2"/>
  <c r="AG419" i="2"/>
  <c r="AH419" i="2"/>
  <c r="AI419" i="2"/>
  <c r="AJ419" i="2"/>
  <c r="AK419" i="2"/>
  <c r="AL419" i="2"/>
  <c r="F433" i="2" s="1"/>
  <c r="C421" i="2"/>
  <c r="D421" i="2"/>
  <c r="E421" i="2"/>
  <c r="F421" i="2"/>
  <c r="G421" i="2"/>
  <c r="H421" i="2"/>
  <c r="C435" i="2" s="1"/>
  <c r="I421" i="2"/>
  <c r="J421" i="2"/>
  <c r="K421" i="2"/>
  <c r="L421" i="2"/>
  <c r="M421" i="2"/>
  <c r="N421" i="2"/>
  <c r="O421" i="2"/>
  <c r="P421" i="2"/>
  <c r="Q421" i="2"/>
  <c r="R421" i="2"/>
  <c r="D435" i="2" s="1"/>
  <c r="S421" i="2"/>
  <c r="T421" i="2"/>
  <c r="U421" i="2"/>
  <c r="V421" i="2"/>
  <c r="W421" i="2"/>
  <c r="X421" i="2"/>
  <c r="Y421" i="2"/>
  <c r="Z421" i="2"/>
  <c r="AA421" i="2"/>
  <c r="AB421" i="2"/>
  <c r="E435" i="2" s="1"/>
  <c r="AC421" i="2"/>
  <c r="AD421" i="2"/>
  <c r="AE421" i="2"/>
  <c r="AF421" i="2"/>
  <c r="AG421" i="2"/>
  <c r="AH421" i="2"/>
  <c r="AI421" i="2"/>
  <c r="AJ421" i="2"/>
  <c r="AK421" i="2"/>
  <c r="AL421" i="2"/>
  <c r="F435" i="2" s="1"/>
  <c r="C422" i="2"/>
  <c r="D422" i="2"/>
  <c r="E422" i="2"/>
  <c r="F422" i="2"/>
  <c r="G422" i="2"/>
  <c r="H422" i="2"/>
  <c r="C436" i="2" s="1"/>
  <c r="I422" i="2"/>
  <c r="J422" i="2"/>
  <c r="K422" i="2"/>
  <c r="L422" i="2"/>
  <c r="M422" i="2"/>
  <c r="N422" i="2"/>
  <c r="O422" i="2"/>
  <c r="P422" i="2"/>
  <c r="Q422" i="2"/>
  <c r="R422" i="2"/>
  <c r="D436" i="2" s="1"/>
  <c r="S422" i="2"/>
  <c r="T422" i="2"/>
  <c r="U422" i="2"/>
  <c r="V422" i="2"/>
  <c r="W422" i="2"/>
  <c r="X422" i="2"/>
  <c r="Y422" i="2"/>
  <c r="Z422" i="2"/>
  <c r="AA422" i="2"/>
  <c r="AB422" i="2"/>
  <c r="E436" i="2" s="1"/>
  <c r="AC422" i="2"/>
  <c r="AD422" i="2"/>
  <c r="AE422" i="2"/>
  <c r="AF422" i="2"/>
  <c r="AG422" i="2"/>
  <c r="AH422" i="2"/>
  <c r="AI422" i="2"/>
  <c r="AJ422" i="2"/>
  <c r="AK422" i="2"/>
  <c r="AL422" i="2"/>
  <c r="F436" i="2" s="1"/>
  <c r="C424" i="2"/>
  <c r="D424" i="2"/>
  <c r="E424" i="2"/>
  <c r="F424" i="2"/>
  <c r="G424" i="2"/>
  <c r="H424" i="2"/>
  <c r="C438" i="2" s="1"/>
  <c r="I424" i="2"/>
  <c r="J424" i="2"/>
  <c r="K424" i="2"/>
  <c r="L424" i="2"/>
  <c r="M424" i="2"/>
  <c r="N424" i="2"/>
  <c r="O424" i="2"/>
  <c r="P424" i="2"/>
  <c r="Q424" i="2"/>
  <c r="R424" i="2"/>
  <c r="D438" i="2" s="1"/>
  <c r="S424" i="2"/>
  <c r="T424" i="2"/>
  <c r="U424" i="2"/>
  <c r="V424" i="2"/>
  <c r="W424" i="2"/>
  <c r="X424" i="2"/>
  <c r="Y424" i="2"/>
  <c r="Z424" i="2"/>
  <c r="AA424" i="2"/>
  <c r="AB424" i="2"/>
  <c r="E438" i="2" s="1"/>
  <c r="AC424" i="2"/>
  <c r="AD424" i="2"/>
  <c r="AE424" i="2"/>
  <c r="AF424" i="2"/>
  <c r="AG424" i="2"/>
  <c r="AH424" i="2"/>
  <c r="AI424" i="2"/>
  <c r="AJ424" i="2"/>
  <c r="AK424" i="2"/>
  <c r="AL424" i="2"/>
  <c r="F438" i="2" s="1"/>
  <c r="C426" i="2"/>
  <c r="D426" i="2"/>
  <c r="E426" i="2"/>
  <c r="F426" i="2"/>
  <c r="G426" i="2"/>
  <c r="H426" i="2"/>
  <c r="C440" i="2" s="1"/>
  <c r="I426" i="2"/>
  <c r="J426" i="2"/>
  <c r="K426" i="2"/>
  <c r="L426" i="2"/>
  <c r="M426" i="2"/>
  <c r="N426" i="2"/>
  <c r="O426" i="2"/>
  <c r="P426" i="2"/>
  <c r="Q426" i="2"/>
  <c r="R426" i="2"/>
  <c r="D440" i="2" s="1"/>
  <c r="S426" i="2"/>
  <c r="T426" i="2"/>
  <c r="U426" i="2"/>
  <c r="V426" i="2"/>
  <c r="W426" i="2"/>
  <c r="X426" i="2"/>
  <c r="Y426" i="2"/>
  <c r="Z426" i="2"/>
  <c r="AA426" i="2"/>
  <c r="AB426" i="2"/>
  <c r="E440" i="2" s="1"/>
  <c r="AC426" i="2"/>
  <c r="AD426" i="2"/>
  <c r="AE426" i="2"/>
  <c r="AF426" i="2"/>
  <c r="AG426" i="2"/>
  <c r="AH426" i="2"/>
  <c r="AI426" i="2"/>
  <c r="AJ426" i="2"/>
  <c r="AK426" i="2"/>
  <c r="AL426" i="2"/>
  <c r="F440" i="2" s="1"/>
  <c r="C425" i="2"/>
  <c r="D425" i="2"/>
  <c r="E425" i="2"/>
  <c r="F425" i="2"/>
  <c r="G425" i="2"/>
  <c r="H425" i="2"/>
  <c r="C439" i="2" s="1"/>
  <c r="I425" i="2"/>
  <c r="J425" i="2"/>
  <c r="K425" i="2"/>
  <c r="L425" i="2"/>
  <c r="M425" i="2"/>
  <c r="N425" i="2"/>
  <c r="O425" i="2"/>
  <c r="P425" i="2"/>
  <c r="Q425" i="2"/>
  <c r="R425" i="2"/>
  <c r="D439" i="2" s="1"/>
  <c r="S425" i="2"/>
  <c r="T425" i="2"/>
  <c r="U425" i="2"/>
  <c r="V425" i="2"/>
  <c r="W425" i="2"/>
  <c r="X425" i="2"/>
  <c r="Y425" i="2"/>
  <c r="Z425" i="2"/>
  <c r="AA425" i="2"/>
  <c r="AB425" i="2"/>
  <c r="E439" i="2" s="1"/>
  <c r="AC425" i="2"/>
  <c r="AD425" i="2"/>
  <c r="AE425" i="2"/>
  <c r="AF425" i="2"/>
  <c r="AG425" i="2"/>
  <c r="AH425" i="2"/>
  <c r="AI425" i="2"/>
  <c r="AJ425" i="2"/>
  <c r="AK425" i="2"/>
  <c r="AL425" i="2"/>
  <c r="F439" i="2" s="1"/>
  <c r="AJ428" i="2" l="1"/>
  <c r="AB428" i="2"/>
  <c r="E442" i="2" s="1"/>
  <c r="T428" i="2"/>
  <c r="L428" i="2"/>
  <c r="D428" i="2"/>
  <c r="AL428" i="2"/>
  <c r="F442" i="2" s="1"/>
  <c r="AD428" i="2"/>
  <c r="V428" i="2"/>
  <c r="N428" i="2"/>
  <c r="F428" i="2"/>
  <c r="AH427" i="2"/>
  <c r="Z427" i="2"/>
  <c r="R427" i="2"/>
  <c r="D441" i="2" s="1"/>
  <c r="J427" i="2"/>
  <c r="AH418" i="2"/>
  <c r="J418" i="2"/>
  <c r="AI428" i="2"/>
  <c r="AA428" i="2"/>
  <c r="S428" i="2"/>
  <c r="K428" i="2"/>
  <c r="C428" i="2"/>
  <c r="AE427" i="2"/>
  <c r="W427" i="2"/>
  <c r="O427" i="2"/>
  <c r="G427" i="2"/>
  <c r="AK429" i="2"/>
  <c r="AC429" i="2"/>
  <c r="U429" i="2"/>
  <c r="M429" i="2"/>
  <c r="E429" i="2"/>
  <c r="AK428" i="2"/>
  <c r="AC428" i="2"/>
  <c r="U428" i="2"/>
  <c r="M428" i="2"/>
  <c r="E428" i="2"/>
  <c r="AG427" i="2"/>
  <c r="Y427" i="2"/>
  <c r="Q427" i="2"/>
  <c r="I427" i="2"/>
  <c r="AG420" i="2"/>
  <c r="Y420" i="2"/>
  <c r="Q420" i="2"/>
  <c r="I420" i="2"/>
  <c r="AK423" i="2"/>
  <c r="AC423" i="2"/>
  <c r="U423" i="2"/>
  <c r="M423" i="2"/>
  <c r="E423" i="2"/>
  <c r="AG418" i="2"/>
  <c r="Y418" i="2"/>
  <c r="Q418" i="2"/>
  <c r="I418" i="2"/>
  <c r="V429" i="2"/>
  <c r="Z420" i="2"/>
  <c r="AD423" i="2"/>
  <c r="AJ429" i="2"/>
  <c r="AB429" i="2"/>
  <c r="E443" i="2" s="1"/>
  <c r="T429" i="2"/>
  <c r="L429" i="2"/>
  <c r="D429" i="2"/>
  <c r="AF427" i="2"/>
  <c r="X427" i="2"/>
  <c r="P427" i="2"/>
  <c r="H427" i="2"/>
  <c r="C441" i="2" s="1"/>
  <c r="AF420" i="2"/>
  <c r="X420" i="2"/>
  <c r="P420" i="2"/>
  <c r="H420" i="2"/>
  <c r="C434" i="2" s="1"/>
  <c r="AJ423" i="2"/>
  <c r="AB423" i="2"/>
  <c r="E437" i="2" s="1"/>
  <c r="T423" i="2"/>
  <c r="L423" i="2"/>
  <c r="D423" i="2"/>
  <c r="AF418" i="2"/>
  <c r="X418" i="2"/>
  <c r="P418" i="2"/>
  <c r="H418" i="2"/>
  <c r="C432" i="2" s="1"/>
  <c r="AI429" i="2"/>
  <c r="K429" i="2"/>
  <c r="AE420" i="2"/>
  <c r="O420" i="2"/>
  <c r="AI423" i="2"/>
  <c r="S423" i="2"/>
  <c r="K423" i="2"/>
  <c r="AE418" i="2"/>
  <c r="G418" i="2"/>
  <c r="AL429" i="2"/>
  <c r="F443" i="2" s="1"/>
  <c r="F429" i="2"/>
  <c r="AH420" i="2"/>
  <c r="AL423" i="2"/>
  <c r="F437" i="2" s="1"/>
  <c r="F423" i="2"/>
  <c r="S429" i="2"/>
  <c r="W420" i="2"/>
  <c r="G420" i="2"/>
  <c r="AA423" i="2"/>
  <c r="C423" i="2"/>
  <c r="O418" i="2"/>
  <c r="AH429" i="2"/>
  <c r="Z429" i="2"/>
  <c r="R429" i="2"/>
  <c r="D443" i="2" s="1"/>
  <c r="J429" i="2"/>
  <c r="AH428" i="2"/>
  <c r="Z428" i="2"/>
  <c r="R428" i="2"/>
  <c r="D442" i="2" s="1"/>
  <c r="J428" i="2"/>
  <c r="AL427" i="2"/>
  <c r="F441" i="2" s="1"/>
  <c r="AD427" i="2"/>
  <c r="V427" i="2"/>
  <c r="N427" i="2"/>
  <c r="F427" i="2"/>
  <c r="AL420" i="2"/>
  <c r="F434" i="2" s="1"/>
  <c r="AD420" i="2"/>
  <c r="V420" i="2"/>
  <c r="N420" i="2"/>
  <c r="F420" i="2"/>
  <c r="AH423" i="2"/>
  <c r="Z423" i="2"/>
  <c r="R423" i="2"/>
  <c r="D437" i="2" s="1"/>
  <c r="J423" i="2"/>
  <c r="AL418" i="2"/>
  <c r="F432" i="2" s="1"/>
  <c r="AD418" i="2"/>
  <c r="V418" i="2"/>
  <c r="N418" i="2"/>
  <c r="F418" i="2"/>
  <c r="AD429" i="2"/>
  <c r="J420" i="2"/>
  <c r="N423" i="2"/>
  <c r="R418" i="2"/>
  <c r="D432" i="2" s="1"/>
  <c r="AA429" i="2"/>
  <c r="C429" i="2"/>
  <c r="W418" i="2"/>
  <c r="AG429" i="2"/>
  <c r="Y429" i="2"/>
  <c r="Q429" i="2"/>
  <c r="I429" i="2"/>
  <c r="AG428" i="2"/>
  <c r="Y428" i="2"/>
  <c r="Q428" i="2"/>
  <c r="I428" i="2"/>
  <c r="AK427" i="2"/>
  <c r="AC427" i="2"/>
  <c r="U427" i="2"/>
  <c r="M427" i="2"/>
  <c r="E427" i="2"/>
  <c r="AK420" i="2"/>
  <c r="AC420" i="2"/>
  <c r="U420" i="2"/>
  <c r="M420" i="2"/>
  <c r="E420" i="2"/>
  <c r="AG423" i="2"/>
  <c r="Y423" i="2"/>
  <c r="Q423" i="2"/>
  <c r="I423" i="2"/>
  <c r="AK418" i="2"/>
  <c r="AC418" i="2"/>
  <c r="U418" i="2"/>
  <c r="M418" i="2"/>
  <c r="E418" i="2"/>
  <c r="AF429" i="2"/>
  <c r="X429" i="2"/>
  <c r="P429" i="2"/>
  <c r="H429" i="2"/>
  <c r="C443" i="2" s="1"/>
  <c r="AF428" i="2"/>
  <c r="X428" i="2"/>
  <c r="P428" i="2"/>
  <c r="H428" i="2"/>
  <c r="C442" i="2" s="1"/>
  <c r="AJ427" i="2"/>
  <c r="AB427" i="2"/>
  <c r="E441" i="2" s="1"/>
  <c r="T427" i="2"/>
  <c r="L427" i="2"/>
  <c r="D427" i="2"/>
  <c r="AJ420" i="2"/>
  <c r="AB420" i="2"/>
  <c r="E434" i="2" s="1"/>
  <c r="T420" i="2"/>
  <c r="L420" i="2"/>
  <c r="D420" i="2"/>
  <c r="AF423" i="2"/>
  <c r="X423" i="2"/>
  <c r="P423" i="2"/>
  <c r="H423" i="2"/>
  <c r="C437" i="2" s="1"/>
  <c r="AJ418" i="2"/>
  <c r="AB418" i="2"/>
  <c r="E432" i="2" s="1"/>
  <c r="T418" i="2"/>
  <c r="L418" i="2"/>
  <c r="D418" i="2"/>
  <c r="N429" i="2"/>
  <c r="R420" i="2"/>
  <c r="D434" i="2" s="1"/>
  <c r="V423" i="2"/>
  <c r="Z418" i="2"/>
  <c r="AE429" i="2"/>
  <c r="W429" i="2"/>
  <c r="O429" i="2"/>
  <c r="G429" i="2"/>
  <c r="AE428" i="2"/>
  <c r="W428" i="2"/>
  <c r="O428" i="2"/>
  <c r="G428" i="2"/>
  <c r="AI427" i="2"/>
  <c r="AA427" i="2"/>
  <c r="S427" i="2"/>
  <c r="K427" i="2"/>
  <c r="C427" i="2"/>
  <c r="AI420" i="2"/>
  <c r="AA420" i="2"/>
  <c r="S420" i="2"/>
  <c r="K420" i="2"/>
  <c r="C420" i="2"/>
  <c r="AE423" i="2"/>
  <c r="W423" i="2"/>
  <c r="O423" i="2"/>
  <c r="G423" i="2"/>
  <c r="AI418" i="2"/>
  <c r="AA418" i="2"/>
  <c r="S418" i="2"/>
  <c r="K418" i="2"/>
  <c r="C418" i="2"/>
  <c r="D362" i="2"/>
  <c r="T365" i="2"/>
  <c r="L367" i="2"/>
  <c r="AB363" i="2"/>
  <c r="X368" i="2"/>
  <c r="P368" i="2"/>
  <c r="AJ367" i="2"/>
  <c r="AB367" i="2"/>
  <c r="T367" i="2"/>
  <c r="AF366" i="2"/>
  <c r="X366" i="2"/>
  <c r="H366" i="2"/>
  <c r="AJ365" i="2"/>
  <c r="AB365" i="2"/>
  <c r="D365" i="2"/>
  <c r="AF364" i="2"/>
  <c r="P364" i="2"/>
  <c r="H364" i="2"/>
  <c r="AJ363" i="2"/>
  <c r="L363" i="2"/>
  <c r="D363" i="2"/>
  <c r="X362" i="2"/>
  <c r="P362" i="2"/>
  <c r="H362" i="2"/>
  <c r="AF368" i="2"/>
  <c r="H368" i="2"/>
  <c r="D367" i="2"/>
  <c r="P366" i="2"/>
  <c r="L365" i="2"/>
  <c r="X364" i="2"/>
  <c r="T363" i="2"/>
  <c r="AF362" i="2"/>
  <c r="AE362" i="2"/>
  <c r="W362" i="2"/>
  <c r="O362" i="2"/>
  <c r="G362" i="2"/>
  <c r="AI368" i="2"/>
  <c r="AA368" i="2"/>
  <c r="S368" i="2"/>
  <c r="K368" i="2"/>
  <c r="C368" i="2"/>
  <c r="AE367" i="2"/>
  <c r="W367" i="2"/>
  <c r="O367" i="2"/>
  <c r="G367" i="2"/>
  <c r="AI366" i="2"/>
  <c r="AA366" i="2"/>
  <c r="S366" i="2"/>
  <c r="K366" i="2"/>
  <c r="C366" i="2"/>
  <c r="AE365" i="2"/>
  <c r="W365" i="2"/>
  <c r="O365" i="2"/>
  <c r="G365" i="2"/>
  <c r="AI364" i="2"/>
  <c r="AA364" i="2"/>
  <c r="S364" i="2"/>
  <c r="K364" i="2"/>
  <c r="C364" i="2"/>
  <c r="AE363" i="2"/>
  <c r="W363" i="2"/>
  <c r="O363" i="2"/>
  <c r="G363" i="2"/>
  <c r="AI362" i="2"/>
  <c r="AA362" i="2"/>
  <c r="S362" i="2"/>
  <c r="K362" i="2"/>
  <c r="AH368" i="2"/>
  <c r="Z368" i="2"/>
  <c r="R368" i="2"/>
  <c r="J368" i="2"/>
  <c r="AL367" i="2"/>
  <c r="AD367" i="2"/>
  <c r="V367" i="2"/>
  <c r="N367" i="2"/>
  <c r="F367" i="2"/>
  <c r="AH366" i="2"/>
  <c r="Z366" i="2"/>
  <c r="R366" i="2"/>
  <c r="J366" i="2"/>
  <c r="AL365" i="2"/>
  <c r="AD365" i="2"/>
  <c r="V365" i="2"/>
  <c r="N365" i="2"/>
  <c r="F365" i="2"/>
  <c r="AH364" i="2"/>
  <c r="Z364" i="2"/>
  <c r="R364" i="2"/>
  <c r="J364" i="2"/>
  <c r="AL363" i="2"/>
  <c r="AD363" i="2"/>
  <c r="V363" i="2"/>
  <c r="N363" i="2"/>
  <c r="F363" i="2"/>
  <c r="AH362" i="2"/>
  <c r="Z362" i="2"/>
  <c r="R362" i="2"/>
  <c r="J362" i="2"/>
  <c r="AG368" i="2"/>
  <c r="Y368" i="2"/>
  <c r="Q368" i="2"/>
  <c r="I368" i="2"/>
  <c r="AK367" i="2"/>
  <c r="AC367" i="2"/>
  <c r="U367" i="2"/>
  <c r="M367" i="2"/>
  <c r="E367" i="2"/>
  <c r="AG366" i="2"/>
  <c r="Y366" i="2"/>
  <c r="Q366" i="2"/>
  <c r="I366" i="2"/>
  <c r="AK365" i="2"/>
  <c r="AC365" i="2"/>
  <c r="U365" i="2"/>
  <c r="M365" i="2"/>
  <c r="E365" i="2"/>
  <c r="AG364" i="2"/>
  <c r="Y364" i="2"/>
  <c r="Q364" i="2"/>
  <c r="I364" i="2"/>
  <c r="AK363" i="2"/>
  <c r="AC363" i="2"/>
  <c r="U363" i="2"/>
  <c r="M363" i="2"/>
  <c r="E363" i="2"/>
  <c r="AG362" i="2"/>
  <c r="Y362" i="2"/>
  <c r="Q362" i="2"/>
  <c r="I362" i="2"/>
  <c r="AJ364" i="2"/>
  <c r="AB364" i="2"/>
  <c r="T364" i="2"/>
  <c r="L364" i="2"/>
  <c r="D364" i="2"/>
  <c r="AF363" i="2"/>
  <c r="X363" i="2"/>
  <c r="P363" i="2"/>
  <c r="H363" i="2"/>
  <c r="AJ362" i="2"/>
  <c r="AB362" i="2"/>
  <c r="T362" i="2"/>
  <c r="L362" i="2"/>
  <c r="C362" i="2"/>
  <c r="AE368" i="2"/>
  <c r="W368" i="2"/>
  <c r="O368" i="2"/>
  <c r="G368" i="2"/>
  <c r="AI367" i="2"/>
  <c r="AA367" i="2"/>
  <c r="S367" i="2"/>
  <c r="K367" i="2"/>
  <c r="C367" i="2"/>
  <c r="AE366" i="2"/>
  <c r="W366" i="2"/>
  <c r="O366" i="2"/>
  <c r="G366" i="2"/>
  <c r="AI365" i="2"/>
  <c r="AA365" i="2"/>
  <c r="S365" i="2"/>
  <c r="K365" i="2"/>
  <c r="C365" i="2"/>
  <c r="AE364" i="2"/>
  <c r="W364" i="2"/>
  <c r="O364" i="2"/>
  <c r="G364" i="2"/>
  <c r="AI363" i="2"/>
  <c r="AA363" i="2"/>
  <c r="S363" i="2"/>
  <c r="K363" i="2"/>
  <c r="C363" i="2"/>
  <c r="AL368" i="2"/>
  <c r="AD368" i="2"/>
  <c r="V368" i="2"/>
  <c r="N368" i="2"/>
  <c r="F368" i="2"/>
  <c r="AH367" i="2"/>
  <c r="Z367" i="2"/>
  <c r="R367" i="2"/>
  <c r="J367" i="2"/>
  <c r="AL366" i="2"/>
  <c r="AD366" i="2"/>
  <c r="V366" i="2"/>
  <c r="N366" i="2"/>
  <c r="F366" i="2"/>
  <c r="AH365" i="2"/>
  <c r="Z365" i="2"/>
  <c r="R365" i="2"/>
  <c r="J365" i="2"/>
  <c r="AL364" i="2"/>
  <c r="AD364" i="2"/>
  <c r="V364" i="2"/>
  <c r="N364" i="2"/>
  <c r="F364" i="2"/>
  <c r="AH363" i="2"/>
  <c r="Z363" i="2"/>
  <c r="R363" i="2"/>
  <c r="J363" i="2"/>
  <c r="AL362" i="2"/>
  <c r="AD362" i="2"/>
  <c r="V362" i="2"/>
  <c r="N362" i="2"/>
  <c r="F362" i="2"/>
  <c r="AK368" i="2"/>
  <c r="AC368" i="2"/>
  <c r="U368" i="2"/>
  <c r="M368" i="2"/>
  <c r="E368" i="2"/>
  <c r="AG367" i="2"/>
  <c r="Y367" i="2"/>
  <c r="Q367" i="2"/>
  <c r="I367" i="2"/>
  <c r="AK366" i="2"/>
  <c r="AC366" i="2"/>
  <c r="U366" i="2"/>
  <c r="M366" i="2"/>
  <c r="E366" i="2"/>
  <c r="AG365" i="2"/>
  <c r="Y365" i="2"/>
  <c r="Q365" i="2"/>
  <c r="I365" i="2"/>
  <c r="AK364" i="2"/>
  <c r="AC364" i="2"/>
  <c r="U364" i="2"/>
  <c r="M364" i="2"/>
  <c r="E364" i="2"/>
  <c r="AG363" i="2"/>
  <c r="Y363" i="2"/>
  <c r="Q363" i="2"/>
  <c r="I363" i="2"/>
  <c r="AK362" i="2"/>
  <c r="AC362" i="2"/>
  <c r="U362" i="2"/>
  <c r="M362" i="2"/>
  <c r="E362" i="2"/>
  <c r="AJ368" i="2"/>
  <c r="AB368" i="2"/>
  <c r="T368" i="2"/>
  <c r="L368" i="2"/>
  <c r="D368" i="2"/>
  <c r="AF367" i="2"/>
  <c r="X367" i="2"/>
  <c r="P367" i="2"/>
  <c r="H367" i="2"/>
  <c r="AJ366" i="2"/>
  <c r="AB366" i="2"/>
  <c r="T366" i="2"/>
  <c r="L366" i="2"/>
  <c r="D366" i="2"/>
  <c r="AF365" i="2"/>
  <c r="X365" i="2"/>
  <c r="P365" i="2"/>
  <c r="H365" i="2"/>
  <c r="AF337" i="2"/>
  <c r="X337" i="2"/>
  <c r="P337" i="2"/>
  <c r="H337" i="2"/>
  <c r="AJ336" i="2"/>
  <c r="AB336" i="2"/>
  <c r="T336" i="2"/>
  <c r="L336" i="2"/>
  <c r="D336" i="2"/>
  <c r="AF335" i="2"/>
  <c r="X335" i="2"/>
  <c r="P335" i="2"/>
  <c r="H335" i="2"/>
  <c r="AJ334" i="2"/>
  <c r="AB334" i="2"/>
  <c r="T334" i="2"/>
  <c r="L334" i="2"/>
  <c r="D334" i="2"/>
  <c r="AF333" i="2"/>
  <c r="X333" i="2"/>
  <c r="P333" i="2"/>
  <c r="H333" i="2"/>
  <c r="O334" i="2"/>
  <c r="AI333" i="2"/>
  <c r="U336" i="2"/>
  <c r="M336" i="2"/>
  <c r="E336" i="2"/>
  <c r="AG335" i="2"/>
  <c r="Y335" i="2"/>
  <c r="Q335" i="2"/>
  <c r="I335" i="2"/>
  <c r="AK334" i="2"/>
  <c r="AC334" i="2"/>
  <c r="U334" i="2"/>
  <c r="M334" i="2"/>
  <c r="E334" i="2"/>
  <c r="AG333" i="2"/>
  <c r="Y333" i="2"/>
  <c r="Q333" i="2"/>
  <c r="I333" i="2"/>
  <c r="AK332" i="2"/>
  <c r="AC332" i="2"/>
  <c r="U332" i="2"/>
  <c r="M332" i="2"/>
  <c r="E332" i="2"/>
  <c r="AG331" i="2"/>
  <c r="Y331" i="2"/>
  <c r="Q331" i="2"/>
  <c r="I331" i="2"/>
  <c r="S337" i="2"/>
  <c r="K337" i="2"/>
  <c r="W332" i="2"/>
  <c r="G332" i="2"/>
  <c r="G336" i="2"/>
  <c r="AA335" i="2"/>
  <c r="S335" i="2"/>
  <c r="AA333" i="2"/>
  <c r="AI331" i="2"/>
  <c r="AI337" i="2"/>
  <c r="AA337" i="2"/>
  <c r="C337" i="2"/>
  <c r="AE336" i="2"/>
  <c r="W336" i="2"/>
  <c r="O336" i="2"/>
  <c r="AI335" i="2"/>
  <c r="K335" i="2"/>
  <c r="C335" i="2"/>
  <c r="AE334" i="2"/>
  <c r="W334" i="2"/>
  <c r="G334" i="2"/>
  <c r="S333" i="2"/>
  <c r="K333" i="2"/>
  <c r="C333" i="2"/>
  <c r="AE332" i="2"/>
  <c r="O332" i="2"/>
  <c r="AA331" i="2"/>
  <c r="S331" i="2"/>
  <c r="K331" i="2"/>
  <c r="C331" i="2"/>
  <c r="AL331" i="2"/>
  <c r="V337" i="2"/>
  <c r="Z336" i="2"/>
  <c r="AD335" i="2"/>
  <c r="N335" i="2"/>
  <c r="J334" i="2"/>
  <c r="V333" i="2"/>
  <c r="AH332" i="2"/>
  <c r="J332" i="2"/>
  <c r="N331" i="2"/>
  <c r="AK337" i="2"/>
  <c r="AC337" i="2"/>
  <c r="U337" i="2"/>
  <c r="M337" i="2"/>
  <c r="E337" i="2"/>
  <c r="AG336" i="2"/>
  <c r="Y336" i="2"/>
  <c r="Q336" i="2"/>
  <c r="I336" i="2"/>
  <c r="AK335" i="2"/>
  <c r="AC335" i="2"/>
  <c r="U335" i="2"/>
  <c r="M335" i="2"/>
  <c r="E335" i="2"/>
  <c r="F337" i="2"/>
  <c r="J336" i="2"/>
  <c r="AH334" i="2"/>
  <c r="AL333" i="2"/>
  <c r="Z332" i="2"/>
  <c r="N337" i="2"/>
  <c r="R336" i="2"/>
  <c r="V335" i="2"/>
  <c r="F335" i="2"/>
  <c r="R334" i="2"/>
  <c r="AD333" i="2"/>
  <c r="F333" i="2"/>
  <c r="R332" i="2"/>
  <c r="F331" i="2"/>
  <c r="AL337" i="2"/>
  <c r="AD331" i="2"/>
  <c r="AD337" i="2"/>
  <c r="AH336" i="2"/>
  <c r="AL335" i="2"/>
  <c r="Z334" i="2"/>
  <c r="N333" i="2"/>
  <c r="V331" i="2"/>
  <c r="AG334" i="2"/>
  <c r="Y334" i="2"/>
  <c r="Q334" i="2"/>
  <c r="I334" i="2"/>
  <c r="AK333" i="2"/>
  <c r="AC333" i="2"/>
  <c r="U333" i="2"/>
  <c r="M333" i="2"/>
  <c r="E333" i="2"/>
  <c r="AG332" i="2"/>
  <c r="Y332" i="2"/>
  <c r="Q332" i="2"/>
  <c r="I332" i="2"/>
  <c r="AK331" i="2"/>
  <c r="AC331" i="2"/>
  <c r="U331" i="2"/>
  <c r="M331" i="2"/>
  <c r="E331" i="2"/>
  <c r="AJ337" i="2"/>
  <c r="AB337" i="2"/>
  <c r="T337" i="2"/>
  <c r="L337" i="2"/>
  <c r="D337" i="2"/>
  <c r="AF336" i="2"/>
  <c r="X336" i="2"/>
  <c r="P336" i="2"/>
  <c r="H336" i="2"/>
  <c r="AJ335" i="2"/>
  <c r="AB335" i="2"/>
  <c r="T335" i="2"/>
  <c r="L335" i="2"/>
  <c r="D335" i="2"/>
  <c r="AF334" i="2"/>
  <c r="X334" i="2"/>
  <c r="P334" i="2"/>
  <c r="H334" i="2"/>
  <c r="AJ333" i="2"/>
  <c r="AB333" i="2"/>
  <c r="T333" i="2"/>
  <c r="L333" i="2"/>
  <c r="D333" i="2"/>
  <c r="AF332" i="2"/>
  <c r="X332" i="2"/>
  <c r="P332" i="2"/>
  <c r="H332" i="2"/>
  <c r="AJ331" i="2"/>
  <c r="AB331" i="2"/>
  <c r="T331" i="2"/>
  <c r="L331" i="2"/>
  <c r="D331" i="2"/>
  <c r="AH337" i="2"/>
  <c r="Z337" i="2"/>
  <c r="R337" i="2"/>
  <c r="J337" i="2"/>
  <c r="AL336" i="2"/>
  <c r="AD336" i="2"/>
  <c r="V336" i="2"/>
  <c r="N336" i="2"/>
  <c r="F336" i="2"/>
  <c r="AH335" i="2"/>
  <c r="Z335" i="2"/>
  <c r="R335" i="2"/>
  <c r="J335" i="2"/>
  <c r="AL334" i="2"/>
  <c r="AD334" i="2"/>
  <c r="V334" i="2"/>
  <c r="N334" i="2"/>
  <c r="F334" i="2"/>
  <c r="AH333" i="2"/>
  <c r="Z333" i="2"/>
  <c r="R333" i="2"/>
  <c r="J333" i="2"/>
  <c r="AL332" i="2"/>
  <c r="AD332" i="2"/>
  <c r="V332" i="2"/>
  <c r="N332" i="2"/>
  <c r="F332" i="2"/>
  <c r="AH331" i="2"/>
  <c r="Z331" i="2"/>
  <c r="R331" i="2"/>
  <c r="J331" i="2"/>
  <c r="AG337" i="2"/>
  <c r="Y337" i="2"/>
  <c r="Q337" i="2"/>
  <c r="I337" i="2"/>
  <c r="AK336" i="2"/>
  <c r="AC336" i="2"/>
  <c r="AE337" i="2"/>
  <c r="W337" i="2"/>
  <c r="O337" i="2"/>
  <c r="G337" i="2"/>
  <c r="AI336" i="2"/>
  <c r="AA336" i="2"/>
  <c r="S336" i="2"/>
  <c r="K336" i="2"/>
  <c r="C336" i="2"/>
  <c r="AE335" i="2"/>
  <c r="W335" i="2"/>
  <c r="O335" i="2"/>
  <c r="G335" i="2"/>
  <c r="AI334" i="2"/>
  <c r="AA334" i="2"/>
  <c r="S334" i="2"/>
  <c r="K334" i="2"/>
  <c r="C334" i="2"/>
  <c r="AE333" i="2"/>
  <c r="W333" i="2"/>
  <c r="O333" i="2"/>
  <c r="G333" i="2"/>
  <c r="AI332" i="2"/>
  <c r="AA332" i="2"/>
  <c r="S332" i="2"/>
  <c r="K332" i="2"/>
  <c r="C332" i="2"/>
  <c r="G331" i="2"/>
  <c r="O331" i="2"/>
  <c r="W331" i="2"/>
  <c r="AE331" i="2"/>
  <c r="H331" i="2"/>
  <c r="P331" i="2"/>
  <c r="X331" i="2"/>
  <c r="AF331" i="2"/>
  <c r="D332" i="2"/>
  <c r="L332" i="2"/>
  <c r="T332" i="2"/>
  <c r="AB332" i="2"/>
  <c r="AJ332" i="2"/>
  <c r="C283" i="2"/>
  <c r="AE283" i="2"/>
  <c r="W283" i="2"/>
  <c r="O283" i="2"/>
  <c r="G283" i="2"/>
  <c r="AI279" i="2"/>
  <c r="AA279" i="2"/>
  <c r="S279" i="2"/>
  <c r="K279" i="2"/>
  <c r="AI280" i="2"/>
  <c r="S280" i="2"/>
  <c r="K280" i="2"/>
  <c r="C281" i="2"/>
  <c r="C279" i="2"/>
  <c r="AH280" i="2"/>
  <c r="Z280" i="2"/>
  <c r="R280" i="2"/>
  <c r="C289" i="2" s="1"/>
  <c r="J280" i="2"/>
  <c r="AH282" i="2"/>
  <c r="Z282" i="2"/>
  <c r="R282" i="2"/>
  <c r="C291" i="2" s="1"/>
  <c r="J282" i="2"/>
  <c r="C284" i="2"/>
  <c r="AI284" i="2"/>
  <c r="AA284" i="2"/>
  <c r="S284" i="2"/>
  <c r="K284" i="2"/>
  <c r="AD283" i="2"/>
  <c r="V283" i="2"/>
  <c r="N283" i="2"/>
  <c r="F283" i="2"/>
  <c r="AH279" i="2"/>
  <c r="Z279" i="2"/>
  <c r="R279" i="2"/>
  <c r="C288" i="2" s="1"/>
  <c r="J279" i="2"/>
  <c r="AH284" i="2"/>
  <c r="AG285" i="2"/>
  <c r="Y285" i="2"/>
  <c r="Q285" i="2"/>
  <c r="I285" i="2"/>
  <c r="AF280" i="2"/>
  <c r="X280" i="2"/>
  <c r="P280" i="2"/>
  <c r="H280" i="2"/>
  <c r="AF285" i="2"/>
  <c r="X285" i="2"/>
  <c r="P285" i="2"/>
  <c r="H285" i="2"/>
  <c r="AG282" i="2"/>
  <c r="Y282" i="2"/>
  <c r="Q282" i="2"/>
  <c r="I282" i="2"/>
  <c r="C285" i="2"/>
  <c r="Z284" i="2"/>
  <c r="R284" i="2"/>
  <c r="C293" i="2" s="1"/>
  <c r="J284" i="2"/>
  <c r="AK283" i="2"/>
  <c r="AC283" i="2"/>
  <c r="U283" i="2"/>
  <c r="M283" i="2"/>
  <c r="E283" i="2"/>
  <c r="AF282" i="2"/>
  <c r="X282" i="2"/>
  <c r="P282" i="2"/>
  <c r="H282" i="2"/>
  <c r="AI281" i="2"/>
  <c r="AA281" i="2"/>
  <c r="S281" i="2"/>
  <c r="K281" i="2"/>
  <c r="AG279" i="2"/>
  <c r="Y279" i="2"/>
  <c r="Q279" i="2"/>
  <c r="I279" i="2"/>
  <c r="AG284" i="2"/>
  <c r="Y284" i="2"/>
  <c r="Q284" i="2"/>
  <c r="I284" i="2"/>
  <c r="AJ283" i="2"/>
  <c r="AB283" i="2"/>
  <c r="D292" i="2" s="1"/>
  <c r="T283" i="2"/>
  <c r="L283" i="2"/>
  <c r="D283" i="2"/>
  <c r="AE282" i="2"/>
  <c r="W282" i="2"/>
  <c r="O282" i="2"/>
  <c r="G282" i="2"/>
  <c r="AH281" i="2"/>
  <c r="Z281" i="2"/>
  <c r="R281" i="2"/>
  <c r="C290" i="2" s="1"/>
  <c r="J281" i="2"/>
  <c r="AK280" i="2"/>
  <c r="AC280" i="2"/>
  <c r="U280" i="2"/>
  <c r="M280" i="2"/>
  <c r="E280" i="2"/>
  <c r="AF279" i="2"/>
  <c r="X279" i="2"/>
  <c r="P279" i="2"/>
  <c r="H279" i="2"/>
  <c r="AF284" i="2"/>
  <c r="X284" i="2"/>
  <c r="P284" i="2"/>
  <c r="H284" i="2"/>
  <c r="AI283" i="2"/>
  <c r="AA283" i="2"/>
  <c r="S283" i="2"/>
  <c r="K283" i="2"/>
  <c r="AG281" i="2"/>
  <c r="Y281" i="2"/>
  <c r="Q281" i="2"/>
  <c r="I281" i="2"/>
  <c r="AE279" i="2"/>
  <c r="W279" i="2"/>
  <c r="O279" i="2"/>
  <c r="G279" i="2"/>
  <c r="C282" i="2"/>
  <c r="AJ281" i="2"/>
  <c r="AB281" i="2"/>
  <c r="D290" i="2" s="1"/>
  <c r="T281" i="2"/>
  <c r="L281" i="2"/>
  <c r="D281" i="2"/>
  <c r="AE280" i="2"/>
  <c r="W280" i="2"/>
  <c r="O280" i="2"/>
  <c r="G280" i="2"/>
  <c r="AA280" i="2"/>
  <c r="AK285" i="2"/>
  <c r="AC285" i="2"/>
  <c r="U285" i="2"/>
  <c r="M285" i="2"/>
  <c r="E285" i="2"/>
  <c r="AD282" i="2"/>
  <c r="V282" i="2"/>
  <c r="N282" i="2"/>
  <c r="F282" i="2"/>
  <c r="AJ280" i="2"/>
  <c r="AB280" i="2"/>
  <c r="D289" i="2" s="1"/>
  <c r="T280" i="2"/>
  <c r="L280" i="2"/>
  <c r="D280" i="2"/>
  <c r="AJ285" i="2"/>
  <c r="AB285" i="2"/>
  <c r="D294" i="2" s="1"/>
  <c r="T285" i="2"/>
  <c r="L285" i="2"/>
  <c r="D285" i="2"/>
  <c r="AE284" i="2"/>
  <c r="W284" i="2"/>
  <c r="O284" i="2"/>
  <c r="G284" i="2"/>
  <c r="AH283" i="2"/>
  <c r="Z283" i="2"/>
  <c r="R283" i="2"/>
  <c r="C292" i="2" s="1"/>
  <c r="J283" i="2"/>
  <c r="AK282" i="2"/>
  <c r="AC282" i="2"/>
  <c r="U282" i="2"/>
  <c r="M282" i="2"/>
  <c r="E282" i="2"/>
  <c r="AF281" i="2"/>
  <c r="X281" i="2"/>
  <c r="P281" i="2"/>
  <c r="H281" i="2"/>
  <c r="AD279" i="2"/>
  <c r="V279" i="2"/>
  <c r="N279" i="2"/>
  <c r="F279" i="2"/>
  <c r="AI285" i="2"/>
  <c r="AA285" i="2"/>
  <c r="S285" i="2"/>
  <c r="K285" i="2"/>
  <c r="AD284" i="2"/>
  <c r="V284" i="2"/>
  <c r="N284" i="2"/>
  <c r="F284" i="2"/>
  <c r="AG283" i="2"/>
  <c r="Y283" i="2"/>
  <c r="Q283" i="2"/>
  <c r="I283" i="2"/>
  <c r="AJ282" i="2"/>
  <c r="AB282" i="2"/>
  <c r="D291" i="2" s="1"/>
  <c r="T282" i="2"/>
  <c r="L282" i="2"/>
  <c r="D282" i="2"/>
  <c r="AK279" i="2"/>
  <c r="AC279" i="2"/>
  <c r="U279" i="2"/>
  <c r="M279" i="2"/>
  <c r="E279" i="2"/>
  <c r="AH285" i="2"/>
  <c r="Z285" i="2"/>
  <c r="R285" i="2"/>
  <c r="C294" i="2" s="1"/>
  <c r="J285" i="2"/>
  <c r="AK284" i="2"/>
  <c r="AC284" i="2"/>
  <c r="U284" i="2"/>
  <c r="M284" i="2"/>
  <c r="E284" i="2"/>
  <c r="AF283" i="2"/>
  <c r="X283" i="2"/>
  <c r="P283" i="2"/>
  <c r="H283" i="2"/>
  <c r="AI282" i="2"/>
  <c r="AA282" i="2"/>
  <c r="S282" i="2"/>
  <c r="K282" i="2"/>
  <c r="AD281" i="2"/>
  <c r="V281" i="2"/>
  <c r="N281" i="2"/>
  <c r="F281" i="2"/>
  <c r="AG280" i="2"/>
  <c r="Y280" i="2"/>
  <c r="Q280" i="2"/>
  <c r="I280" i="2"/>
  <c r="AJ279" i="2"/>
  <c r="AB279" i="2"/>
  <c r="D288" i="2" s="1"/>
  <c r="T279" i="2"/>
  <c r="L279" i="2"/>
  <c r="D279" i="2"/>
  <c r="AD285" i="2"/>
  <c r="V285" i="2"/>
  <c r="N285" i="2"/>
  <c r="F285" i="2"/>
  <c r="AJ284" i="2"/>
  <c r="AB284" i="2"/>
  <c r="D293" i="2" s="1"/>
  <c r="T284" i="2"/>
  <c r="L284" i="2"/>
  <c r="D284" i="2"/>
  <c r="AK281" i="2"/>
  <c r="AC281" i="2"/>
  <c r="U281" i="2"/>
  <c r="M281" i="2"/>
  <c r="E281" i="2"/>
  <c r="C280" i="2"/>
  <c r="AE285" i="2"/>
  <c r="W285" i="2"/>
  <c r="O285" i="2"/>
  <c r="G285" i="2"/>
  <c r="AD280" i="2"/>
  <c r="V280" i="2"/>
  <c r="N280" i="2"/>
  <c r="F280" i="2"/>
  <c r="G281" i="2"/>
  <c r="O281" i="2"/>
  <c r="W281" i="2"/>
  <c r="AE281" i="2"/>
  <c r="F69" i="2" l="1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AL190" i="2" l="1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AL186" i="2"/>
  <c r="AK186" i="2"/>
  <c r="AJ186" i="2"/>
  <c r="AI186" i="2"/>
  <c r="AH186" i="2"/>
  <c r="AG186" i="2"/>
  <c r="AF186" i="2"/>
  <c r="AE186" i="2"/>
  <c r="AD186" i="2"/>
  <c r="AC186" i="2"/>
  <c r="AB186" i="2"/>
  <c r="AA186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AL185" i="2"/>
  <c r="AK185" i="2"/>
  <c r="AJ185" i="2"/>
  <c r="AI185" i="2"/>
  <c r="AH185" i="2"/>
  <c r="AG185" i="2"/>
  <c r="AF185" i="2"/>
  <c r="AE185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AL184" i="2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90" i="2"/>
  <c r="C189" i="2"/>
  <c r="C188" i="2"/>
  <c r="C187" i="2"/>
  <c r="C186" i="2"/>
  <c r="C185" i="2"/>
  <c r="C184" i="2"/>
  <c r="D146" i="2"/>
  <c r="C151" i="2"/>
  <c r="D147" i="2" l="1"/>
  <c r="D152" i="2"/>
  <c r="C152" i="2"/>
  <c r="E151" i="2"/>
  <c r="D153" i="2"/>
  <c r="E152" i="2"/>
  <c r="C146" i="2"/>
  <c r="E146" i="2"/>
  <c r="D149" i="2" l="1"/>
  <c r="D151" i="2"/>
  <c r="C147" i="2"/>
  <c r="E148" i="2"/>
  <c r="C149" i="2"/>
  <c r="E150" i="2"/>
  <c r="C153" i="2"/>
  <c r="D148" i="2"/>
  <c r="D150" i="2"/>
  <c r="E147" i="2"/>
  <c r="C148" i="2"/>
  <c r="E149" i="2"/>
  <c r="C150" i="2"/>
  <c r="E153" i="2"/>
  <c r="AL75" i="2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E159" i="2" l="1"/>
  <c r="C157" i="2"/>
  <c r="E161" i="2"/>
  <c r="D161" i="2"/>
  <c r="C161" i="2"/>
  <c r="E160" i="2"/>
  <c r="C160" i="2"/>
  <c r="C159" i="2"/>
  <c r="E158" i="2"/>
  <c r="D158" i="2"/>
  <c r="C158" i="2"/>
  <c r="E157" i="2"/>
  <c r="D157" i="2"/>
  <c r="C156" i="2"/>
  <c r="D160" i="2"/>
  <c r="D156" i="2"/>
  <c r="E156" i="2" l="1"/>
  <c r="D159" i="2"/>
  <c r="B65" i="2" l="1"/>
  <c r="B73" i="2" s="1"/>
  <c r="B64" i="2"/>
  <c r="B67" i="2" s="1"/>
  <c r="AD216" i="2" l="1"/>
  <c r="AD99" i="2"/>
  <c r="AD198" i="2"/>
  <c r="Z217" i="2"/>
  <c r="R218" i="2"/>
  <c r="C228" i="2" s="1"/>
  <c r="R259" i="2"/>
  <c r="J220" i="2"/>
  <c r="J198" i="2"/>
  <c r="F219" i="2"/>
  <c r="AG210" i="2"/>
  <c r="AG256" i="2"/>
  <c r="Y256" i="2"/>
  <c r="Y258" i="2"/>
  <c r="Q220" i="2"/>
  <c r="Q210" i="2"/>
  <c r="Q209" i="2" s="1"/>
  <c r="Q258" i="2"/>
  <c r="Q256" i="2"/>
  <c r="E256" i="2"/>
  <c r="AJ219" i="2"/>
  <c r="AJ210" i="2"/>
  <c r="AF223" i="2"/>
  <c r="AF210" i="2"/>
  <c r="AF260" i="2"/>
  <c r="AF257" i="2"/>
  <c r="AF256" i="2"/>
  <c r="AF258" i="2"/>
  <c r="P257" i="2"/>
  <c r="P256" i="2"/>
  <c r="P258" i="2"/>
  <c r="H261" i="2"/>
  <c r="H257" i="2"/>
  <c r="H256" i="2"/>
  <c r="H258" i="2"/>
  <c r="D99" i="2"/>
  <c r="AH60" i="2"/>
  <c r="AH65" i="2"/>
  <c r="AH64" i="2"/>
  <c r="V198" i="2"/>
  <c r="AK60" i="2"/>
  <c r="AK65" i="2"/>
  <c r="AK64" i="2"/>
  <c r="AC60" i="2"/>
  <c r="AC65" i="2"/>
  <c r="AC64" i="2"/>
  <c r="U60" i="2"/>
  <c r="U65" i="2"/>
  <c r="U64" i="2"/>
  <c r="U210" i="2"/>
  <c r="M60" i="2"/>
  <c r="M65" i="2"/>
  <c r="M64" i="2"/>
  <c r="I60" i="2"/>
  <c r="I65" i="2"/>
  <c r="I64" i="2"/>
  <c r="I257" i="2"/>
  <c r="AI60" i="2"/>
  <c r="AI65" i="2"/>
  <c r="AI64" i="2"/>
  <c r="AE60" i="2"/>
  <c r="AE65" i="2"/>
  <c r="AE64" i="2"/>
  <c r="AA60" i="2"/>
  <c r="AA65" i="2"/>
  <c r="AA64" i="2"/>
  <c r="W60" i="2"/>
  <c r="W65" i="2"/>
  <c r="W64" i="2"/>
  <c r="S60" i="2"/>
  <c r="S65" i="2"/>
  <c r="S64" i="2"/>
  <c r="O60" i="2"/>
  <c r="O65" i="2"/>
  <c r="O64" i="2"/>
  <c r="K60" i="2"/>
  <c r="K65" i="2"/>
  <c r="K64" i="2"/>
  <c r="G65" i="2"/>
  <c r="G64" i="2"/>
  <c r="C219" i="2"/>
  <c r="AJ261" i="2" l="1"/>
  <c r="H260" i="2"/>
  <c r="AB258" i="2"/>
  <c r="AF261" i="2"/>
  <c r="AJ256" i="2"/>
  <c r="E257" i="2"/>
  <c r="AG99" i="2"/>
  <c r="AG98" i="2" s="1"/>
  <c r="AG216" i="2"/>
  <c r="F259" i="2"/>
  <c r="F210" i="2"/>
  <c r="F209" i="2" s="1"/>
  <c r="Z216" i="2"/>
  <c r="AD98" i="2"/>
  <c r="P260" i="2"/>
  <c r="T260" i="2"/>
  <c r="AF209" i="2"/>
  <c r="AF220" i="2"/>
  <c r="C259" i="2"/>
  <c r="K260" i="2"/>
  <c r="E218" i="2"/>
  <c r="Y257" i="2"/>
  <c r="Z259" i="2"/>
  <c r="AD244" i="2"/>
  <c r="AD223" i="2"/>
  <c r="O218" i="2"/>
  <c r="I261" i="2"/>
  <c r="P261" i="2"/>
  <c r="AJ209" i="2"/>
  <c r="AG218" i="2"/>
  <c r="C258" i="2"/>
  <c r="C220" i="2"/>
  <c r="S210" i="2"/>
  <c r="S209" i="2" s="1"/>
  <c r="W223" i="2"/>
  <c r="AE218" i="2"/>
  <c r="AI99" i="2"/>
  <c r="AI98" i="2" s="1"/>
  <c r="AC198" i="2"/>
  <c r="AC197" i="2" s="1"/>
  <c r="AC218" i="2"/>
  <c r="V259" i="2"/>
  <c r="D98" i="2"/>
  <c r="J218" i="2"/>
  <c r="AA256" i="2"/>
  <c r="F216" i="2"/>
  <c r="F223" i="2"/>
  <c r="Z210" i="2"/>
  <c r="Z209" i="2" s="1"/>
  <c r="Q261" i="2"/>
  <c r="J210" i="2"/>
  <c r="J222" i="2" s="1"/>
  <c r="J259" i="2"/>
  <c r="G223" i="2"/>
  <c r="U260" i="2"/>
  <c r="J219" i="2"/>
  <c r="Z244" i="2"/>
  <c r="K223" i="2"/>
  <c r="D198" i="2"/>
  <c r="D197" i="2" s="1"/>
  <c r="C210" i="2"/>
  <c r="G261" i="2"/>
  <c r="AE210" i="2"/>
  <c r="AE209" i="2" s="1"/>
  <c r="AE217" i="2"/>
  <c r="M99" i="2"/>
  <c r="M98" i="2" s="1"/>
  <c r="O99" i="2"/>
  <c r="O98" i="2" s="1"/>
  <c r="W218" i="2"/>
  <c r="AE259" i="2"/>
  <c r="U258" i="2"/>
  <c r="AC261" i="2"/>
  <c r="AK256" i="2"/>
  <c r="N217" i="2"/>
  <c r="Y220" i="2"/>
  <c r="O198" i="2"/>
  <c r="O197" i="2" s="1"/>
  <c r="L256" i="2"/>
  <c r="L217" i="2"/>
  <c r="P223" i="2"/>
  <c r="T261" i="2"/>
  <c r="X256" i="2"/>
  <c r="AG257" i="2"/>
  <c r="W256" i="2"/>
  <c r="AC220" i="2"/>
  <c r="D260" i="2"/>
  <c r="H217" i="2"/>
  <c r="AB257" i="2"/>
  <c r="AB223" i="2"/>
  <c r="D233" i="2" s="1"/>
  <c r="AJ260" i="2"/>
  <c r="AD219" i="2"/>
  <c r="K256" i="2"/>
  <c r="O210" i="2"/>
  <c r="O209" i="2" s="1"/>
  <c r="AA260" i="2"/>
  <c r="I223" i="2"/>
  <c r="U223" i="2"/>
  <c r="U209" i="2"/>
  <c r="U219" i="2"/>
  <c r="U216" i="2"/>
  <c r="AC260" i="2"/>
  <c r="AK210" i="2"/>
  <c r="AK209" i="2" s="1"/>
  <c r="N256" i="2"/>
  <c r="V257" i="2"/>
  <c r="V218" i="2"/>
  <c r="AH244" i="2"/>
  <c r="D218" i="2"/>
  <c r="P198" i="2"/>
  <c r="P197" i="2" s="1"/>
  <c r="X219" i="2"/>
  <c r="AB218" i="2"/>
  <c r="D228" i="2" s="1"/>
  <c r="Q219" i="2"/>
  <c r="Q218" i="2"/>
  <c r="Y261" i="2"/>
  <c r="U259" i="2"/>
  <c r="G256" i="2"/>
  <c r="K99" i="2"/>
  <c r="K98" i="2" s="1"/>
  <c r="O259" i="2"/>
  <c r="O219" i="2"/>
  <c r="AA99" i="2"/>
  <c r="AA98" i="2" s="1"/>
  <c r="AE219" i="2"/>
  <c r="I258" i="2"/>
  <c r="I210" i="2"/>
  <c r="I209" i="2" s="1"/>
  <c r="AK260" i="2"/>
  <c r="AK218" i="2"/>
  <c r="V256" i="2"/>
  <c r="V210" i="2"/>
  <c r="V209" i="2" s="1"/>
  <c r="AH99" i="2"/>
  <c r="AH98" i="2" s="1"/>
  <c r="AH223" i="2"/>
  <c r="D219" i="2"/>
  <c r="D223" i="2"/>
  <c r="L258" i="2"/>
  <c r="C198" i="2"/>
  <c r="C197" i="2" s="1"/>
  <c r="O261" i="2"/>
  <c r="H198" i="2"/>
  <c r="H197" i="2" s="1"/>
  <c r="H218" i="2"/>
  <c r="L261" i="2"/>
  <c r="T219" i="2"/>
  <c r="C218" i="2"/>
  <c r="G259" i="2"/>
  <c r="G217" i="2"/>
  <c r="G218" i="2"/>
  <c r="K210" i="2"/>
  <c r="K209" i="2" s="1"/>
  <c r="O216" i="2"/>
  <c r="W257" i="2"/>
  <c r="W219" i="2"/>
  <c r="W210" i="2"/>
  <c r="W209" i="2" s="1"/>
  <c r="AA223" i="2"/>
  <c r="AE261" i="2"/>
  <c r="AE198" i="2"/>
  <c r="AE197" i="2" s="1"/>
  <c r="AI257" i="2"/>
  <c r="AI198" i="2"/>
  <c r="AI197" i="2" s="1"/>
  <c r="I260" i="2"/>
  <c r="I256" i="2"/>
  <c r="M256" i="2"/>
  <c r="M244" i="2"/>
  <c r="M216" i="2"/>
  <c r="U261" i="2"/>
  <c r="U244" i="2"/>
  <c r="AC223" i="2"/>
  <c r="AC99" i="2"/>
  <c r="AC98" i="2" s="1"/>
  <c r="AK261" i="2"/>
  <c r="AK99" i="2"/>
  <c r="AK98" i="2" s="1"/>
  <c r="N258" i="2"/>
  <c r="N219" i="2"/>
  <c r="N210" i="2"/>
  <c r="N209" i="2" s="1"/>
  <c r="V216" i="2"/>
  <c r="V220" i="2"/>
  <c r="AH256" i="2"/>
  <c r="D261" i="2"/>
  <c r="H216" i="2"/>
  <c r="AB259" i="2"/>
  <c r="E210" i="2"/>
  <c r="E209" i="2" s="1"/>
  <c r="Q223" i="2"/>
  <c r="Y99" i="2"/>
  <c r="Y98" i="2" s="1"/>
  <c r="Y198" i="2"/>
  <c r="Y197" i="2" s="1"/>
  <c r="R220" i="2"/>
  <c r="C230" i="2" s="1"/>
  <c r="AD259" i="2"/>
  <c r="S99" i="2"/>
  <c r="S98" i="2" s="1"/>
  <c r="X217" i="2"/>
  <c r="AC257" i="2"/>
  <c r="L259" i="2"/>
  <c r="P218" i="2"/>
  <c r="T218" i="2"/>
  <c r="X99" i="2"/>
  <c r="X98" i="2" s="1"/>
  <c r="AB261" i="2"/>
  <c r="Z198" i="2"/>
  <c r="C256" i="2"/>
  <c r="S220" i="2"/>
  <c r="AA217" i="2"/>
  <c r="AI223" i="2"/>
  <c r="I244" i="2"/>
  <c r="I220" i="2"/>
  <c r="I219" i="2"/>
  <c r="M198" i="2"/>
  <c r="M197" i="2" s="1"/>
  <c r="AK223" i="2"/>
  <c r="AH210" i="2"/>
  <c r="AH209" i="2" s="1"/>
  <c r="D210" i="2"/>
  <c r="D209" i="2" s="1"/>
  <c r="P244" i="2"/>
  <c r="AB210" i="2"/>
  <c r="AB209" i="2" s="1"/>
  <c r="AB216" i="2"/>
  <c r="D226" i="2" s="1"/>
  <c r="E258" i="2"/>
  <c r="Q260" i="2"/>
  <c r="AG220" i="2"/>
  <c r="O258" i="2"/>
  <c r="S258" i="2"/>
  <c r="M223" i="2"/>
  <c r="AK257" i="2"/>
  <c r="AH258" i="2"/>
  <c r="L219" i="2"/>
  <c r="P219" i="2"/>
  <c r="X258" i="2"/>
  <c r="AB244" i="2"/>
  <c r="AB99" i="2"/>
  <c r="AB98" i="2" s="1"/>
  <c r="E223" i="2"/>
  <c r="C99" i="2"/>
  <c r="C98" i="2" s="1"/>
  <c r="O257" i="2"/>
  <c r="O220" i="2"/>
  <c r="AI220" i="2"/>
  <c r="R223" i="2"/>
  <c r="C233" i="2" s="1"/>
  <c r="AD220" i="2"/>
  <c r="AD217" i="2"/>
  <c r="C261" i="2"/>
  <c r="C257" i="2"/>
  <c r="C255" i="2"/>
  <c r="C235" i="2"/>
  <c r="C216" i="2"/>
  <c r="G219" i="2"/>
  <c r="G210" i="2"/>
  <c r="G209" i="2" s="1"/>
  <c r="G198" i="2"/>
  <c r="G197" i="2" s="1"/>
  <c r="K259" i="2"/>
  <c r="K217" i="2"/>
  <c r="K219" i="2"/>
  <c r="O244" i="2"/>
  <c r="S259" i="2"/>
  <c r="S261" i="2"/>
  <c r="S244" i="2"/>
  <c r="S217" i="2"/>
  <c r="S198" i="2"/>
  <c r="S216" i="2"/>
  <c r="W258" i="2"/>
  <c r="AA258" i="2"/>
  <c r="AA219" i="2"/>
  <c r="AA210" i="2"/>
  <c r="AA209" i="2" s="1"/>
  <c r="AE257" i="2"/>
  <c r="AE244" i="2"/>
  <c r="AE220" i="2"/>
  <c r="AI258" i="2"/>
  <c r="AI244" i="2"/>
  <c r="AI216" i="2"/>
  <c r="I255" i="2"/>
  <c r="I235" i="2"/>
  <c r="I99" i="2"/>
  <c r="I98" i="2" s="1"/>
  <c r="M258" i="2"/>
  <c r="M218" i="2"/>
  <c r="AC210" i="2"/>
  <c r="AC209" i="2" s="1"/>
  <c r="AK259" i="2"/>
  <c r="N198" i="2"/>
  <c r="N218" i="2"/>
  <c r="V244" i="2"/>
  <c r="V99" i="2"/>
  <c r="V98" i="2" s="1"/>
  <c r="V65" i="2"/>
  <c r="AH259" i="2"/>
  <c r="AH261" i="2"/>
  <c r="AH220" i="2"/>
  <c r="D257" i="2"/>
  <c r="D220" i="2"/>
  <c r="H259" i="2"/>
  <c r="P210" i="2"/>
  <c r="P209" i="2" s="1"/>
  <c r="P217" i="2"/>
  <c r="P60" i="2"/>
  <c r="T257" i="2"/>
  <c r="X261" i="2"/>
  <c r="X244" i="2"/>
  <c r="X210" i="2"/>
  <c r="X209" i="2" s="1"/>
  <c r="X220" i="2"/>
  <c r="X218" i="2"/>
  <c r="X64" i="2"/>
  <c r="X60" i="2"/>
  <c r="AB255" i="2"/>
  <c r="AB235" i="2"/>
  <c r="AB198" i="2"/>
  <c r="AB217" i="2"/>
  <c r="D227" i="2" s="1"/>
  <c r="AF99" i="2"/>
  <c r="AF98" i="2" s="1"/>
  <c r="AF219" i="2"/>
  <c r="AJ257" i="2"/>
  <c r="AJ99" i="2"/>
  <c r="AJ98" i="2" s="1"/>
  <c r="AJ220" i="2"/>
  <c r="AJ217" i="2"/>
  <c r="E260" i="2"/>
  <c r="E244" i="2"/>
  <c r="E65" i="2"/>
  <c r="Q257" i="2"/>
  <c r="Q217" i="2"/>
  <c r="Y260" i="2"/>
  <c r="Y210" i="2"/>
  <c r="Y209" i="2" s="1"/>
  <c r="Y219" i="2"/>
  <c r="Y216" i="2"/>
  <c r="Y65" i="2"/>
  <c r="AG260" i="2"/>
  <c r="AG209" i="2"/>
  <c r="AG198" i="2"/>
  <c r="AG222" i="2" s="1"/>
  <c r="F260" i="2"/>
  <c r="F218" i="2"/>
  <c r="J258" i="2"/>
  <c r="J216" i="2"/>
  <c r="J223" i="2"/>
  <c r="J64" i="2"/>
  <c r="J65" i="2"/>
  <c r="R258" i="2"/>
  <c r="R219" i="2"/>
  <c r="C229" i="2" s="1"/>
  <c r="Z260" i="2"/>
  <c r="AD218" i="2"/>
  <c r="C244" i="2"/>
  <c r="AI87" i="2"/>
  <c r="AI86" i="2" s="1"/>
  <c r="S87" i="2"/>
  <c r="S86" i="2" s="1"/>
  <c r="C87" i="2"/>
  <c r="C86" i="2" s="1"/>
  <c r="AH87" i="2"/>
  <c r="AH86" i="2" s="1"/>
  <c r="Z87" i="2"/>
  <c r="Z86" i="2" s="1"/>
  <c r="R87" i="2"/>
  <c r="R86" i="2" s="1"/>
  <c r="J87" i="2"/>
  <c r="J86" i="2" s="1"/>
  <c r="AG87" i="2"/>
  <c r="AG86" i="2" s="1"/>
  <c r="Y87" i="2"/>
  <c r="Y86" i="2" s="1"/>
  <c r="AF87" i="2"/>
  <c r="AF86" i="2" s="1"/>
  <c r="X87" i="2"/>
  <c r="X86" i="2" s="1"/>
  <c r="P87" i="2"/>
  <c r="P86" i="2" s="1"/>
  <c r="AE87" i="2"/>
  <c r="AE86" i="2" s="1"/>
  <c r="W87" i="2"/>
  <c r="W86" i="2" s="1"/>
  <c r="O87" i="2"/>
  <c r="O86" i="2" s="1"/>
  <c r="G87" i="2"/>
  <c r="G86" i="2" s="1"/>
  <c r="AD87" i="2"/>
  <c r="AD86" i="2" s="1"/>
  <c r="V87" i="2"/>
  <c r="V86" i="2" s="1"/>
  <c r="N87" i="2"/>
  <c r="N86" i="2" s="1"/>
  <c r="AK87" i="2"/>
  <c r="AK86" i="2" s="1"/>
  <c r="AC87" i="2"/>
  <c r="AC86" i="2" s="1"/>
  <c r="U87" i="2"/>
  <c r="U86" i="2" s="1"/>
  <c r="M87" i="2"/>
  <c r="M86" i="2" s="1"/>
  <c r="AJ87" i="2"/>
  <c r="AJ86" i="2" s="1"/>
  <c r="AB87" i="2"/>
  <c r="D87" i="2"/>
  <c r="D86" i="2" s="1"/>
  <c r="G99" i="2"/>
  <c r="G98" i="2" s="1"/>
  <c r="K258" i="2"/>
  <c r="O256" i="2"/>
  <c r="S256" i="2"/>
  <c r="AA259" i="2"/>
  <c r="AA257" i="2"/>
  <c r="AI259" i="2"/>
  <c r="U255" i="2"/>
  <c r="U235" i="2"/>
  <c r="N259" i="2"/>
  <c r="V255" i="2"/>
  <c r="V235" i="2"/>
  <c r="AH217" i="2"/>
  <c r="D244" i="2"/>
  <c r="D64" i="2"/>
  <c r="H65" i="2"/>
  <c r="L210" i="2"/>
  <c r="L209" i="2" s="1"/>
  <c r="P99" i="2"/>
  <c r="P98" i="2" s="1"/>
  <c r="T259" i="2"/>
  <c r="T244" i="2"/>
  <c r="T87" i="2"/>
  <c r="T86" i="2" s="1"/>
  <c r="T210" i="2"/>
  <c r="T209" i="2" s="1"/>
  <c r="T64" i="2"/>
  <c r="X216" i="2"/>
  <c r="AF217" i="2"/>
  <c r="E87" i="2"/>
  <c r="E86" i="2" s="1"/>
  <c r="Q60" i="2"/>
  <c r="F99" i="2"/>
  <c r="F98" i="2" s="1"/>
  <c r="F64" i="2"/>
  <c r="J257" i="2"/>
  <c r="R257" i="2"/>
  <c r="R99" i="2"/>
  <c r="AD255" i="2"/>
  <c r="AD235" i="2"/>
  <c r="AD197" i="2"/>
  <c r="G255" i="2"/>
  <c r="G235" i="2"/>
  <c r="G216" i="2"/>
  <c r="K257" i="2"/>
  <c r="O260" i="2"/>
  <c r="S260" i="2"/>
  <c r="W261" i="2"/>
  <c r="W99" i="2"/>
  <c r="W98" i="2" s="1"/>
  <c r="AA261" i="2"/>
  <c r="AA244" i="2"/>
  <c r="AE256" i="2"/>
  <c r="AI261" i="2"/>
  <c r="AI217" i="2"/>
  <c r="I259" i="2"/>
  <c r="M255" i="2"/>
  <c r="M235" i="2"/>
  <c r="U257" i="2"/>
  <c r="AC219" i="2"/>
  <c r="AK220" i="2"/>
  <c r="AK217" i="2"/>
  <c r="N257" i="2"/>
  <c r="N223" i="2"/>
  <c r="AH260" i="2"/>
  <c r="AH218" i="2"/>
  <c r="D259" i="2"/>
  <c r="D256" i="2"/>
  <c r="D65" i="2"/>
  <c r="H87" i="2"/>
  <c r="H86" i="2" s="1"/>
  <c r="H210" i="2"/>
  <c r="H209" i="2" s="1"/>
  <c r="L260" i="2"/>
  <c r="L99" i="2"/>
  <c r="L98" i="2" s="1"/>
  <c r="L223" i="2"/>
  <c r="T256" i="2"/>
  <c r="T99" i="2"/>
  <c r="T98" i="2" s="1"/>
  <c r="T198" i="2"/>
  <c r="X260" i="2"/>
  <c r="X65" i="2"/>
  <c r="D110" i="2"/>
  <c r="D119" i="2"/>
  <c r="D108" i="2"/>
  <c r="D117" i="2"/>
  <c r="AF259" i="2"/>
  <c r="AJ244" i="2"/>
  <c r="Q65" i="2"/>
  <c r="Q64" i="2"/>
  <c r="F255" i="2"/>
  <c r="F235" i="2"/>
  <c r="F87" i="2"/>
  <c r="F86" i="2" s="1"/>
  <c r="F65" i="2"/>
  <c r="J261" i="2"/>
  <c r="R261" i="2"/>
  <c r="R217" i="2"/>
  <c r="C227" i="2" s="1"/>
  <c r="R64" i="2"/>
  <c r="R65" i="2"/>
  <c r="Z255" i="2"/>
  <c r="Z235" i="2"/>
  <c r="C223" i="2"/>
  <c r="G258" i="2"/>
  <c r="G244" i="2"/>
  <c r="G220" i="2"/>
  <c r="K261" i="2"/>
  <c r="K244" i="2"/>
  <c r="K87" i="2"/>
  <c r="K86" i="2" s="1"/>
  <c r="K218" i="2"/>
  <c r="S219" i="2"/>
  <c r="S223" i="2"/>
  <c r="W244" i="2"/>
  <c r="W217" i="2"/>
  <c r="AA220" i="2"/>
  <c r="AA218" i="2"/>
  <c r="AE260" i="2"/>
  <c r="AE216" i="2"/>
  <c r="AI256" i="2"/>
  <c r="AI219" i="2"/>
  <c r="I87" i="2"/>
  <c r="I86" i="2" s="1"/>
  <c r="M260" i="2"/>
  <c r="M261" i="2"/>
  <c r="M220" i="2"/>
  <c r="U218" i="2"/>
  <c r="AC259" i="2"/>
  <c r="AC216" i="2"/>
  <c r="AK258" i="2"/>
  <c r="N261" i="2"/>
  <c r="N99" i="2"/>
  <c r="N98" i="2" s="1"/>
  <c r="V258" i="2"/>
  <c r="V217" i="2"/>
  <c r="AH216" i="2"/>
  <c r="H99" i="2"/>
  <c r="H98" i="2" s="1"/>
  <c r="H219" i="2"/>
  <c r="H223" i="2"/>
  <c r="L244" i="2"/>
  <c r="L64" i="2"/>
  <c r="L60" i="2"/>
  <c r="P220" i="2"/>
  <c r="P64" i="2"/>
  <c r="T65" i="2"/>
  <c r="T60" i="2"/>
  <c r="D114" i="2"/>
  <c r="D122" i="2"/>
  <c r="AJ64" i="2"/>
  <c r="AJ65" i="2"/>
  <c r="AJ60" i="2"/>
  <c r="Y255" i="2"/>
  <c r="Y235" i="2"/>
  <c r="Y259" i="2"/>
  <c r="Y217" i="2"/>
  <c r="Y64" i="2"/>
  <c r="AG259" i="2"/>
  <c r="AG64" i="2"/>
  <c r="F244" i="2"/>
  <c r="J244" i="2"/>
  <c r="J256" i="2"/>
  <c r="R256" i="2"/>
  <c r="C109" i="2"/>
  <c r="C118" i="2"/>
  <c r="R60" i="2"/>
  <c r="Z99" i="2"/>
  <c r="Z98" i="2" s="1"/>
  <c r="Z60" i="2"/>
  <c r="AD258" i="2"/>
  <c r="G257" i="2"/>
  <c r="K220" i="2"/>
  <c r="K216" i="2"/>
  <c r="O255" i="2"/>
  <c r="O235" i="2"/>
  <c r="O217" i="2"/>
  <c r="S255" i="2"/>
  <c r="S235" i="2"/>
  <c r="W259" i="2"/>
  <c r="W260" i="2"/>
  <c r="W220" i="2"/>
  <c r="AA87" i="2"/>
  <c r="AA86" i="2" s="1"/>
  <c r="AA216" i="2"/>
  <c r="AI260" i="2"/>
  <c r="AI210" i="2"/>
  <c r="AI209" i="2" s="1"/>
  <c r="U256" i="2"/>
  <c r="U99" i="2"/>
  <c r="U98" i="2" s="1"/>
  <c r="U198" i="2"/>
  <c r="U222" i="2" s="1"/>
  <c r="N220" i="2"/>
  <c r="V60" i="2"/>
  <c r="AH255" i="2"/>
  <c r="AH235" i="2"/>
  <c r="H255" i="2"/>
  <c r="H235" i="2"/>
  <c r="H244" i="2"/>
  <c r="L255" i="2"/>
  <c r="L235" i="2"/>
  <c r="L87" i="2"/>
  <c r="L86" i="2" s="1"/>
  <c r="L220" i="2"/>
  <c r="L218" i="2"/>
  <c r="X255" i="2"/>
  <c r="X235" i="2"/>
  <c r="X198" i="2"/>
  <c r="X197" i="2" s="1"/>
  <c r="AJ198" i="2"/>
  <c r="Q244" i="2"/>
  <c r="Q198" i="2"/>
  <c r="Q222" i="2" s="1"/>
  <c r="Y244" i="2"/>
  <c r="AG223" i="2"/>
  <c r="F258" i="2"/>
  <c r="J260" i="2"/>
  <c r="J217" i="2"/>
  <c r="R260" i="2"/>
  <c r="C110" i="2"/>
  <c r="C119" i="2"/>
  <c r="C108" i="2"/>
  <c r="C117" i="2"/>
  <c r="R216" i="2"/>
  <c r="C226" i="2" s="1"/>
  <c r="Z258" i="2"/>
  <c r="Z219" i="2"/>
  <c r="Z223" i="2"/>
  <c r="Z65" i="2"/>
  <c r="AD257" i="2"/>
  <c r="AD210" i="2"/>
  <c r="AD209" i="2" s="1"/>
  <c r="AD60" i="2"/>
  <c r="K198" i="2"/>
  <c r="K197" i="2" s="1"/>
  <c r="O223" i="2"/>
  <c r="AA198" i="2"/>
  <c r="AA197" i="2" s="1"/>
  <c r="AE255" i="2"/>
  <c r="AE235" i="2"/>
  <c r="I218" i="2"/>
  <c r="M217" i="2"/>
  <c r="U220" i="2"/>
  <c r="U217" i="2"/>
  <c r="AC256" i="2"/>
  <c r="AC255" i="2"/>
  <c r="AC235" i="2"/>
  <c r="AC217" i="2"/>
  <c r="AK255" i="2"/>
  <c r="AK235" i="2"/>
  <c r="N244" i="2"/>
  <c r="N260" i="2"/>
  <c r="N60" i="2"/>
  <c r="V261" i="2"/>
  <c r="V197" i="2"/>
  <c r="AH198" i="2"/>
  <c r="D255" i="2"/>
  <c r="D235" i="2"/>
  <c r="D216" i="2"/>
  <c r="H220" i="2"/>
  <c r="L216" i="2"/>
  <c r="P259" i="2"/>
  <c r="P255" i="2"/>
  <c r="P235" i="2"/>
  <c r="P216" i="2"/>
  <c r="T255" i="2"/>
  <c r="T235" i="2"/>
  <c r="T223" i="2"/>
  <c r="T216" i="2"/>
  <c r="X259" i="2"/>
  <c r="AB256" i="2"/>
  <c r="D109" i="2"/>
  <c r="D118" i="2"/>
  <c r="D111" i="2"/>
  <c r="D120" i="2"/>
  <c r="AB220" i="2"/>
  <c r="D230" i="2" s="1"/>
  <c r="AB64" i="2"/>
  <c r="AB65" i="2"/>
  <c r="AF218" i="2"/>
  <c r="AJ255" i="2"/>
  <c r="AJ235" i="2"/>
  <c r="AJ218" i="2"/>
  <c r="E64" i="2"/>
  <c r="Q259" i="2"/>
  <c r="Q216" i="2"/>
  <c r="Y223" i="2"/>
  <c r="AG255" i="2"/>
  <c r="AG235" i="2"/>
  <c r="AG258" i="2"/>
  <c r="AG244" i="2"/>
  <c r="AG217" i="2"/>
  <c r="AG60" i="2"/>
  <c r="F257" i="2"/>
  <c r="F198" i="2"/>
  <c r="F220" i="2"/>
  <c r="R244" i="2"/>
  <c r="C107" i="2"/>
  <c r="C114" i="2"/>
  <c r="C122" i="2"/>
  <c r="Z257" i="2"/>
  <c r="AD261" i="2"/>
  <c r="AD65" i="2"/>
  <c r="W255" i="2"/>
  <c r="W235" i="2"/>
  <c r="AA255" i="2"/>
  <c r="AA235" i="2"/>
  <c r="AE223" i="2"/>
  <c r="AI255" i="2"/>
  <c r="AI235" i="2"/>
  <c r="I216" i="2"/>
  <c r="AC258" i="2"/>
  <c r="N64" i="2"/>
  <c r="N65" i="2"/>
  <c r="L65" i="2"/>
  <c r="P65" i="2"/>
  <c r="X223" i="2"/>
  <c r="AB260" i="2"/>
  <c r="AB219" i="2"/>
  <c r="D229" i="2" s="1"/>
  <c r="D107" i="2"/>
  <c r="AF255" i="2"/>
  <c r="AF235" i="2"/>
  <c r="AF244" i="2"/>
  <c r="AF198" i="2"/>
  <c r="AF222" i="2" s="1"/>
  <c r="AF216" i="2"/>
  <c r="AF64" i="2"/>
  <c r="AF65" i="2"/>
  <c r="AF60" i="2"/>
  <c r="AJ259" i="2"/>
  <c r="AJ223" i="2"/>
  <c r="AJ216" i="2"/>
  <c r="E255" i="2"/>
  <c r="E235" i="2"/>
  <c r="E259" i="2"/>
  <c r="E198" i="2"/>
  <c r="E216" i="2"/>
  <c r="Q255" i="2"/>
  <c r="Q235" i="2"/>
  <c r="Q87" i="2"/>
  <c r="Q86" i="2" s="1"/>
  <c r="Q99" i="2"/>
  <c r="Q98" i="2" s="1"/>
  <c r="Y60" i="2"/>
  <c r="AG261" i="2"/>
  <c r="AG65" i="2"/>
  <c r="F261" i="2"/>
  <c r="F217" i="2"/>
  <c r="J255" i="2"/>
  <c r="J235" i="2"/>
  <c r="J99" i="2"/>
  <c r="J98" i="2" s="1"/>
  <c r="R255" i="2"/>
  <c r="R235" i="2"/>
  <c r="R198" i="2"/>
  <c r="R197" i="2" s="1"/>
  <c r="R210" i="2"/>
  <c r="R209" i="2" s="1"/>
  <c r="Z261" i="2"/>
  <c r="Z218" i="2"/>
  <c r="Z220" i="2"/>
  <c r="AD256" i="2"/>
  <c r="C217" i="2"/>
  <c r="G260" i="2"/>
  <c r="K255" i="2"/>
  <c r="K235" i="2"/>
  <c r="S257" i="2"/>
  <c r="S218" i="2"/>
  <c r="W198" i="2"/>
  <c r="W222" i="2" s="1"/>
  <c r="W216" i="2"/>
  <c r="AE258" i="2"/>
  <c r="AE99" i="2"/>
  <c r="AE98" i="2" s="1"/>
  <c r="AI218" i="2"/>
  <c r="I198" i="2"/>
  <c r="I217" i="2"/>
  <c r="M257" i="2"/>
  <c r="M259" i="2"/>
  <c r="M210" i="2"/>
  <c r="M209" i="2" s="1"/>
  <c r="M219" i="2"/>
  <c r="AC244" i="2"/>
  <c r="AK244" i="2"/>
  <c r="AK198" i="2"/>
  <c r="AK219" i="2"/>
  <c r="AK216" i="2"/>
  <c r="N255" i="2"/>
  <c r="N235" i="2"/>
  <c r="N216" i="2"/>
  <c r="V260" i="2"/>
  <c r="V219" i="2"/>
  <c r="V223" i="2"/>
  <c r="V64" i="2"/>
  <c r="AH257" i="2"/>
  <c r="AH219" i="2"/>
  <c r="D258" i="2"/>
  <c r="D217" i="2"/>
  <c r="H64" i="2"/>
  <c r="H60" i="2"/>
  <c r="L257" i="2"/>
  <c r="L198" i="2"/>
  <c r="L197" i="2" s="1"/>
  <c r="T258" i="2"/>
  <c r="T220" i="2"/>
  <c r="T217" i="2"/>
  <c r="X257" i="2"/>
  <c r="AB60" i="2"/>
  <c r="AJ258" i="2"/>
  <c r="E261" i="2"/>
  <c r="E220" i="2"/>
  <c r="E99" i="2"/>
  <c r="E98" i="2" s="1"/>
  <c r="E219" i="2"/>
  <c r="E217" i="2"/>
  <c r="Y218" i="2"/>
  <c r="AG219" i="2"/>
  <c r="F256" i="2"/>
  <c r="J197" i="2"/>
  <c r="J60" i="2"/>
  <c r="C111" i="2"/>
  <c r="C120" i="2"/>
  <c r="Z256" i="2"/>
  <c r="Z64" i="2"/>
  <c r="AD260" i="2"/>
  <c r="AD64" i="2"/>
  <c r="C260" i="2"/>
  <c r="AD254" i="2" l="1"/>
  <c r="F222" i="2"/>
  <c r="Z222" i="2"/>
  <c r="AE254" i="2"/>
  <c r="N222" i="2"/>
  <c r="AE222" i="2"/>
  <c r="AB222" i="2"/>
  <c r="D232" i="2" s="1"/>
  <c r="J209" i="2"/>
  <c r="J221" i="2" s="1"/>
  <c r="V221" i="2"/>
  <c r="AC221" i="2"/>
  <c r="X221" i="2"/>
  <c r="I254" i="2"/>
  <c r="Z254" i="2"/>
  <c r="C222" i="2"/>
  <c r="AB254" i="2"/>
  <c r="D221" i="2"/>
  <c r="E254" i="2"/>
  <c r="P254" i="2"/>
  <c r="X222" i="2"/>
  <c r="S222" i="2"/>
  <c r="D222" i="2"/>
  <c r="AH222" i="2"/>
  <c r="Y254" i="2"/>
  <c r="AC222" i="2"/>
  <c r="C209" i="2"/>
  <c r="C221" i="2" s="1"/>
  <c r="I222" i="2"/>
  <c r="H254" i="2"/>
  <c r="AI221" i="2"/>
  <c r="M254" i="2"/>
  <c r="AD222" i="2"/>
  <c r="M222" i="2"/>
  <c r="AE221" i="2"/>
  <c r="J254" i="2"/>
  <c r="T222" i="2"/>
  <c r="V222" i="2"/>
  <c r="AK222" i="2"/>
  <c r="AG254" i="2"/>
  <c r="AA254" i="2"/>
  <c r="T254" i="2"/>
  <c r="S197" i="2"/>
  <c r="S221" i="2" s="1"/>
  <c r="N197" i="2"/>
  <c r="N221" i="2" s="1"/>
  <c r="K254" i="2"/>
  <c r="O221" i="2"/>
  <c r="W254" i="2"/>
  <c r="K222" i="2"/>
  <c r="P222" i="2"/>
  <c r="O254" i="2"/>
  <c r="U254" i="2"/>
  <c r="W197" i="2"/>
  <c r="W221" i="2" s="1"/>
  <c r="E222" i="2"/>
  <c r="N254" i="2"/>
  <c r="Y221" i="2"/>
  <c r="AI254" i="2"/>
  <c r="AH254" i="2"/>
  <c r="H221" i="2"/>
  <c r="O222" i="2"/>
  <c r="AH197" i="2"/>
  <c r="AH221" i="2" s="1"/>
  <c r="Q197" i="2"/>
  <c r="Q221" i="2" s="1"/>
  <c r="V254" i="2"/>
  <c r="E197" i="2"/>
  <c r="E221" i="2" s="1"/>
  <c r="AJ254" i="2"/>
  <c r="X254" i="2"/>
  <c r="AB197" i="2"/>
  <c r="AB221" i="2" s="1"/>
  <c r="D231" i="2" s="1"/>
  <c r="AI222" i="2"/>
  <c r="Z197" i="2"/>
  <c r="Z221" i="2" s="1"/>
  <c r="H222" i="2"/>
  <c r="AB86" i="2"/>
  <c r="D112" i="2" s="1"/>
  <c r="D113" i="2"/>
  <c r="R221" i="2"/>
  <c r="C231" i="2" s="1"/>
  <c r="R254" i="2"/>
  <c r="AF197" i="2"/>
  <c r="AF221" i="2" s="1"/>
  <c r="P221" i="2"/>
  <c r="AK197" i="2"/>
  <c r="AK221" i="2" s="1"/>
  <c r="U197" i="2"/>
  <c r="U221" i="2" s="1"/>
  <c r="T197" i="2"/>
  <c r="T221" i="2" s="1"/>
  <c r="I197" i="2"/>
  <c r="I221" i="2" s="1"/>
  <c r="D254" i="2"/>
  <c r="L254" i="2"/>
  <c r="G221" i="2"/>
  <c r="AK254" i="2"/>
  <c r="AD221" i="2"/>
  <c r="Y222" i="2"/>
  <c r="G254" i="2"/>
  <c r="AC254" i="2"/>
  <c r="AJ197" i="2"/>
  <c r="AJ221" i="2" s="1"/>
  <c r="AJ222" i="2"/>
  <c r="C113" i="2"/>
  <c r="R222" i="2"/>
  <c r="C232" i="2" s="1"/>
  <c r="R98" i="2"/>
  <c r="Q254" i="2"/>
  <c r="AF254" i="2"/>
  <c r="K221" i="2"/>
  <c r="S254" i="2"/>
  <c r="L221" i="2"/>
  <c r="L222" i="2"/>
  <c r="AA221" i="2"/>
  <c r="AG197" i="2"/>
  <c r="AG221" i="2" s="1"/>
  <c r="AA222" i="2"/>
  <c r="C254" i="2"/>
  <c r="M221" i="2"/>
  <c r="F254" i="2"/>
  <c r="F197" i="2"/>
  <c r="F221" i="2" s="1"/>
  <c r="G222" i="2"/>
  <c r="D121" i="2" l="1"/>
  <c r="C112" i="2"/>
  <c r="C121" i="2"/>
  <c r="AL198" i="2" l="1"/>
  <c r="AL87" i="2"/>
  <c r="AL259" i="2"/>
  <c r="AL447" i="2"/>
  <c r="AL460" i="2" l="1"/>
  <c r="AL474" i="2" s="1"/>
  <c r="AL216" i="2"/>
  <c r="E226" i="2" s="1"/>
  <c r="AL220" i="2"/>
  <c r="E230" i="2" s="1"/>
  <c r="AL285" i="2"/>
  <c r="E294" i="2" s="1"/>
  <c r="AL284" i="2"/>
  <c r="E293" i="2" s="1"/>
  <c r="AL99" i="2"/>
  <c r="AL98" i="2" s="1"/>
  <c r="AL218" i="2"/>
  <c r="E228" i="2" s="1"/>
  <c r="AL453" i="2"/>
  <c r="AL473" i="2"/>
  <c r="AL86" i="2"/>
  <c r="AL280" i="2"/>
  <c r="E289" i="2" s="1"/>
  <c r="AL466" i="2"/>
  <c r="AL472" i="2"/>
  <c r="AL258" i="2"/>
  <c r="E119" i="2"/>
  <c r="E110" i="2"/>
  <c r="AM65" i="2"/>
  <c r="AL65" i="2"/>
  <c r="AL509" i="2"/>
  <c r="AL257" i="2"/>
  <c r="E107" i="2"/>
  <c r="AL244" i="2"/>
  <c r="AL510" i="2"/>
  <c r="AL494" i="2"/>
  <c r="AL261" i="2"/>
  <c r="E108" i="2"/>
  <c r="E117" i="2"/>
  <c r="AL282" i="2"/>
  <c r="E291" i="2" s="1"/>
  <c r="AL283" i="2"/>
  <c r="E292" i="2" s="1"/>
  <c r="AM60" i="2"/>
  <c r="AL60" i="2"/>
  <c r="AL481" i="2"/>
  <c r="AL256" i="2"/>
  <c r="E114" i="2"/>
  <c r="E122" i="2"/>
  <c r="AL217" i="2"/>
  <c r="E227" i="2" s="1"/>
  <c r="AL475" i="2"/>
  <c r="AL500" i="2"/>
  <c r="AL506" i="2"/>
  <c r="AL260" i="2"/>
  <c r="AL197" i="2"/>
  <c r="AL487" i="2"/>
  <c r="AL507" i="2"/>
  <c r="E120" i="2"/>
  <c r="E111" i="2"/>
  <c r="AL210" i="2"/>
  <c r="AL209" i="2" s="1"/>
  <c r="AL281" i="2"/>
  <c r="E290" i="2" s="1"/>
  <c r="AL476" i="2"/>
  <c r="AL255" i="2"/>
  <c r="AL235" i="2"/>
  <c r="E118" i="2"/>
  <c r="E109" i="2"/>
  <c r="AL219" i="2"/>
  <c r="E229" i="2" s="1"/>
  <c r="AL223" i="2"/>
  <c r="E233" i="2" s="1"/>
  <c r="AL279" i="2"/>
  <c r="E288" i="2" s="1"/>
  <c r="AM64" i="2"/>
  <c r="AL64" i="2"/>
  <c r="AL508" i="2" l="1"/>
  <c r="E113" i="2"/>
  <c r="AL477" i="2"/>
  <c r="AL222" i="2"/>
  <c r="E232" i="2" s="1"/>
  <c r="AL254" i="2"/>
  <c r="AL221" i="2"/>
  <c r="E231" i="2" s="1"/>
  <c r="E121" i="2"/>
  <c r="E112" i="2"/>
  <c r="AL511" i="2"/>
</calcChain>
</file>

<file path=xl/sharedStrings.xml><?xml version="1.0" encoding="utf-8"?>
<sst xmlns="http://schemas.openxmlformats.org/spreadsheetml/2006/main" count="400" uniqueCount="106">
  <si>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</si>
  <si>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</si>
  <si>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</si>
  <si>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</si>
  <si>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</si>
  <si>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</si>
  <si>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</si>
  <si>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</si>
  <si>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</si>
  <si>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</si>
  <si>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</si>
  <si>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</si>
  <si>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</si>
  <si>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</t>
  </si>
  <si>
    <t>Année</t>
  </si>
  <si>
    <t>2030</t>
  </si>
  <si>
    <t>2040</t>
  </si>
  <si>
    <t>2050</t>
  </si>
  <si>
    <t>GDP</t>
  </si>
  <si>
    <t>Consumption</t>
  </si>
  <si>
    <t>Net exports</t>
  </si>
  <si>
    <t>Investment</t>
  </si>
  <si>
    <t>Exports</t>
  </si>
  <si>
    <t>Imports</t>
  </si>
  <si>
    <t>Production</t>
  </si>
  <si>
    <t>Households</t>
  </si>
  <si>
    <t>Firms</t>
  </si>
  <si>
    <t>Total</t>
  </si>
  <si>
    <t>Transport</t>
  </si>
  <si>
    <t>Oil&amp;Gas</t>
  </si>
  <si>
    <t>Industry</t>
  </si>
  <si>
    <t>Oil &amp; Gas</t>
  </si>
  <si>
    <t>Renewable Oil &amp; Gas</t>
  </si>
  <si>
    <t>Electricity</t>
  </si>
  <si>
    <t>biogas</t>
  </si>
  <si>
    <t>biofuel</t>
  </si>
  <si>
    <t>Renewable Oil&amp;Gas</t>
  </si>
  <si>
    <t>total oil&amp;gas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</si>
  <si>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</si>
  <si>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</si>
  <si>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</si>
  <si>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</si>
  <si>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</si>
  <si>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</si>
  <si>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</si>
  <si>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</si>
  <si>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</si>
  <si>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Households (housing)</t>
  </si>
  <si>
    <t>Households (transport)</t>
  </si>
  <si>
    <t>Consommation</t>
  </si>
  <si>
    <t>CI</t>
  </si>
  <si>
    <t>Y</t>
  </si>
  <si>
    <t>MAT</t>
  </si>
  <si>
    <t>Fuel</t>
  </si>
  <si>
    <t>Gas</t>
  </si>
  <si>
    <t>Electric</t>
  </si>
  <si>
    <t>Vehicles</t>
  </si>
  <si>
    <t>A</t>
  </si>
  <si>
    <t>B</t>
  </si>
  <si>
    <t>C</t>
  </si>
  <si>
    <t>D</t>
  </si>
  <si>
    <t>E</t>
  </si>
  <si>
    <t>F</t>
  </si>
  <si>
    <t>G</t>
  </si>
  <si>
    <t>Food</t>
  </si>
  <si>
    <t>Glass</t>
  </si>
  <si>
    <t>Chemicals</t>
  </si>
  <si>
    <t>Metal</t>
  </si>
  <si>
    <t>Road transport</t>
  </si>
  <si>
    <t>Air transport</t>
  </si>
  <si>
    <t>Other transport</t>
  </si>
  <si>
    <t>Other industry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</si>
  <si>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</si>
  <si>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</si>
  <si>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</si>
  <si>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</si>
  <si>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</si>
  <si>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</si>
  <si>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</si>
  <si>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</si>
  <si>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</si>
  <si>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</si>
  <si>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</si>
  <si>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</si>
  <si>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</si>
  <si>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</si>
  <si>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</si>
  <si>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</si>
  <si>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</si>
  <si>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</si>
  <si>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</si>
  <si>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</si>
  <si>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</si>
  <si>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</si>
  <si>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</si>
  <si>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</si>
  <si>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</si>
  <si>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</si>
  <si>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</si>
  <si>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</si>
  <si>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</si>
  <si>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</si>
  <si>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</si>
  <si>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Households' consumption</t>
  </si>
  <si>
    <t>Firms' consumption</t>
  </si>
  <si>
    <t>Net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</si>
</sst>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sharedStrings" Target="sharedStrings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styles" Target="styles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theme" Target="theme/theme1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externalLink" Target="externalLinks/externalLink1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1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</a:t>
            </a:r>
            <a:r>
              <a:rPr lang="fr-FR" sz="2400" baseline="0"/>
              <a:t> on GDP - </a:t>
            </a:r>
            <a:r>
              <a:rPr lang="fr-FR" sz="2400" b="1" u="sng" baseline="0"/>
              <a:t>Physical damages of a 3°C Scenario </a:t>
            </a:r>
            <a:r>
              <a:rPr lang="fr-FR" sz="1600" baseline="0"/>
              <a:t>(% deviation from status quo)</a:t>
            </a:r>
            <a:endParaRPr lang="fr-FR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91901351933111586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Consumption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Données!$C$7:$BF$7</c:f>
              <c:numCache>
                <c:formatCode>#\ ##0.0</c:formatCode>
                <c:ptCount val="56"/>
                <c:pt idx="0">
                  <c:v>-4.3048875720492112E-3</c:v>
                </c:pt>
                <c:pt idx="1">
                  <c:v>-7.0448956008102885E-3</c:v>
                </c:pt>
                <c:pt idx="2">
                  <c:v>-7.9136900661725493E-3</c:v>
                </c:pt>
                <c:pt idx="3">
                  <c:v>-7.9885760373490482E-3</c:v>
                </c:pt>
                <c:pt idx="4">
                  <c:v>-8.2805348702739093E-3</c:v>
                </c:pt>
                <c:pt idx="5">
                  <c:v>-9.2653999682696126E-3</c:v>
                </c:pt>
                <c:pt idx="6">
                  <c:v>-1.0902679886462451E-2</c:v>
                </c:pt>
                <c:pt idx="7">
                  <c:v>-1.2889354255126294E-2</c:v>
                </c:pt>
                <c:pt idx="8">
                  <c:v>-1.489677034930746E-2</c:v>
                </c:pt>
                <c:pt idx="9">
                  <c:v>-1.6688993907589839E-2</c:v>
                </c:pt>
                <c:pt idx="10">
                  <c:v>-1.8169560969940622E-2</c:v>
                </c:pt>
                <c:pt idx="11">
                  <c:v>-1.9319377492983299E-2</c:v>
                </c:pt>
                <c:pt idx="12">
                  <c:v>-2.0198352170139721E-2</c:v>
                </c:pt>
                <c:pt idx="13">
                  <c:v>-2.091444829547311E-2</c:v>
                </c:pt>
                <c:pt idx="14">
                  <c:v>-2.1574455689823187E-2</c:v>
                </c:pt>
                <c:pt idx="15">
                  <c:v>-2.2264242146217587E-2</c:v>
                </c:pt>
                <c:pt idx="16">
                  <c:v>-2.3064199491702037E-2</c:v>
                </c:pt>
                <c:pt idx="17">
                  <c:v>-2.4011090357797079E-2</c:v>
                </c:pt>
                <c:pt idx="18">
                  <c:v>-2.5132778191810694E-2</c:v>
                </c:pt>
                <c:pt idx="19">
                  <c:v>-2.6440246892906052E-2</c:v>
                </c:pt>
                <c:pt idx="20">
                  <c:v>-2.7909911078996597E-2</c:v>
                </c:pt>
                <c:pt idx="21">
                  <c:v>-2.955255010536055E-2</c:v>
                </c:pt>
                <c:pt idx="22">
                  <c:v>-3.1336818631514163E-2</c:v>
                </c:pt>
                <c:pt idx="23">
                  <c:v>-3.3226336015157128E-2</c:v>
                </c:pt>
                <c:pt idx="24">
                  <c:v>-3.5190819518475781E-2</c:v>
                </c:pt>
                <c:pt idx="25">
                  <c:v>-3.7142124376376151E-2</c:v>
                </c:pt>
                <c:pt idx="26">
                  <c:v>-3.9116434412691768E-2</c:v>
                </c:pt>
                <c:pt idx="27">
                  <c:v>-4.1100953429694005E-2</c:v>
                </c:pt>
                <c:pt idx="28">
                  <c:v>-4.3066070622033166E-2</c:v>
                </c:pt>
                <c:pt idx="29">
                  <c:v>-4.4995316422631049E-2</c:v>
                </c:pt>
                <c:pt idx="30">
                  <c:v>-4.6884200134155063E-2</c:v>
                </c:pt>
                <c:pt idx="31">
                  <c:v>-4.8730445639703676E-2</c:v>
                </c:pt>
                <c:pt idx="32">
                  <c:v>-5.0543373984678411E-2</c:v>
                </c:pt>
                <c:pt idx="33">
                  <c:v>-5.2331794981360855E-2</c:v>
                </c:pt>
                <c:pt idx="34">
                  <c:v>-5.4105537697662277E-2</c:v>
                </c:pt>
                <c:pt idx="35">
                  <c:v>-5.587556003205333E-2</c:v>
                </c:pt>
                <c:pt idx="36">
                  <c:v>-5.7575943879660182E-2</c:v>
                </c:pt>
                <c:pt idx="37">
                  <c:v>-5.9236680668363045E-2</c:v>
                </c:pt>
                <c:pt idx="38">
                  <c:v>-6.0850737980110953E-2</c:v>
                </c:pt>
                <c:pt idx="39">
                  <c:v>-6.2401661016708562E-2</c:v>
                </c:pt>
                <c:pt idx="40">
                  <c:v>-6.3889340367313613E-2</c:v>
                </c:pt>
                <c:pt idx="41">
                  <c:v>-6.920838654045193E-2</c:v>
                </c:pt>
                <c:pt idx="42">
                  <c:v>-7.7732357719591555E-2</c:v>
                </c:pt>
                <c:pt idx="43">
                  <c:v>-8.7335055292398961E-2</c:v>
                </c:pt>
                <c:pt idx="44">
                  <c:v>-9.6162900443884342E-2</c:v>
                </c:pt>
                <c:pt idx="45">
                  <c:v>-0.10320738805386684</c:v>
                </c:pt>
                <c:pt idx="46">
                  <c:v>-0.10295520131149018</c:v>
                </c:pt>
                <c:pt idx="47">
                  <c:v>-9.660757286830754E-2</c:v>
                </c:pt>
                <c:pt idx="48">
                  <c:v>-8.7605604906452861E-2</c:v>
                </c:pt>
                <c:pt idx="49">
                  <c:v>-7.9022659450561472E-2</c:v>
                </c:pt>
                <c:pt idx="50">
                  <c:v>-7.2680804265269017E-2</c:v>
                </c:pt>
                <c:pt idx="51">
                  <c:v>2.4627260846567238E-2</c:v>
                </c:pt>
                <c:pt idx="52">
                  <c:v>2.6598171712759654E-2</c:v>
                </c:pt>
                <c:pt idx="53">
                  <c:v>2.8484324639781216E-2</c:v>
                </c:pt>
                <c:pt idx="54">
                  <c:v>3.0234981441569546E-2</c:v>
                </c:pt>
                <c:pt idx="55">
                  <c:v>3.1819722090826522E-2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Données!$C$10:$BF$10</c:f>
              <c:numCache>
                <c:formatCode>#\ ##0.0</c:formatCode>
                <c:ptCount val="56"/>
                <c:pt idx="0">
                  <c:v>-2.0920457571416227E-3</c:v>
                </c:pt>
                <c:pt idx="1">
                  <c:v>-4.0892958132102974E-3</c:v>
                </c:pt>
                <c:pt idx="2">
                  <c:v>-5.817699695022778E-3</c:v>
                </c:pt>
                <c:pt idx="3">
                  <c:v>-7.2697049953884367E-3</c:v>
                </c:pt>
                <c:pt idx="4">
                  <c:v>-8.6810705770117048E-3</c:v>
                </c:pt>
                <c:pt idx="5">
                  <c:v>-1.0297020367778836E-2</c:v>
                </c:pt>
                <c:pt idx="6">
                  <c:v>-1.2230683220771765E-2</c:v>
                </c:pt>
                <c:pt idx="7">
                  <c:v>-1.4469152353820295E-2</c:v>
                </c:pt>
                <c:pt idx="8">
                  <c:v>-1.6943048073741501E-2</c:v>
                </c:pt>
                <c:pt idx="9">
                  <c:v>-1.9562361648394363E-2</c:v>
                </c:pt>
                <c:pt idx="10">
                  <c:v>-2.2237037876628986E-2</c:v>
                </c:pt>
                <c:pt idx="11">
                  <c:v>-2.4940212422951288E-2</c:v>
                </c:pt>
                <c:pt idx="12">
                  <c:v>-2.7602792338712233E-2</c:v>
                </c:pt>
                <c:pt idx="13">
                  <c:v>-3.0205226498974294E-2</c:v>
                </c:pt>
                <c:pt idx="14">
                  <c:v>-3.2743270405165462E-2</c:v>
                </c:pt>
                <c:pt idx="15">
                  <c:v>-3.5219097170049493E-2</c:v>
                </c:pt>
                <c:pt idx="16">
                  <c:v>-3.7662432588379154E-2</c:v>
                </c:pt>
                <c:pt idx="17">
                  <c:v>-4.006101042675158E-2</c:v>
                </c:pt>
                <c:pt idx="18">
                  <c:v>-4.2422505404409561E-2</c:v>
                </c:pt>
                <c:pt idx="19">
                  <c:v>-4.475790042328498E-2</c:v>
                </c:pt>
                <c:pt idx="20">
                  <c:v>-4.7087328085801981E-2</c:v>
                </c:pt>
                <c:pt idx="21">
                  <c:v>-4.9397362409380627E-2</c:v>
                </c:pt>
                <c:pt idx="22">
                  <c:v>-5.1708970618471767E-2</c:v>
                </c:pt>
                <c:pt idx="23">
                  <c:v>-5.4022001877015058E-2</c:v>
                </c:pt>
                <c:pt idx="24">
                  <c:v>-5.6334884318993299E-2</c:v>
                </c:pt>
                <c:pt idx="25">
                  <c:v>-5.8676003285951468E-2</c:v>
                </c:pt>
                <c:pt idx="26">
                  <c:v>-6.0973419775732174E-2</c:v>
                </c:pt>
                <c:pt idx="27">
                  <c:v>-6.3263381032839197E-2</c:v>
                </c:pt>
                <c:pt idx="28">
                  <c:v>-6.5535974690908369E-2</c:v>
                </c:pt>
                <c:pt idx="29">
                  <c:v>-6.7779054321121315E-2</c:v>
                </c:pt>
                <c:pt idx="30">
                  <c:v>-6.9981171289298039E-2</c:v>
                </c:pt>
                <c:pt idx="31">
                  <c:v>-7.2126315370769037E-2</c:v>
                </c:pt>
                <c:pt idx="32">
                  <c:v>-7.421156517455893E-2</c:v>
                </c:pt>
                <c:pt idx="33">
                  <c:v>-7.623140143086593E-2</c:v>
                </c:pt>
                <c:pt idx="34">
                  <c:v>-7.81812890989695E-2</c:v>
                </c:pt>
                <c:pt idx="35">
                  <c:v>-8.0058187436496647E-2</c:v>
                </c:pt>
                <c:pt idx="36">
                  <c:v>-8.1809696805161272E-2</c:v>
                </c:pt>
                <c:pt idx="37">
                  <c:v>-8.3462651302940852E-2</c:v>
                </c:pt>
                <c:pt idx="38">
                  <c:v>-8.5009168745839372E-2</c:v>
                </c:pt>
                <c:pt idx="39">
                  <c:v>-8.6431591260270363E-2</c:v>
                </c:pt>
                <c:pt idx="40">
                  <c:v>-8.7718040637713726E-2</c:v>
                </c:pt>
                <c:pt idx="41">
                  <c:v>-9.0383696573058461E-2</c:v>
                </c:pt>
                <c:pt idx="42">
                  <c:v>-9.5077337747636895E-2</c:v>
                </c:pt>
                <c:pt idx="43">
                  <c:v>-0.10172396307096987</c:v>
                </c:pt>
                <c:pt idx="44">
                  <c:v>-0.10986161695440066</c:v>
                </c:pt>
                <c:pt idx="45">
                  <c:v>-0.11894208938795915</c:v>
                </c:pt>
                <c:pt idx="46">
                  <c:v>-0.12641161169692086</c:v>
                </c:pt>
                <c:pt idx="47">
                  <c:v>-0.13112334304650736</c:v>
                </c:pt>
                <c:pt idx="48">
                  <c:v>-0.13302659228231514</c:v>
                </c:pt>
                <c:pt idx="49">
                  <c:v>-0.13267645607302161</c:v>
                </c:pt>
                <c:pt idx="50">
                  <c:v>-0.13078220987334599</c:v>
                </c:pt>
                <c:pt idx="51">
                  <c:v>-4.521236430945175E-3</c:v>
                </c:pt>
                <c:pt idx="52">
                  <c:v>7.2949558812879342E-4</c:v>
                </c:pt>
                <c:pt idx="53">
                  <c:v>6.3874356486643144E-3</c:v>
                </c:pt>
                <c:pt idx="54">
                  <c:v>1.2419202628000638E-2</c:v>
                </c:pt>
                <c:pt idx="55">
                  <c:v>1.8789179124359609E-2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Données!$C$12:$BF$12</c:f>
              <c:numCache>
                <c:formatCode>#\ ##0.0</c:formatCode>
                <c:ptCount val="56"/>
                <c:pt idx="0">
                  <c:v>3.1642368735685595E-3</c:v>
                </c:pt>
                <c:pt idx="1">
                  <c:v>3.8247610559875101E-3</c:v>
                </c:pt>
                <c:pt idx="2">
                  <c:v>4.0991571416087872E-3</c:v>
                </c:pt>
                <c:pt idx="3">
                  <c:v>3.9854733512048688E-3</c:v>
                </c:pt>
                <c:pt idx="4">
                  <c:v>3.5907091816749382E-3</c:v>
                </c:pt>
                <c:pt idx="5">
                  <c:v>2.9490774807785381E-3</c:v>
                </c:pt>
                <c:pt idx="6">
                  <c:v>2.1119144775820584E-3</c:v>
                </c:pt>
                <c:pt idx="7">
                  <c:v>1.0031065826205058E-3</c:v>
                </c:pt>
                <c:pt idx="8">
                  <c:v>-4.4027153710561422E-4</c:v>
                </c:pt>
                <c:pt idx="9">
                  <c:v>-2.2411684138325255E-3</c:v>
                </c:pt>
                <c:pt idx="10">
                  <c:v>-4.3722056706093811E-3</c:v>
                </c:pt>
                <c:pt idx="11">
                  <c:v>-6.7078122488117738E-3</c:v>
                </c:pt>
                <c:pt idx="12">
                  <c:v>-9.2528378791457803E-3</c:v>
                </c:pt>
                <c:pt idx="13">
                  <c:v>-1.1935589748433055E-2</c:v>
                </c:pt>
                <c:pt idx="14">
                  <c:v>-1.4691405691188972E-2</c:v>
                </c:pt>
                <c:pt idx="15">
                  <c:v>-1.7466257634307012E-2</c:v>
                </c:pt>
                <c:pt idx="16">
                  <c:v>-2.0123875570728891E-2</c:v>
                </c:pt>
                <c:pt idx="17">
                  <c:v>-2.2724472802167571E-2</c:v>
                </c:pt>
                <c:pt idx="18">
                  <c:v>-2.5253942957499324E-2</c:v>
                </c:pt>
                <c:pt idx="19">
                  <c:v>-2.7711131445566708E-2</c:v>
                </c:pt>
                <c:pt idx="20">
                  <c:v>-3.0106392376375628E-2</c:v>
                </c:pt>
                <c:pt idx="21">
                  <c:v>-3.2455327243722805E-2</c:v>
                </c:pt>
                <c:pt idx="22">
                  <c:v>-3.4774094839513423E-2</c:v>
                </c:pt>
                <c:pt idx="23">
                  <c:v>-3.7081356073332211E-2</c:v>
                </c:pt>
                <c:pt idx="24">
                  <c:v>-3.9394738303397257E-2</c:v>
                </c:pt>
                <c:pt idx="25">
                  <c:v>-4.1735358692706961E-2</c:v>
                </c:pt>
                <c:pt idx="26">
                  <c:v>-4.4170252775037222E-2</c:v>
                </c:pt>
                <c:pt idx="27">
                  <c:v>-4.666646852796625E-2</c:v>
                </c:pt>
                <c:pt idx="28">
                  <c:v>-4.9234642692900801E-2</c:v>
                </c:pt>
                <c:pt idx="29">
                  <c:v>-5.1879811799049179E-2</c:v>
                </c:pt>
                <c:pt idx="30">
                  <c:v>-5.4602471282104798E-2</c:v>
                </c:pt>
                <c:pt idx="31">
                  <c:v>-5.7425160344234887E-2</c:v>
                </c:pt>
                <c:pt idx="32">
                  <c:v>-6.0320416815807583E-2</c:v>
                </c:pt>
                <c:pt idx="33">
                  <c:v>-6.328251796311879E-2</c:v>
                </c:pt>
                <c:pt idx="34">
                  <c:v>-6.6304800471609179E-2</c:v>
                </c:pt>
                <c:pt idx="35">
                  <c:v>-6.938065890168095E-2</c:v>
                </c:pt>
                <c:pt idx="36">
                  <c:v>-7.2728212787605467E-2</c:v>
                </c:pt>
                <c:pt idx="37">
                  <c:v>-7.6132479384649898E-2</c:v>
                </c:pt>
                <c:pt idx="38">
                  <c:v>-7.9582599108981869E-2</c:v>
                </c:pt>
                <c:pt idx="39">
                  <c:v>-8.3068308084713688E-2</c:v>
                </c:pt>
                <c:pt idx="40">
                  <c:v>-8.6580217668227516E-2</c:v>
                </c:pt>
                <c:pt idx="41">
                  <c:v>-9.0828891046499535E-2</c:v>
                </c:pt>
                <c:pt idx="42">
                  <c:v>-9.6832568191889914E-2</c:v>
                </c:pt>
                <c:pt idx="43">
                  <c:v>-0.10530751087557401</c:v>
                </c:pt>
                <c:pt idx="44">
                  <c:v>-0.11655591333220537</c:v>
                </c:pt>
                <c:pt idx="45">
                  <c:v>-0.13052323504943403</c:v>
                </c:pt>
                <c:pt idx="46">
                  <c:v>-0.14602306677547183</c:v>
                </c:pt>
                <c:pt idx="47">
                  <c:v>-0.16117938793738135</c:v>
                </c:pt>
                <c:pt idx="48">
                  <c:v>-0.17462883477184676</c:v>
                </c:pt>
                <c:pt idx="49">
                  <c:v>-0.18557303502411593</c:v>
                </c:pt>
                <c:pt idx="50">
                  <c:v>-0.19373848459868281</c:v>
                </c:pt>
                <c:pt idx="51">
                  <c:v>-0.19320109391079338</c:v>
                </c:pt>
                <c:pt idx="52">
                  <c:v>-0.20237502709255517</c:v>
                </c:pt>
                <c:pt idx="53">
                  <c:v>-0.21158891458899307</c:v>
                </c:pt>
                <c:pt idx="54">
                  <c:v>-0.22082829874555396</c:v>
                </c:pt>
                <c:pt idx="55">
                  <c:v>-0.23008438738529277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Données!$C$6:$BF$6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-4.1893181806806901E-3</c:v>
                      </c:pt>
                      <c:pt idx="1">
                        <c:v>-1.0085676909421526E-2</c:v>
                      </c:pt>
                      <c:pt idx="2">
                        <c:v>-1.3681641818752421E-2</c:v>
                      </c:pt>
                      <c:pt idx="3">
                        <c:v>-1.6375526916645455E-2</c:v>
                      </c:pt>
                      <c:pt idx="4">
                        <c:v>-1.9598967280942681E-2</c:v>
                      </c:pt>
                      <c:pt idx="5">
                        <c:v>-2.4230852256690305E-2</c:v>
                      </c:pt>
                      <c:pt idx="6">
                        <c:v>-3.0268427142132737E-2</c:v>
                      </c:pt>
                      <c:pt idx="7">
                        <c:v>-3.7444331392877395E-2</c:v>
                      </c:pt>
                      <c:pt idx="8">
                        <c:v>-4.5380924827909119E-2</c:v>
                      </c:pt>
                      <c:pt idx="9">
                        <c:v>-5.3725195300624584E-2</c:v>
                      </c:pt>
                      <c:pt idx="10">
                        <c:v>-6.221531069436903E-2</c:v>
                      </c:pt>
                      <c:pt idx="11">
                        <c:v>-7.0636937228785168E-2</c:v>
                      </c:pt>
                      <c:pt idx="12">
                        <c:v>-7.8967937391594134E-2</c:v>
                      </c:pt>
                      <c:pt idx="13">
                        <c:v>-8.7208990218179405E-2</c:v>
                      </c:pt>
                      <c:pt idx="14">
                        <c:v>-9.5388696209353085E-2</c:v>
                      </c:pt>
                      <c:pt idx="15">
                        <c:v>-0.10353265399479783</c:v>
                      </c:pt>
                      <c:pt idx="16">
                        <c:v>-0.11160200146482779</c:v>
                      </c:pt>
                      <c:pt idx="17">
                        <c:v>-0.11969197144602317</c:v>
                      </c:pt>
                      <c:pt idx="18">
                        <c:v>-0.12782537403571714</c:v>
                      </c:pt>
                      <c:pt idx="19">
                        <c:v>-0.13602899456328643</c:v>
                      </c:pt>
                      <c:pt idx="20">
                        <c:v>-0.14431536872065998</c:v>
                      </c:pt>
                      <c:pt idx="21">
                        <c:v>-0.15271160844675391</c:v>
                      </c:pt>
                      <c:pt idx="22">
                        <c:v>-0.16122679697408993</c:v>
                      </c:pt>
                      <c:pt idx="23">
                        <c:v>-0.16984569977074315</c:v>
                      </c:pt>
                      <c:pt idx="24">
                        <c:v>-0.17855621049074344</c:v>
                      </c:pt>
                      <c:pt idx="25">
                        <c:v>-0.187311389073197</c:v>
                      </c:pt>
                      <c:pt idx="26">
                        <c:v>-0.19617168755329262</c:v>
                      </c:pt>
                      <c:pt idx="27">
                        <c:v>-0.2051174805649203</c:v>
                      </c:pt>
                      <c:pt idx="28">
                        <c:v>-0.21411622475667746</c:v>
                      </c:pt>
                      <c:pt idx="29">
                        <c:v>-0.22313913949176811</c:v>
                      </c:pt>
                      <c:pt idx="30">
                        <c:v>-0.23216606432392428</c:v>
                      </c:pt>
                      <c:pt idx="31">
                        <c:v>-0.2411991804273983</c:v>
                      </c:pt>
                      <c:pt idx="32">
                        <c:v>-0.25021069087303172</c:v>
                      </c:pt>
                      <c:pt idx="33">
                        <c:v>-0.2591959405943034</c:v>
                      </c:pt>
                      <c:pt idx="34">
                        <c:v>-0.26815155859347684</c:v>
                      </c:pt>
                      <c:pt idx="35">
                        <c:v>-0.2770776850521961</c:v>
                      </c:pt>
                      <c:pt idx="36">
                        <c:v>-0.28608725764250886</c:v>
                      </c:pt>
                      <c:pt idx="37">
                        <c:v>-0.29499386490744461</c:v>
                      </c:pt>
                      <c:pt idx="38">
                        <c:v>-0.30375036834157099</c:v>
                      </c:pt>
                      <c:pt idx="39">
                        <c:v>-0.3122937590517183</c:v>
                      </c:pt>
                      <c:pt idx="40">
                        <c:v>-0.32060138204440536</c:v>
                      </c:pt>
                      <c:pt idx="41">
                        <c:v>-0.33621243506507525</c:v>
                      </c:pt>
                      <c:pt idx="42">
                        <c:v>-0.36055601832718498</c:v>
                      </c:pt>
                      <c:pt idx="43">
                        <c:v>-0.39201020406941511</c:v>
                      </c:pt>
                      <c:pt idx="44">
                        <c:v>-0.42822623426284068</c:v>
                      </c:pt>
                      <c:pt idx="45">
                        <c:v>-0.46724097409731602</c:v>
                      </c:pt>
                      <c:pt idx="46">
                        <c:v>-0.49762199558597286</c:v>
                      </c:pt>
                      <c:pt idx="47">
                        <c:v>-0.51684933776342534</c:v>
                      </c:pt>
                      <c:pt idx="48">
                        <c:v>-0.52704005943230436</c:v>
                      </c:pt>
                      <c:pt idx="49">
                        <c:v>-0.53139827233954495</c:v>
                      </c:pt>
                      <c:pt idx="50">
                        <c:v>-0.53258620814085056</c:v>
                      </c:pt>
                      <c:pt idx="51">
                        <c:v>-0.23572931163051702</c:v>
                      </c:pt>
                      <c:pt idx="52">
                        <c:v>-0.23913277799035848</c:v>
                      </c:pt>
                      <c:pt idx="53">
                        <c:v>-0.24217281316902817</c:v>
                      </c:pt>
                      <c:pt idx="54">
                        <c:v>-0.24492995704027409</c:v>
                      </c:pt>
                      <c:pt idx="55">
                        <c:v>-0.24747210843392153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Données!$C$8:$BF$8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-4.8369319045553816E-6</c:v>
                      </c:pt>
                      <c:pt idx="1">
                        <c:v>-5.783188897178696E-5</c:v>
                      </c:pt>
                      <c:pt idx="2">
                        <c:v>1.4716932211819827E-4</c:v>
                      </c:pt>
                      <c:pt idx="3">
                        <c:v>4.1953453472894607E-4</c:v>
                      </c:pt>
                      <c:pt idx="4">
                        <c:v>6.3852516090900327E-4</c:v>
                      </c:pt>
                      <c:pt idx="5">
                        <c:v>7.8195266369668229E-4</c:v>
                      </c:pt>
                      <c:pt idx="6">
                        <c:v>8.8917786567702421E-4</c:v>
                      </c:pt>
                      <c:pt idx="7">
                        <c:v>1.0066003152009676E-3</c:v>
                      </c:pt>
                      <c:pt idx="8">
                        <c:v>1.1604025777094582E-3</c:v>
                      </c:pt>
                      <c:pt idx="9">
                        <c:v>1.3532846067118931E-3</c:v>
                      </c:pt>
                      <c:pt idx="10">
                        <c:v>1.5714274027094869E-3</c:v>
                      </c:pt>
                      <c:pt idx="11">
                        <c:v>1.7971641237145082E-3</c:v>
                      </c:pt>
                      <c:pt idx="12">
                        <c:v>2.0134863380121531E-3</c:v>
                      </c:pt>
                      <c:pt idx="13">
                        <c:v>2.2077608916683013E-3</c:v>
                      </c:pt>
                      <c:pt idx="14">
                        <c:v>2.3731974477565723E-3</c:v>
                      </c:pt>
                      <c:pt idx="15">
                        <c:v>2.5087534268073276E-3</c:v>
                      </c:pt>
                      <c:pt idx="16">
                        <c:v>2.6159250434933685E-3</c:v>
                      </c:pt>
                      <c:pt idx="17">
                        <c:v>2.69968000438536E-3</c:v>
                      </c:pt>
                      <c:pt idx="18">
                        <c:v>2.766035431865719E-3</c:v>
                      </c:pt>
                      <c:pt idx="19">
                        <c:v>2.8205132443594365E-3</c:v>
                      </c:pt>
                      <c:pt idx="20">
                        <c:v>2.8690938797136614E-3</c:v>
                      </c:pt>
                      <c:pt idx="21">
                        <c:v>2.9156673659700783E-3</c:v>
                      </c:pt>
                      <c:pt idx="22">
                        <c:v>2.9638359603060753E-3</c:v>
                      </c:pt>
                      <c:pt idx="23">
                        <c:v>3.0166897319502742E-3</c:v>
                      </c:pt>
                      <c:pt idx="24">
                        <c:v>3.0757995390844916E-3</c:v>
                      </c:pt>
                      <c:pt idx="25">
                        <c:v>3.1440717142886087E-3</c:v>
                      </c:pt>
                      <c:pt idx="26">
                        <c:v>3.2203793442019454E-3</c:v>
                      </c:pt>
                      <c:pt idx="27">
                        <c:v>3.3031230913994477E-3</c:v>
                      </c:pt>
                      <c:pt idx="28">
                        <c:v>3.3924382037272783E-3</c:v>
                      </c:pt>
                      <c:pt idx="29">
                        <c:v>3.4877183570270229E-3</c:v>
                      </c:pt>
                      <c:pt idx="30">
                        <c:v>3.5875307783768151E-3</c:v>
                      </c:pt>
                      <c:pt idx="31">
                        <c:v>3.6905195703408385E-3</c:v>
                      </c:pt>
                      <c:pt idx="32">
                        <c:v>3.7951475941578562E-3</c:v>
                      </c:pt>
                      <c:pt idx="33">
                        <c:v>3.9001669792199508E-3</c:v>
                      </c:pt>
                      <c:pt idx="34">
                        <c:v>4.0048960404186684E-3</c:v>
                      </c:pt>
                      <c:pt idx="35">
                        <c:v>4.1089747531065108E-3</c:v>
                      </c:pt>
                      <c:pt idx="36">
                        <c:v>4.2158149175569115E-3</c:v>
                      </c:pt>
                      <c:pt idx="37">
                        <c:v>4.324609265033471E-3</c:v>
                      </c:pt>
                      <c:pt idx="38">
                        <c:v>4.4344605853938379E-3</c:v>
                      </c:pt>
                      <c:pt idx="39">
                        <c:v>4.5465091835906069E-3</c:v>
                      </c:pt>
                      <c:pt idx="40">
                        <c:v>4.6605544905465018E-3</c:v>
                      </c:pt>
                      <c:pt idx="41">
                        <c:v>4.7644219827456188E-3</c:v>
                      </c:pt>
                      <c:pt idx="42">
                        <c:v>4.8787367469084438E-3</c:v>
                      </c:pt>
                      <c:pt idx="43">
                        <c:v>5.1687636886064182E-3</c:v>
                      </c:pt>
                      <c:pt idx="44">
                        <c:v>5.7113081233603948E-3</c:v>
                      </c:pt>
                      <c:pt idx="45">
                        <c:v>6.4758814051914127E-3</c:v>
                      </c:pt>
                      <c:pt idx="46">
                        <c:v>7.3914662343448059E-3</c:v>
                      </c:pt>
                      <c:pt idx="47">
                        <c:v>8.331039950803849E-3</c:v>
                      </c:pt>
                      <c:pt idx="48">
                        <c:v>8.9992289589300601E-3</c:v>
                      </c:pt>
                      <c:pt idx="49">
                        <c:v>9.2509147144178832E-3</c:v>
                      </c:pt>
                      <c:pt idx="50">
                        <c:v>9.1107100289277397E-3</c:v>
                      </c:pt>
                      <c:pt idx="51">
                        <c:v>6.2562576488679683E-3</c:v>
                      </c:pt>
                      <c:pt idx="52">
                        <c:v>6.4977563843595931E-3</c:v>
                      </c:pt>
                      <c:pt idx="53">
                        <c:v>6.7405093711651069E-3</c:v>
                      </c:pt>
                      <c:pt idx="54">
                        <c:v>6.9831096687923509E-3</c:v>
                      </c:pt>
                      <c:pt idx="55">
                        <c:v>7.2267607524996134E-3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Données!$C$9:$BF$9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Données!$C$11:$BF$11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-8.0233357770762522E-5</c:v>
                      </c:pt>
                      <c:pt idx="1">
                        <c:v>-1.0906802372046011E-4</c:v>
                      </c:pt>
                      <c:pt idx="2">
                        <c:v>-1.3867539600908248E-4</c:v>
                      </c:pt>
                      <c:pt idx="3">
                        <c:v>-1.6894575683349818E-4</c:v>
                      </c:pt>
                      <c:pt idx="4">
                        <c:v>-1.9980803619460826E-4</c:v>
                      </c:pt>
                      <c:pt idx="5">
                        <c:v>-2.3119703018253398E-4</c:v>
                      </c:pt>
                      <c:pt idx="6">
                        <c:v>-2.6341471350634527E-4</c:v>
                      </c:pt>
                      <c:pt idx="7">
                        <c:v>-2.9613289247314265E-4</c:v>
                      </c:pt>
                      <c:pt idx="8">
                        <c:v>-3.293191199911287E-4</c:v>
                      </c:pt>
                      <c:pt idx="9">
                        <c:v>-3.629504239865315E-4</c:v>
                      </c:pt>
                      <c:pt idx="10">
                        <c:v>-3.9726305966145754E-4</c:v>
                      </c:pt>
                      <c:pt idx="11">
                        <c:v>-4.3351507680306791E-4</c:v>
                      </c:pt>
                      <c:pt idx="12">
                        <c:v>-4.7033065907991313E-4</c:v>
                      </c:pt>
                      <c:pt idx="13">
                        <c:v>-5.0770496672685188E-4</c:v>
                      </c:pt>
                      <c:pt idx="14">
                        <c:v>-5.4564290256892752E-4</c:v>
                      </c:pt>
                      <c:pt idx="15">
                        <c:v>-5.8415645517566708E-4</c:v>
                      </c:pt>
                      <c:pt idx="16">
                        <c:v>-6.2527748210452463E-4</c:v>
                      </c:pt>
                      <c:pt idx="17">
                        <c:v>-6.6712263230979906E-4</c:v>
                      </c:pt>
                      <c:pt idx="18">
                        <c:v>-7.0969981808734596E-4</c:v>
                      </c:pt>
                      <c:pt idx="19">
                        <c:v>-7.530197320876074E-4</c:v>
                      </c:pt>
                      <c:pt idx="20">
                        <c:v>-7.9676968839871337E-4</c:v>
                      </c:pt>
                      <c:pt idx="21">
                        <c:v>-8.4171364773325203E-4</c:v>
                      </c:pt>
                      <c:pt idx="22">
                        <c:v>-8.8738895105396033E-4</c:v>
                      </c:pt>
                      <c:pt idx="23">
                        <c:v>-9.3382009654460133E-4</c:v>
                      </c:pt>
                      <c:pt idx="24">
                        <c:v>-9.8102709211922434E-4</c:v>
                      </c:pt>
                      <c:pt idx="25">
                        <c:v>-1.0278914692142785E-3</c:v>
                      </c:pt>
                      <c:pt idx="26">
                        <c:v>-1.0757027701659085E-3</c:v>
                      </c:pt>
                      <c:pt idx="27">
                        <c:v>-1.1244005700367014E-3</c:v>
                      </c:pt>
                      <c:pt idx="28">
                        <c:v>-1.1739671502197335E-3</c:v>
                      </c:pt>
                      <c:pt idx="29">
                        <c:v>-1.2243815236605898E-3</c:v>
                      </c:pt>
                      <c:pt idx="30">
                        <c:v>-1.2756223573934583E-3</c:v>
                      </c:pt>
                      <c:pt idx="31">
                        <c:v>-1.327150291017036E-3</c:v>
                      </c:pt>
                      <c:pt idx="32">
                        <c:v>-1.3794406438666948E-3</c:v>
                      </c:pt>
                      <c:pt idx="33">
                        <c:v>-1.4324889796789898E-3</c:v>
                      </c:pt>
                      <c:pt idx="34">
                        <c:v>-1.4862953404551596E-3</c:v>
                      </c:pt>
                      <c:pt idx="35">
                        <c:v>-1.5408634386343094E-3</c:v>
                      </c:pt>
                      <c:pt idx="36">
                        <c:v>-1.5911166247419722E-3</c:v>
                      </c:pt>
                      <c:pt idx="37">
                        <c:v>-1.6420566095791947E-3</c:v>
                      </c:pt>
                      <c:pt idx="38">
                        <c:v>-1.6936761852416719E-3</c:v>
                      </c:pt>
                      <c:pt idx="39">
                        <c:v>-1.7459813484567066E-3</c:v>
                      </c:pt>
                      <c:pt idx="40">
                        <c:v>-1.7989839594915649E-3</c:v>
                      </c:pt>
                      <c:pt idx="41">
                        <c:v>-1.8602473872383163E-3</c:v>
                      </c:pt>
                      <c:pt idx="42">
                        <c:v>-1.9242859451392735E-3</c:v>
                      </c:pt>
                      <c:pt idx="43">
                        <c:v>-1.9882370300556111E-3</c:v>
                      </c:pt>
                      <c:pt idx="44">
                        <c:v>-2.0509214623750998E-3</c:v>
                      </c:pt>
                      <c:pt idx="45">
                        <c:v>-2.1119831934364487E-3</c:v>
                      </c:pt>
                      <c:pt idx="46">
                        <c:v>-2.1601626890340756E-3</c:v>
                      </c:pt>
                      <c:pt idx="47">
                        <c:v>-2.2052222187785324E-3</c:v>
                      </c:pt>
                      <c:pt idx="48">
                        <c:v>-2.2506661458144141E-3</c:v>
                      </c:pt>
                      <c:pt idx="49">
                        <c:v>-2.2980369127329364E-3</c:v>
                      </c:pt>
                      <c:pt idx="50">
                        <c:v>-2.3479033218508781E-3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GDP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Données!$C$5:$BF$5</c:f>
              <c:numCache>
                <c:formatCode>#\ ##0.0</c:formatCode>
                <c:ptCount val="56"/>
                <c:pt idx="0">
                  <c:v>-3.3129620777838653E-3</c:v>
                </c:pt>
                <c:pt idx="1">
                  <c:v>-7.4184620303840987E-3</c:v>
                </c:pt>
                <c:pt idx="2">
                  <c:v>-9.7709146559710192E-3</c:v>
                </c:pt>
                <c:pt idx="3">
                  <c:v>-1.1441743838247476E-2</c:v>
                </c:pt>
                <c:pt idx="4">
                  <c:v>-1.357073211349924E-2</c:v>
                </c:pt>
                <c:pt idx="5">
                  <c:v>-1.6844562061102408E-2</c:v>
                </c:pt>
                <c:pt idx="6">
                  <c:v>-2.1284874844673674E-2</c:v>
                </c:pt>
                <c:pt idx="7">
                  <c:v>-2.6651526272658543E-2</c:v>
                </c:pt>
                <c:pt idx="8">
                  <c:v>-3.2609395107896511E-2</c:v>
                </c:pt>
                <c:pt idx="9">
                  <c:v>-3.8855456230690866E-2</c:v>
                </c:pt>
                <c:pt idx="10">
                  <c:v>-4.5176076367769991E-2</c:v>
                </c:pt>
                <c:pt idx="11">
                  <c:v>-5.140095233483466E-2</c:v>
                </c:pt>
                <c:pt idx="12">
                  <c:v>-5.752430767723693E-2</c:v>
                </c:pt>
                <c:pt idx="13">
                  <c:v>-6.3563001358279969E-2</c:v>
                </c:pt>
                <c:pt idx="14">
                  <c:v>-6.9554779923897136E-2</c:v>
                </c:pt>
                <c:pt idx="15">
                  <c:v>-7.5533741013333877E-2</c:v>
                </c:pt>
                <c:pt idx="16">
                  <c:v>-8.1475786331164368E-2</c:v>
                </c:pt>
                <c:pt idx="17">
                  <c:v>-8.7463701250045656E-2</c:v>
                </c:pt>
                <c:pt idx="18">
                  <c:v>-9.3518932875391592E-2</c:v>
                </c:pt>
                <c:pt idx="19">
                  <c:v>-9.9662322056981445E-2</c:v>
                </c:pt>
                <c:pt idx="20">
                  <c:v>-0.10590040131611689</c:v>
                </c:pt>
                <c:pt idx="21">
                  <c:v>-0.11224693396583163</c:v>
                </c:pt>
                <c:pt idx="22">
                  <c:v>-0.11870726333252923</c:v>
                </c:pt>
                <c:pt idx="23">
                  <c:v>-0.1252634967232269</c:v>
                </c:pt>
                <c:pt idx="24">
                  <c:v>-0.13190145074433168</c:v>
                </c:pt>
                <c:pt idx="25">
                  <c:v>-0.13858136327796755</c:v>
                </c:pt>
                <c:pt idx="26">
                  <c:v>-0.14533582023349423</c:v>
                </c:pt>
                <c:pt idx="27">
                  <c:v>-0.15215519037367065</c:v>
                </c:pt>
                <c:pt idx="28">
                  <c:v>-0.15901066758456928</c:v>
                </c:pt>
                <c:pt idx="29">
                  <c:v>-0.16587852307223816</c:v>
                </c:pt>
                <c:pt idx="30">
                  <c:v>-0.17274349299009062</c:v>
                </c:pt>
                <c:pt idx="31">
                  <c:v>-0.17960907498832945</c:v>
                </c:pt>
                <c:pt idx="32">
                  <c:v>-0.18645480216883392</c:v>
                </c:pt>
                <c:pt idx="33">
                  <c:v>-0.1932781785741744</c:v>
                </c:pt>
                <c:pt idx="34">
                  <c:v>-0.20007790793146185</c:v>
                </c:pt>
                <c:pt idx="35">
                  <c:v>-0.20685529231833089</c:v>
                </c:pt>
                <c:pt idx="36">
                  <c:v>-0.21370497996393567</c:v>
                </c:pt>
                <c:pt idx="37">
                  <c:v>-0.22047392009754141</c:v>
                </c:pt>
                <c:pt idx="38">
                  <c:v>-0.22713621790417804</c:v>
                </c:pt>
                <c:pt idx="39">
                  <c:v>-0.23364755674832871</c:v>
                </c:pt>
                <c:pt idx="40">
                  <c:v>-0.23998658217985191</c:v>
                </c:pt>
                <c:pt idx="41">
                  <c:v>-0.25228122981770795</c:v>
                </c:pt>
                <c:pt idx="42">
                  <c:v>-0.27156653372331085</c:v>
                </c:pt>
                <c:pt idx="43">
                  <c:v>-0.29635474208028478</c:v>
                </c:pt>
                <c:pt idx="44">
                  <c:v>-0.32463134592483067</c:v>
                </c:pt>
                <c:pt idx="45">
                  <c:v>-0.35478471627253816</c:v>
                </c:pt>
                <c:pt idx="46">
                  <c:v>-0.37755003181626501</c:v>
                </c:pt>
                <c:pt idx="47">
                  <c:v>-0.39111551795038002</c:v>
                </c:pt>
                <c:pt idx="48">
                  <c:v>-0.39751174905608977</c:v>
                </c:pt>
                <c:pt idx="49">
                  <c:v>-0.39957018181934201</c:v>
                </c:pt>
                <c:pt idx="50">
                  <c:v>-0.39954936175339295</c:v>
                </c:pt>
                <c:pt idx="51">
                  <c:v>-0.17309504926293906</c:v>
                </c:pt>
                <c:pt idx="52">
                  <c:v>-0.17504737969170625</c:v>
                </c:pt>
                <c:pt idx="53">
                  <c:v>-0.17671713472687811</c:v>
                </c:pt>
                <c:pt idx="54">
                  <c:v>-0.17817411467598854</c:v>
                </c:pt>
                <c:pt idx="55">
                  <c:v>-0.17947550510799548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  <c:max val="62094"/>
          <c:min val="42005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  <c:maj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v>Constant 1 degree scenario</c:v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Données!$C$64:$AL$64</c:f>
              <c:numCache>
                <c:formatCode>#\ ##0.0</c:formatCode>
                <c:ptCount val="36"/>
                <c:pt idx="1">
                  <c:v>1.8765949245928004</c:v>
                </c:pt>
                <c:pt idx="2">
                  <c:v>1.8519477072365564</c:v>
                </c:pt>
                <c:pt idx="3">
                  <c:v>1.8446979539312736</c:v>
                </c:pt>
                <c:pt idx="4">
                  <c:v>1.8471428684354363</c:v>
                </c:pt>
                <c:pt idx="5">
                  <c:v>1.854209742621471</c:v>
                </c:pt>
                <c:pt idx="6">
                  <c:v>1.8599528186781011</c:v>
                </c:pt>
                <c:pt idx="7">
                  <c:v>1.8661496328309823</c:v>
                </c:pt>
                <c:pt idx="8">
                  <c:v>1.8732964626943849</c:v>
                </c:pt>
                <c:pt idx="9">
                  <c:v>1.8813863024639277</c:v>
                </c:pt>
                <c:pt idx="10">
                  <c:v>1.8956868140952432</c:v>
                </c:pt>
                <c:pt idx="11">
                  <c:v>1.9063613177197292</c:v>
                </c:pt>
                <c:pt idx="12">
                  <c:v>1.9160706143328543</c:v>
                </c:pt>
                <c:pt idx="13">
                  <c:v>1.9256158404944435</c:v>
                </c:pt>
                <c:pt idx="14">
                  <c:v>1.9346619154421818</c:v>
                </c:pt>
                <c:pt idx="15">
                  <c:v>1.9427627331837671</c:v>
                </c:pt>
                <c:pt idx="16">
                  <c:v>1.9495333839589124</c:v>
                </c:pt>
                <c:pt idx="17">
                  <c:v>1.9547116478588755</c:v>
                </c:pt>
                <c:pt idx="18">
                  <c:v>1.9581590324652787</c:v>
                </c:pt>
                <c:pt idx="19">
                  <c:v>1.9598373153863591</c:v>
                </c:pt>
                <c:pt idx="20">
                  <c:v>1.9564864664827653</c:v>
                </c:pt>
                <c:pt idx="21">
                  <c:v>1.9538277884738164</c:v>
                </c:pt>
                <c:pt idx="22">
                  <c:v>1.9505727529574246</c:v>
                </c:pt>
                <c:pt idx="23">
                  <c:v>1.9460790454528532</c:v>
                </c:pt>
                <c:pt idx="24">
                  <c:v>1.9404999980603188</c:v>
                </c:pt>
                <c:pt idx="25">
                  <c:v>1.9253932476982039</c:v>
                </c:pt>
                <c:pt idx="26">
                  <c:v>1.9115498423845301</c:v>
                </c:pt>
                <c:pt idx="27">
                  <c:v>1.8986196732587279</c:v>
                </c:pt>
                <c:pt idx="28">
                  <c:v>1.8857129583067955</c:v>
                </c:pt>
                <c:pt idx="29">
                  <c:v>1.8729923273092197</c:v>
                </c:pt>
                <c:pt idx="30">
                  <c:v>1.8607848767683288</c:v>
                </c:pt>
                <c:pt idx="31">
                  <c:v>1.8494457584086632</c:v>
                </c:pt>
                <c:pt idx="32">
                  <c:v>1.8392700321341993</c:v>
                </c:pt>
                <c:pt idx="33">
                  <c:v>1.8304576976978071</c:v>
                </c:pt>
                <c:pt idx="34">
                  <c:v>1.8231115127855579</c:v>
                </c:pt>
                <c:pt idx="35">
                  <c:v>1.81725243943478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v>3 degrees scenario</c:v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Données!$C$65:$AL$65</c:f>
              <c:numCache>
                <c:formatCode>#\ ##0.0</c:formatCode>
                <c:ptCount val="36"/>
                <c:pt idx="1">
                  <c:v>1.8889997501764233</c:v>
                </c:pt>
                <c:pt idx="2">
                  <c:v>1.8609899176988076</c:v>
                </c:pt>
                <c:pt idx="3">
                  <c:v>1.8534851759993032</c:v>
                </c:pt>
                <c:pt idx="4">
                  <c:v>1.8576818418138519</c:v>
                </c:pt>
                <c:pt idx="5">
                  <c:v>1.8672915631059439</c:v>
                </c:pt>
                <c:pt idx="6">
                  <c:v>1.8755484585738502</c:v>
                </c:pt>
                <c:pt idx="7">
                  <c:v>1.8838472630384295</c:v>
                </c:pt>
                <c:pt idx="8">
                  <c:v>1.8925762746081931</c:v>
                </c:pt>
                <c:pt idx="9">
                  <c:v>1.9017553359049533</c:v>
                </c:pt>
                <c:pt idx="10">
                  <c:v>1.9167518191085309</c:v>
                </c:pt>
                <c:pt idx="11">
                  <c:v>1.927746331113589</c:v>
                </c:pt>
                <c:pt idx="12">
                  <c:v>1.9375547981651309</c:v>
                </c:pt>
                <c:pt idx="13">
                  <c:v>1.9470680792694539</c:v>
                </c:pt>
                <c:pt idx="14">
                  <c:v>1.9559840469267176</c:v>
                </c:pt>
                <c:pt idx="15">
                  <c:v>1.9638841075217739</c:v>
                </c:pt>
                <c:pt idx="16">
                  <c:v>1.970444883692779</c:v>
                </c:pt>
                <c:pt idx="17">
                  <c:v>1.9753867934489744</c:v>
                </c:pt>
                <c:pt idx="18">
                  <c:v>1.9786667017302362</c:v>
                </c:pt>
                <c:pt idx="19">
                  <c:v>1.9802522547617496</c:v>
                </c:pt>
                <c:pt idx="20">
                  <c:v>1.9768494035097062</c:v>
                </c:pt>
                <c:pt idx="21">
                  <c:v>1.9742992847807228</c:v>
                </c:pt>
                <c:pt idx="22">
                  <c:v>1.9711545838924538</c:v>
                </c:pt>
                <c:pt idx="23">
                  <c:v>1.9668094925846313</c:v>
                </c:pt>
                <c:pt idx="24">
                  <c:v>1.9614136028936802</c:v>
                </c:pt>
                <c:pt idx="25">
                  <c:v>1.9464032520249752</c:v>
                </c:pt>
                <c:pt idx="26">
                  <c:v>1.9329311476933286</c:v>
                </c:pt>
                <c:pt idx="27">
                  <c:v>1.9202983078409508</c:v>
                </c:pt>
                <c:pt idx="28">
                  <c:v>1.9076440171937215</c:v>
                </c:pt>
                <c:pt idx="29">
                  <c:v>1.8951354456952396</c:v>
                </c:pt>
                <c:pt idx="30">
                  <c:v>1.8831075783647178</c:v>
                </c:pt>
                <c:pt idx="31">
                  <c:v>1.8719094759378052</c:v>
                </c:pt>
                <c:pt idx="32">
                  <c:v>1.8618604568891861</c:v>
                </c:pt>
                <c:pt idx="33">
                  <c:v>1.8531457902114301</c:v>
                </c:pt>
                <c:pt idx="34">
                  <c:v>1.8458772724646577</c:v>
                </c:pt>
                <c:pt idx="35">
                  <c:v>1.8400844978606834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CO2 emissions (MtCO2/y)</a:t>
            </a:r>
          </a:p>
        </c:rich>
      </c:tx>
      <c:layout>
        <c:manualLayout>
          <c:xMode val="edge"/>
          <c:yMode val="edge"/>
          <c:x val="0.2902562701424663"/>
          <c:y val="2.72455102666561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90139843901638717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Données!$B$67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Données!$C$67:$AL$67</c:f>
              <c:numCache>
                <c:formatCode>#,##0</c:formatCode>
                <c:ptCount val="36"/>
                <c:pt idx="0">
                  <c:v>350.6128721</c:v>
                </c:pt>
                <c:pt idx="1">
                  <c:v>353.01858440000001</c:v>
                </c:pt>
                <c:pt idx="2">
                  <c:v>355.18014520000003</c:v>
                </c:pt>
                <c:pt idx="3">
                  <c:v>357.56598259999998</c:v>
                </c:pt>
                <c:pt idx="4">
                  <c:v>360.311014</c:v>
                </c:pt>
                <c:pt idx="5">
                  <c:v>363.40337399999999</c:v>
                </c:pt>
                <c:pt idx="6">
                  <c:v>366.64946279999998</c:v>
                </c:pt>
                <c:pt idx="7">
                  <c:v>370.1062766</c:v>
                </c:pt>
                <c:pt idx="8">
                  <c:v>373.75413140000001</c:v>
                </c:pt>
                <c:pt idx="9">
                  <c:v>377.56384550000001</c:v>
                </c:pt>
                <c:pt idx="10">
                  <c:v>381.82245849999998</c:v>
                </c:pt>
                <c:pt idx="11">
                  <c:v>386.0208945</c:v>
                </c:pt>
                <c:pt idx="12">
                  <c:v>390.2711347</c:v>
                </c:pt>
                <c:pt idx="13">
                  <c:v>394.5900982</c:v>
                </c:pt>
                <c:pt idx="14">
                  <c:v>398.9780973</c:v>
                </c:pt>
                <c:pt idx="15">
                  <c:v>403.43435699999998</c:v>
                </c:pt>
                <c:pt idx="16">
                  <c:v>407.95827889999998</c:v>
                </c:pt>
                <c:pt idx="17">
                  <c:v>412.54923789999998</c:v>
                </c:pt>
                <c:pt idx="18">
                  <c:v>417.20645810000002</c:v>
                </c:pt>
                <c:pt idx="19">
                  <c:v>421.9290532</c:v>
                </c:pt>
                <c:pt idx="20">
                  <c:v>426.48727439999999</c:v>
                </c:pt>
                <c:pt idx="21">
                  <c:v>431.23881690000002</c:v>
                </c:pt>
                <c:pt idx="22">
                  <c:v>436.09021200000001</c:v>
                </c:pt>
                <c:pt idx="23">
                  <c:v>441.02125810000001</c:v>
                </c:pt>
                <c:pt idx="24">
                  <c:v>446.0265943</c:v>
                </c:pt>
                <c:pt idx="25">
                  <c:v>450.44700360000002</c:v>
                </c:pt>
                <c:pt idx="26">
                  <c:v>454.99907739999998</c:v>
                </c:pt>
                <c:pt idx="27">
                  <c:v>459.58805489999997</c:v>
                </c:pt>
                <c:pt idx="28">
                  <c:v>464.20529620000002</c:v>
                </c:pt>
                <c:pt idx="29">
                  <c:v>468.85751329999999</c:v>
                </c:pt>
                <c:pt idx="30">
                  <c:v>473.55338030000001</c:v>
                </c:pt>
                <c:pt idx="31">
                  <c:v>478.30075749999997</c:v>
                </c:pt>
                <c:pt idx="32">
                  <c:v>483.10610930000001</c:v>
                </c:pt>
                <c:pt idx="33">
                  <c:v>487.97447870000002</c:v>
                </c:pt>
                <c:pt idx="34">
                  <c:v>492.90964409999998</c:v>
                </c:pt>
                <c:pt idx="35">
                  <c:v>497.9143406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Données!$B$73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Données!$C$73:$AL$73</c:f>
              <c:numCache>
                <c:formatCode>#,##0</c:formatCode>
                <c:ptCount val="36"/>
                <c:pt idx="0">
                  <c:v>350.6921534</c:v>
                </c:pt>
                <c:pt idx="1">
                  <c:v>353.17647749999998</c:v>
                </c:pt>
                <c:pt idx="2">
                  <c:v>355.43311349999999</c:v>
                </c:pt>
                <c:pt idx="3">
                  <c:v>357.93835089999999</c:v>
                </c:pt>
                <c:pt idx="4">
                  <c:v>360.83368860000002</c:v>
                </c:pt>
                <c:pt idx="5">
                  <c:v>364.12183900000002</c:v>
                </c:pt>
                <c:pt idx="6">
                  <c:v>367.57326410000002</c:v>
                </c:pt>
                <c:pt idx="7">
                  <c:v>371.22865849999999</c:v>
                </c:pt>
                <c:pt idx="8">
                  <c:v>375.06435759999999</c:v>
                </c:pt>
                <c:pt idx="9">
                  <c:v>379.05178999999998</c:v>
                </c:pt>
                <c:pt idx="10">
                  <c:v>383.48061380000001</c:v>
                </c:pt>
                <c:pt idx="11">
                  <c:v>387.84519499999999</c:v>
                </c:pt>
                <c:pt idx="12">
                  <c:v>392.25953129999999</c:v>
                </c:pt>
                <c:pt idx="13">
                  <c:v>396.7427017</c:v>
                </c:pt>
                <c:pt idx="14">
                  <c:v>401.29586740000002</c:v>
                </c:pt>
                <c:pt idx="15">
                  <c:v>405.91699690000002</c:v>
                </c:pt>
                <c:pt idx="16">
                  <c:v>410.60518500000001</c:v>
                </c:pt>
                <c:pt idx="17">
                  <c:v>415.35792759999998</c:v>
                </c:pt>
                <c:pt idx="18">
                  <c:v>420.1741677</c:v>
                </c:pt>
                <c:pt idx="19">
                  <c:v>425.05348570000001</c:v>
                </c:pt>
                <c:pt idx="20">
                  <c:v>429.76656639999999</c:v>
                </c:pt>
                <c:pt idx="21">
                  <c:v>434.67273719999997</c:v>
                </c:pt>
                <c:pt idx="22">
                  <c:v>439.67928519999998</c:v>
                </c:pt>
                <c:pt idx="23">
                  <c:v>444.76652589999998</c:v>
                </c:pt>
                <c:pt idx="24">
                  <c:v>449.92931870000001</c:v>
                </c:pt>
                <c:pt idx="25">
                  <c:v>454.50701679999997</c:v>
                </c:pt>
                <c:pt idx="26">
                  <c:v>459.2171027</c:v>
                </c:pt>
                <c:pt idx="27">
                  <c:v>463.96506169999998</c:v>
                </c:pt>
                <c:pt idx="28">
                  <c:v>468.74201540000001</c:v>
                </c:pt>
                <c:pt idx="29">
                  <c:v>473.55425639999999</c:v>
                </c:pt>
                <c:pt idx="30">
                  <c:v>478.4099769</c:v>
                </c:pt>
                <c:pt idx="31">
                  <c:v>483.31618209999999</c:v>
                </c:pt>
                <c:pt idx="32">
                  <c:v>488.2791876</c:v>
                </c:pt>
                <c:pt idx="33">
                  <c:v>493.30372849999998</c:v>
                </c:pt>
                <c:pt idx="34">
                  <c:v>498.393305</c:v>
                </c:pt>
                <c:pt idx="35">
                  <c:v>503.55042570000001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Households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Données!$C$68:$AL$68</c:f>
              <c:numCache>
                <c:formatCode>#,##0</c:formatCode>
                <c:ptCount val="36"/>
                <c:pt idx="0">
                  <c:v>119.490486</c:v>
                </c:pt>
                <c:pt idx="1">
                  <c:v>119.273213</c:v>
                </c:pt>
                <c:pt idx="2">
                  <c:v>118.67613849999999</c:v>
                </c:pt>
                <c:pt idx="3">
                  <c:v>118.1175128</c:v>
                </c:pt>
                <c:pt idx="4">
                  <c:v>117.706084</c:v>
                </c:pt>
                <c:pt idx="5">
                  <c:v>117.431853</c:v>
                </c:pt>
                <c:pt idx="6">
                  <c:v>117.26719780000001</c:v>
                </c:pt>
                <c:pt idx="7">
                  <c:v>117.1982436</c:v>
                </c:pt>
                <c:pt idx="8">
                  <c:v>117.2011937</c:v>
                </c:pt>
                <c:pt idx="9">
                  <c:v>117.25467190000001</c:v>
                </c:pt>
                <c:pt idx="10">
                  <c:v>117.3881348</c:v>
                </c:pt>
                <c:pt idx="11">
                  <c:v>117.5245594</c:v>
                </c:pt>
                <c:pt idx="12">
                  <c:v>117.6660298</c:v>
                </c:pt>
                <c:pt idx="13">
                  <c:v>117.8116606</c:v>
                </c:pt>
                <c:pt idx="14">
                  <c:v>117.96057860000001</c:v>
                </c:pt>
                <c:pt idx="15">
                  <c:v>118.1135318</c:v>
                </c:pt>
                <c:pt idx="16">
                  <c:v>118.2716004</c:v>
                </c:pt>
                <c:pt idx="17">
                  <c:v>118.4355564</c:v>
                </c:pt>
                <c:pt idx="18">
                  <c:v>118.60569889999999</c:v>
                </c:pt>
                <c:pt idx="19">
                  <c:v>118.7819166</c:v>
                </c:pt>
                <c:pt idx="20">
                  <c:v>118.93328649999999</c:v>
                </c:pt>
                <c:pt idx="21">
                  <c:v>119.1027187</c:v>
                </c:pt>
                <c:pt idx="22">
                  <c:v>119.2829679</c:v>
                </c:pt>
                <c:pt idx="23">
                  <c:v>119.470478</c:v>
                </c:pt>
                <c:pt idx="24">
                  <c:v>119.66343639999999</c:v>
                </c:pt>
                <c:pt idx="25">
                  <c:v>119.7771462</c:v>
                </c:pt>
                <c:pt idx="26">
                  <c:v>119.89048459999999</c:v>
                </c:pt>
                <c:pt idx="27">
                  <c:v>120.0013783</c:v>
                </c:pt>
                <c:pt idx="28">
                  <c:v>120.10941390000001</c:v>
                </c:pt>
                <c:pt idx="29">
                  <c:v>120.2150905</c:v>
                </c:pt>
                <c:pt idx="30">
                  <c:v>120.3193078</c:v>
                </c:pt>
                <c:pt idx="31">
                  <c:v>120.42306069999999</c:v>
                </c:pt>
                <c:pt idx="32">
                  <c:v>120.5272853</c:v>
                </c:pt>
                <c:pt idx="33">
                  <c:v>120.63279900000001</c:v>
                </c:pt>
                <c:pt idx="34">
                  <c:v>120.74029470000001</c:v>
                </c:pt>
                <c:pt idx="35">
                  <c:v>120.85036100000001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Households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Données!$C$74:$AL$74</c:f>
              <c:numCache>
                <c:formatCode>#,##0</c:formatCode>
                <c:ptCount val="36"/>
                <c:pt idx="0">
                  <c:v>119.490486</c:v>
                </c:pt>
                <c:pt idx="1">
                  <c:v>119.3006738</c:v>
                </c:pt>
                <c:pt idx="2">
                  <c:v>118.76787950000001</c:v>
                </c:pt>
                <c:pt idx="3">
                  <c:v>118.3080059</c:v>
                </c:pt>
                <c:pt idx="4">
                  <c:v>118.0282296</c:v>
                </c:pt>
                <c:pt idx="5">
                  <c:v>117.9279559</c:v>
                </c:pt>
                <c:pt idx="6">
                  <c:v>117.9438366</c:v>
                </c:pt>
                <c:pt idx="7">
                  <c:v>118.04761809999999</c:v>
                </c:pt>
                <c:pt idx="8">
                  <c:v>118.2128721</c:v>
                </c:pt>
                <c:pt idx="9">
                  <c:v>118.419524</c:v>
                </c:pt>
                <c:pt idx="10">
                  <c:v>118.69958010000001</c:v>
                </c:pt>
                <c:pt idx="11">
                  <c:v>118.97888829999999</c:v>
                </c:pt>
                <c:pt idx="12">
                  <c:v>119.26216169999999</c:v>
                </c:pt>
                <c:pt idx="13">
                  <c:v>119.55062719999999</c:v>
                </c:pt>
                <c:pt idx="14">
                  <c:v>119.8441222</c:v>
                </c:pt>
                <c:pt idx="15">
                  <c:v>120.1420114</c:v>
                </c:pt>
                <c:pt idx="16">
                  <c:v>120.4436621</c:v>
                </c:pt>
                <c:pt idx="17">
                  <c:v>120.7486749</c:v>
                </c:pt>
                <c:pt idx="18">
                  <c:v>121.05695710000001</c:v>
                </c:pt>
                <c:pt idx="19">
                  <c:v>121.36860470000001</c:v>
                </c:pt>
                <c:pt idx="20">
                  <c:v>121.6532395</c:v>
                </c:pt>
                <c:pt idx="21">
                  <c:v>121.9545553</c:v>
                </c:pt>
                <c:pt idx="22">
                  <c:v>122.2660085</c:v>
                </c:pt>
                <c:pt idx="23">
                  <c:v>122.5844795</c:v>
                </c:pt>
                <c:pt idx="24">
                  <c:v>122.9083267</c:v>
                </c:pt>
                <c:pt idx="25">
                  <c:v>123.15274479999999</c:v>
                </c:pt>
                <c:pt idx="26">
                  <c:v>123.39661030000001</c:v>
                </c:pt>
                <c:pt idx="27">
                  <c:v>123.6378278</c:v>
                </c:pt>
                <c:pt idx="28">
                  <c:v>123.8758124</c:v>
                </c:pt>
                <c:pt idx="29">
                  <c:v>124.1107698</c:v>
                </c:pt>
                <c:pt idx="30">
                  <c:v>124.3432402</c:v>
                </c:pt>
                <c:pt idx="31">
                  <c:v>124.57383040000001</c:v>
                </c:pt>
                <c:pt idx="32">
                  <c:v>124.8031299</c:v>
                </c:pt>
                <c:pt idx="33">
                  <c:v>125.0316517</c:v>
                </c:pt>
                <c:pt idx="34">
                  <c:v>125.25982879999999</c:v>
                </c:pt>
                <c:pt idx="35">
                  <c:v>125.48803220000001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231.20166742309999</c:v>
                      </c:pt>
                      <c:pt idx="1">
                        <c:v>233.87580380349999</c:v>
                      </c:pt>
                      <c:pt idx="2">
                        <c:v>236.66523389450003</c:v>
                      </c:pt>
                      <c:pt idx="3">
                        <c:v>239.63034498030001</c:v>
                      </c:pt>
                      <c:pt idx="4">
                        <c:v>242.80545899149999</c:v>
                      </c:pt>
                      <c:pt idx="5">
                        <c:v>246.1938830624</c:v>
                      </c:pt>
                      <c:pt idx="6">
                        <c:v>249.62942753460001</c:v>
                      </c:pt>
                      <c:pt idx="7">
                        <c:v>253.18104039359997</c:v>
                      </c:pt>
                      <c:pt idx="8">
                        <c:v>256.85148549590002</c:v>
                      </c:pt>
                      <c:pt idx="9">
                        <c:v>260.63226605839998</c:v>
                      </c:pt>
                      <c:pt idx="10">
                        <c:v>264.78103372520002</c:v>
                      </c:pt>
                      <c:pt idx="11">
                        <c:v>268.866306683</c:v>
                      </c:pt>
                      <c:pt idx="12">
                        <c:v>272.99736963380002</c:v>
                      </c:pt>
                      <c:pt idx="13">
                        <c:v>277.19207452520004</c:v>
                      </c:pt>
                      <c:pt idx="14">
                        <c:v>281.45174521669998</c:v>
                      </c:pt>
                      <c:pt idx="15">
                        <c:v>285.77498550539997</c:v>
                      </c:pt>
                      <c:pt idx="16">
                        <c:v>290.16152291669999</c:v>
                      </c:pt>
                      <c:pt idx="17">
                        <c:v>294.6092526539</c:v>
                      </c:pt>
                      <c:pt idx="18">
                        <c:v>299.11721060090002</c:v>
                      </c:pt>
                      <c:pt idx="19">
                        <c:v>303.68488100319996</c:v>
                      </c:pt>
                      <c:pt idx="20">
                        <c:v>308.11332683440003</c:v>
                      </c:pt>
                      <c:pt idx="21">
                        <c:v>312.71818184930004</c:v>
                      </c:pt>
                      <c:pt idx="22">
                        <c:v>317.4132767186</c:v>
                      </c:pt>
                      <c:pt idx="23">
                        <c:v>322.18204638640003</c:v>
                      </c:pt>
                      <c:pt idx="24">
                        <c:v>327.02099200229998</c:v>
                      </c:pt>
                      <c:pt idx="25">
                        <c:v>331.35427204159998</c:v>
                      </c:pt>
                      <c:pt idx="26">
                        <c:v>335.82049241499999</c:v>
                      </c:pt>
                      <c:pt idx="27">
                        <c:v>340.3272338868</c:v>
                      </c:pt>
                      <c:pt idx="28">
                        <c:v>344.86620295810002</c:v>
                      </c:pt>
                      <c:pt idx="29">
                        <c:v>349.44348660190002</c:v>
                      </c:pt>
                      <c:pt idx="30">
                        <c:v>354.0667367227</c:v>
                      </c:pt>
                      <c:pt idx="31">
                        <c:v>358.7423517098</c:v>
                      </c:pt>
                      <c:pt idx="32">
                        <c:v>363.47605766599997</c:v>
                      </c:pt>
                      <c:pt idx="33">
                        <c:v>368.27207686819997</c:v>
                      </c:pt>
                      <c:pt idx="34">
                        <c:v>373.13347625939997</c:v>
                      </c:pt>
                      <c:pt idx="35">
                        <c:v>378.06239359239999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231.12238608059999</c:v>
                      </c:pt>
                      <c:pt idx="1">
                        <c:v>233.74537131459999</c:v>
                      </c:pt>
                      <c:pt idx="2">
                        <c:v>236.50400660310001</c:v>
                      </c:pt>
                      <c:pt idx="3">
                        <c:v>239.4484698185</c:v>
                      </c:pt>
                      <c:pt idx="4">
                        <c:v>242.60493001</c:v>
                      </c:pt>
                      <c:pt idx="5">
                        <c:v>245.97152094640001</c:v>
                      </c:pt>
                      <c:pt idx="6">
                        <c:v>249.38226494190002</c:v>
                      </c:pt>
                      <c:pt idx="7">
                        <c:v>252.90803295160001</c:v>
                      </c:pt>
                      <c:pt idx="8">
                        <c:v>256.55293777409997</c:v>
                      </c:pt>
                      <c:pt idx="9">
                        <c:v>260.3091735973</c:v>
                      </c:pt>
                      <c:pt idx="10">
                        <c:v>264.43432370509998</c:v>
                      </c:pt>
                      <c:pt idx="11">
                        <c:v>268.49633508950001</c:v>
                      </c:pt>
                      <c:pt idx="12">
                        <c:v>272.60510494509998</c:v>
                      </c:pt>
                      <c:pt idx="13">
                        <c:v>276.77843751710003</c:v>
                      </c:pt>
                      <c:pt idx="14">
                        <c:v>281.01751867639996</c:v>
                      </c:pt>
                      <c:pt idx="15">
                        <c:v>285.32082525219994</c:v>
                      </c:pt>
                      <c:pt idx="16">
                        <c:v>289.68667849500002</c:v>
                      </c:pt>
                      <c:pt idx="17">
                        <c:v>294.1136815397</c:v>
                      </c:pt>
                      <c:pt idx="18">
                        <c:v>298.6007591417</c:v>
                      </c:pt>
                      <c:pt idx="19">
                        <c:v>303.1471366188</c:v>
                      </c:pt>
                      <c:pt idx="20">
                        <c:v>307.55398779030003</c:v>
                      </c:pt>
                      <c:pt idx="21">
                        <c:v>312.13609817440005</c:v>
                      </c:pt>
                      <c:pt idx="22">
                        <c:v>316.80724417729999</c:v>
                      </c:pt>
                      <c:pt idx="23">
                        <c:v>321.55078002319999</c:v>
                      </c:pt>
                      <c:pt idx="24">
                        <c:v>326.36315793299997</c:v>
                      </c:pt>
                      <c:pt idx="25">
                        <c:v>330.66985732289999</c:v>
                      </c:pt>
                      <c:pt idx="26">
                        <c:v>335.1085928023</c:v>
                      </c:pt>
                      <c:pt idx="27">
                        <c:v>339.586676549</c:v>
                      </c:pt>
                      <c:pt idx="28">
                        <c:v>344.09588231380002</c:v>
                      </c:pt>
                      <c:pt idx="29">
                        <c:v>348.64242272909996</c:v>
                      </c:pt>
                      <c:pt idx="30">
                        <c:v>353.23407253020002</c:v>
                      </c:pt>
                      <c:pt idx="31">
                        <c:v>357.87769682400005</c:v>
                      </c:pt>
                      <c:pt idx="32">
                        <c:v>362.57882390840001</c:v>
                      </c:pt>
                      <c:pt idx="33">
                        <c:v>367.34167967900004</c:v>
                      </c:pt>
                      <c:pt idx="34">
                        <c:v>372.1693493427</c:v>
                      </c:pt>
                      <c:pt idx="35">
                        <c:v>377.06397956310002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Consommation énergétique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Données!$B$473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Données!$C$473:$AL$473</c:f>
              <c:numCache>
                <c:formatCode>0.0%</c:formatCode>
                <c:ptCount val="36"/>
                <c:pt idx="0">
                  <c:v>1.6403920044193372E-6</c:v>
                </c:pt>
                <c:pt idx="1">
                  <c:v>3.211172069945385E-6</c:v>
                </c:pt>
                <c:pt idx="2">
                  <c:v>4.2604705299548834E-6</c:v>
                </c:pt>
                <c:pt idx="3">
                  <c:v>5.0723624394950388E-6</c:v>
                </c:pt>
                <c:pt idx="4">
                  <c:v>5.6504954380692146E-6</c:v>
                </c:pt>
                <c:pt idx="5">
                  <c:v>5.9312099697552147E-6</c:v>
                </c:pt>
                <c:pt idx="6">
                  <c:v>5.9341337318302898E-6</c:v>
                </c:pt>
                <c:pt idx="7">
                  <c:v>5.6859933119584163E-6</c:v>
                </c:pt>
                <c:pt idx="8">
                  <c:v>5.2080696997095574E-6</c:v>
                </c:pt>
                <c:pt idx="9">
                  <c:v>4.5212866330383599E-6</c:v>
                </c:pt>
                <c:pt idx="10">
                  <c:v>3.6441711834761502E-6</c:v>
                </c:pt>
                <c:pt idx="11">
                  <c:v>2.6348689296625045E-6</c:v>
                </c:pt>
                <c:pt idx="12">
                  <c:v>1.5086168184595358E-6</c:v>
                </c:pt>
                <c:pt idx="13">
                  <c:v>2.8187500845714567E-7</c:v>
                </c:pt>
                <c:pt idx="14">
                  <c:v>-1.0347712327407399E-6</c:v>
                </c:pt>
                <c:pt idx="15">
                  <c:v>-2.4388089905240318E-6</c:v>
                </c:pt>
                <c:pt idx="16">
                  <c:v>-3.9026312996181306E-6</c:v>
                </c:pt>
                <c:pt idx="17">
                  <c:v>-5.4366134275401388E-6</c:v>
                </c:pt>
                <c:pt idx="18">
                  <c:v>-7.0437062154768095E-6</c:v>
                </c:pt>
                <c:pt idx="19">
                  <c:v>-8.724017606985934E-6</c:v>
                </c:pt>
                <c:pt idx="20">
                  <c:v>-1.0465980996716493E-5</c:v>
                </c:pt>
                <c:pt idx="21">
                  <c:v>-1.2281423702961849E-5</c:v>
                </c:pt>
                <c:pt idx="22">
                  <c:v>-1.4163037948930876E-5</c:v>
                </c:pt>
                <c:pt idx="23">
                  <c:v>-1.6106146841644118E-5</c:v>
                </c:pt>
                <c:pt idx="24">
                  <c:v>-1.8106581537427191E-5</c:v>
                </c:pt>
                <c:pt idx="25">
                  <c:v>-2.0126218701884758E-5</c:v>
                </c:pt>
                <c:pt idx="26">
                  <c:v>-2.2208579958494123E-5</c:v>
                </c:pt>
                <c:pt idx="27">
                  <c:v>-2.4340915474000529E-5</c:v>
                </c:pt>
                <c:pt idx="28">
                  <c:v>-2.651879168434858E-5</c:v>
                </c:pt>
                <c:pt idx="29">
                  <c:v>-2.8737879773430999E-5</c:v>
                </c:pt>
                <c:pt idx="30">
                  <c:v>-3.0993504934520966E-5</c:v>
                </c:pt>
                <c:pt idx="31">
                  <c:v>-3.3287926694552754E-5</c:v>
                </c:pt>
                <c:pt idx="32">
                  <c:v>-3.5614121546216365E-5</c:v>
                </c:pt>
                <c:pt idx="33">
                  <c:v>-3.7966675563978607E-5</c:v>
                </c:pt>
                <c:pt idx="34">
                  <c:v>-4.0340487386500113E-5</c:v>
                </c:pt>
                <c:pt idx="35">
                  <c:v>-4.2730597876074169E-5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Données!$B$474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Données!$C$474:$AL$474</c:f>
              <c:numCache>
                <c:formatCode>0.0%</c:formatCode>
                <c:ptCount val="36"/>
                <c:pt idx="0">
                  <c:v>9.035260495023199E-5</c:v>
                </c:pt>
                <c:pt idx="1">
                  <c:v>2.8114286294035813E-4</c:v>
                </c:pt>
                <c:pt idx="2">
                  <c:v>4.1046447851223692E-4</c:v>
                </c:pt>
                <c:pt idx="3">
                  <c:v>5.1569671123732083E-4</c:v>
                </c:pt>
                <c:pt idx="4">
                  <c:v>6.2203321902727421E-4</c:v>
                </c:pt>
                <c:pt idx="5">
                  <c:v>7.4693271612331989E-4</c:v>
                </c:pt>
                <c:pt idx="6">
                  <c:v>8.778178920376572E-4</c:v>
                </c:pt>
                <c:pt idx="7">
                  <c:v>1.0087771423650154E-3</c:v>
                </c:pt>
                <c:pt idx="8">
                  <c:v>1.1376156241102765E-3</c:v>
                </c:pt>
                <c:pt idx="9">
                  <c:v>1.2633653893255833E-3</c:v>
                </c:pt>
                <c:pt idx="10">
                  <c:v>1.3850549820076017E-3</c:v>
                </c:pt>
                <c:pt idx="11">
                  <c:v>1.5055515009982595E-3</c:v>
                </c:pt>
                <c:pt idx="12">
                  <c:v>1.6242796271573497E-3</c:v>
                </c:pt>
                <c:pt idx="13">
                  <c:v>1.7415324841924902E-3</c:v>
                </c:pt>
                <c:pt idx="14">
                  <c:v>1.8571940362796917E-3</c:v>
                </c:pt>
                <c:pt idx="15">
                  <c:v>1.9701678851618554E-3</c:v>
                </c:pt>
                <c:pt idx="16">
                  <c:v>2.080919030535189E-3</c:v>
                </c:pt>
                <c:pt idx="17">
                  <c:v>2.187850802654062E-3</c:v>
                </c:pt>
                <c:pt idx="18">
                  <c:v>2.2905838371865645E-3</c:v>
                </c:pt>
                <c:pt idx="19">
                  <c:v>2.3892824419506592E-3</c:v>
                </c:pt>
                <c:pt idx="20">
                  <c:v>2.4852962617709505E-3</c:v>
                </c:pt>
                <c:pt idx="21">
                  <c:v>2.5778277224699493E-3</c:v>
                </c:pt>
                <c:pt idx="22">
                  <c:v>2.6678309596259498E-3</c:v>
                </c:pt>
                <c:pt idx="23">
                  <c:v>2.7557962550201196E-3</c:v>
                </c:pt>
                <c:pt idx="24">
                  <c:v>2.8419850497371263E-3</c:v>
                </c:pt>
                <c:pt idx="25">
                  <c:v>2.9293214221900194E-3</c:v>
                </c:pt>
                <c:pt idx="26">
                  <c:v>3.0141728247724234E-3</c:v>
                </c:pt>
                <c:pt idx="27">
                  <c:v>3.0975059669772495E-3</c:v>
                </c:pt>
                <c:pt idx="28">
                  <c:v>3.1794638201107978E-3</c:v>
                </c:pt>
                <c:pt idx="29">
                  <c:v>3.2599614302152758E-3</c:v>
                </c:pt>
                <c:pt idx="30">
                  <c:v>3.3388271403611601E-3</c:v>
                </c:pt>
                <c:pt idx="31">
                  <c:v>3.4154810715326367E-3</c:v>
                </c:pt>
                <c:pt idx="32">
                  <c:v>3.4899856929719564E-3</c:v>
                </c:pt>
                <c:pt idx="33">
                  <c:v>3.5622731550913715E-3</c:v>
                </c:pt>
                <c:pt idx="34">
                  <c:v>3.6322839178491804E-3</c:v>
                </c:pt>
                <c:pt idx="35">
                  <c:v>3.6999809603949058E-3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Données!$B$475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Données!$C$475:$AL$475</c:f>
              <c:numCache>
                <c:formatCode>0.0%</c:formatCode>
                <c:ptCount val="36"/>
                <c:pt idx="0">
                  <c:v>2.1762591420245079E-5</c:v>
                </c:pt>
                <c:pt idx="1">
                  <c:v>3.4977739266325993E-4</c:v>
                </c:pt>
                <c:pt idx="2">
                  <c:v>5.8854652265009249E-4</c:v>
                </c:pt>
                <c:pt idx="3">
                  <c:v>7.7938815823766982E-4</c:v>
                </c:pt>
                <c:pt idx="4">
                  <c:v>9.6418761952821468E-4</c:v>
                </c:pt>
                <c:pt idx="5">
                  <c:v>1.1823026283262477E-3</c:v>
                </c:pt>
                <c:pt idx="6">
                  <c:v>1.3712043416189729E-3</c:v>
                </c:pt>
                <c:pt idx="7">
                  <c:v>1.5192809040457452E-3</c:v>
                </c:pt>
                <c:pt idx="8">
                  <c:v>1.63443456922343E-3</c:v>
                </c:pt>
                <c:pt idx="9">
                  <c:v>1.7269603760474556E-3</c:v>
                </c:pt>
                <c:pt idx="10">
                  <c:v>1.8040839083870493E-3</c:v>
                </c:pt>
                <c:pt idx="11">
                  <c:v>1.8745403579952405E-3</c:v>
                </c:pt>
                <c:pt idx="12">
                  <c:v>1.9417081975193434E-3</c:v>
                </c:pt>
                <c:pt idx="13">
                  <c:v>2.0078842795460093E-3</c:v>
                </c:pt>
                <c:pt idx="14">
                  <c:v>2.0736731489441364E-3</c:v>
                </c:pt>
                <c:pt idx="15">
                  <c:v>2.1376251241291876E-3</c:v>
                </c:pt>
                <c:pt idx="16">
                  <c:v>2.1995322166597415E-3</c:v>
                </c:pt>
                <c:pt idx="17">
                  <c:v>2.2586154235925962E-3</c:v>
                </c:pt>
                <c:pt idx="18">
                  <c:v>2.3149693932306712E-3</c:v>
                </c:pt>
                <c:pt idx="19">
                  <c:v>2.3693384168195363E-3</c:v>
                </c:pt>
                <c:pt idx="20">
                  <c:v>2.423756438123079E-3</c:v>
                </c:pt>
                <c:pt idx="21">
                  <c:v>2.4779553125296194E-3</c:v>
                </c:pt>
                <c:pt idx="22">
                  <c:v>2.5333357099586026E-3</c:v>
                </c:pt>
                <c:pt idx="23">
                  <c:v>2.5905075448224607E-3</c:v>
                </c:pt>
                <c:pt idx="24">
                  <c:v>2.6496085884389823E-3</c:v>
                </c:pt>
                <c:pt idx="25">
                  <c:v>2.7133329128171471E-3</c:v>
                </c:pt>
                <c:pt idx="26">
                  <c:v>2.7778981738622497E-3</c:v>
                </c:pt>
                <c:pt idx="27">
                  <c:v>2.8437242227381319E-3</c:v>
                </c:pt>
                <c:pt idx="28">
                  <c:v>2.9105789793340778E-3</c:v>
                </c:pt>
                <c:pt idx="29">
                  <c:v>2.9779910856375658E-3</c:v>
                </c:pt>
                <c:pt idx="30">
                  <c:v>3.0454033231446117E-3</c:v>
                </c:pt>
                <c:pt idx="31">
                  <c:v>3.1119873890044355E-3</c:v>
                </c:pt>
                <c:pt idx="32">
                  <c:v>3.177342406664159E-3</c:v>
                </c:pt>
                <c:pt idx="33">
                  <c:v>3.2411661409222346E-3</c:v>
                </c:pt>
                <c:pt idx="34">
                  <c:v>3.3032328613439538E-3</c:v>
                </c:pt>
                <c:pt idx="35">
                  <c:v>3.3633850651985913E-3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Données!$B$476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Données!$C$476:$AL$476</c:f>
              <c:numCache>
                <c:formatCode>0.0%</c:formatCode>
                <c:ptCount val="36"/>
                <c:pt idx="0">
                  <c:v>1.805903485789665E-5</c:v>
                </c:pt>
                <c:pt idx="1">
                  <c:v>2.7064844963052147E-4</c:v>
                </c:pt>
                <c:pt idx="2">
                  <c:v>4.2269587513139173E-4</c:v>
                </c:pt>
                <c:pt idx="3">
                  <c:v>5.2825017365129166E-4</c:v>
                </c:pt>
                <c:pt idx="4">
                  <c:v>6.3045772666391205E-4</c:v>
                </c:pt>
                <c:pt idx="5">
                  <c:v>7.584192759856861E-4</c:v>
                </c:pt>
                <c:pt idx="6">
                  <c:v>8.9883345953999322E-4</c:v>
                </c:pt>
                <c:pt idx="7">
                  <c:v>1.0421560045374379E-3</c:v>
                </c:pt>
                <c:pt idx="8">
                  <c:v>1.1829931669729472E-3</c:v>
                </c:pt>
                <c:pt idx="9">
                  <c:v>1.318783572533487E-3</c:v>
                </c:pt>
                <c:pt idx="10">
                  <c:v>1.4477611251364165E-3</c:v>
                </c:pt>
                <c:pt idx="11">
                  <c:v>1.5730954920507227E-3</c:v>
                </c:pt>
                <c:pt idx="12">
                  <c:v>1.695189127362427E-3</c:v>
                </c:pt>
                <c:pt idx="13">
                  <c:v>1.8148611639894816E-3</c:v>
                </c:pt>
                <c:pt idx="14">
                  <c:v>1.9322072257627323E-3</c:v>
                </c:pt>
                <c:pt idx="15">
                  <c:v>2.0458440009203786E-3</c:v>
                </c:pt>
                <c:pt idx="16">
                  <c:v>2.155375019002309E-3</c:v>
                </c:pt>
                <c:pt idx="17">
                  <c:v>2.259713200342343E-3</c:v>
                </c:pt>
                <c:pt idx="18">
                  <c:v>2.3585633950756373E-3</c:v>
                </c:pt>
                <c:pt idx="19">
                  <c:v>2.4522351659496838E-3</c:v>
                </c:pt>
                <c:pt idx="20">
                  <c:v>2.5427269517591744E-3</c:v>
                </c:pt>
                <c:pt idx="21">
                  <c:v>2.6286660376907325E-3</c:v>
                </c:pt>
                <c:pt idx="22">
                  <c:v>2.7112475468756554E-3</c:v>
                </c:pt>
                <c:pt idx="23">
                  <c:v>2.79096904578683E-3</c:v>
                </c:pt>
                <c:pt idx="24">
                  <c:v>2.86800380984746E-3</c:v>
                </c:pt>
                <c:pt idx="25">
                  <c:v>2.9466954351256036E-3</c:v>
                </c:pt>
                <c:pt idx="26">
                  <c:v>3.0219027639172068E-3</c:v>
                </c:pt>
                <c:pt idx="27">
                  <c:v>3.0944212606626451E-3</c:v>
                </c:pt>
                <c:pt idx="28">
                  <c:v>3.1642542630024007E-3</c:v>
                </c:pt>
                <c:pt idx="29">
                  <c:v>3.2311541229681092E-3</c:v>
                </c:pt>
                <c:pt idx="30">
                  <c:v>3.2947823629126227E-3</c:v>
                </c:pt>
                <c:pt idx="31">
                  <c:v>3.3545726653895973E-3</c:v>
                </c:pt>
                <c:pt idx="32">
                  <c:v>3.4103183101658946E-3</c:v>
                </c:pt>
                <c:pt idx="33">
                  <c:v>3.4618466101209405E-3</c:v>
                </c:pt>
                <c:pt idx="34">
                  <c:v>3.5090109119479199E-3</c:v>
                </c:pt>
                <c:pt idx="35">
                  <c:v>3.5516869779340589E-3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Données!$B$477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Données!$C$477:$AL$477</c:f>
              <c:numCache>
                <c:formatCode>0.0%</c:formatCode>
                <c:ptCount val="36"/>
                <c:pt idx="0">
                  <c:v>-1.1847623294911476E-5</c:v>
                </c:pt>
                <c:pt idx="1">
                  <c:v>-2.3411898802605069E-4</c:v>
                </c:pt>
                <c:pt idx="2">
                  <c:v>-3.5070724615356581E-4</c:v>
                </c:pt>
                <c:pt idx="3">
                  <c:v>-3.9268080997182568E-4</c:v>
                </c:pt>
                <c:pt idx="4">
                  <c:v>-3.9199179688678579E-4</c:v>
                </c:pt>
                <c:pt idx="5">
                  <c:v>-3.6189843617690209E-4</c:v>
                </c:pt>
                <c:pt idx="6">
                  <c:v>-3.1590084304694576E-4</c:v>
                </c:pt>
                <c:pt idx="7">
                  <c:v>-2.6885374038803972E-4</c:v>
                </c:pt>
                <c:pt idx="8">
                  <c:v>-2.2794152884843543E-4</c:v>
                </c:pt>
                <c:pt idx="9">
                  <c:v>-1.9497505373958324E-4</c:v>
                </c:pt>
                <c:pt idx="10">
                  <c:v>-1.6913466757727879E-4</c:v>
                </c:pt>
                <c:pt idx="11">
                  <c:v>-1.4919642841576024E-4</c:v>
                </c:pt>
                <c:pt idx="12">
                  <c:v>-1.3339528807949054E-4</c:v>
                </c:pt>
                <c:pt idx="13">
                  <c:v>-1.2009192933550793E-4</c:v>
                </c:pt>
                <c:pt idx="14">
                  <c:v>-1.0820456064887606E-4</c:v>
                </c:pt>
                <c:pt idx="15">
                  <c:v>-9.7334649144833847E-5</c:v>
                </c:pt>
                <c:pt idx="16">
                  <c:v>-8.7983343212043341E-5</c:v>
                </c:pt>
                <c:pt idx="17">
                  <c:v>-8.0257154443113301E-5</c:v>
                </c:pt>
                <c:pt idx="18">
                  <c:v>-7.3929934313703068E-5</c:v>
                </c:pt>
                <c:pt idx="19">
                  <c:v>-6.8720796211421277E-5</c:v>
                </c:pt>
                <c:pt idx="20">
                  <c:v>-6.4244359858242221E-5</c:v>
                </c:pt>
                <c:pt idx="21">
                  <c:v>-6.0554525120812424E-5</c:v>
                </c:pt>
                <c:pt idx="22">
                  <c:v>-5.7510344678414082E-5</c:v>
                </c:pt>
                <c:pt idx="23">
                  <c:v>-5.5094520747431021E-5</c:v>
                </c:pt>
                <c:pt idx="24">
                  <c:v>-5.3361298971544827E-5</c:v>
                </c:pt>
                <c:pt idx="25">
                  <c:v>-5.1866155802126498E-5</c:v>
                </c:pt>
                <c:pt idx="26">
                  <c:v>-5.1083837733633567E-5</c:v>
                </c:pt>
                <c:pt idx="27">
                  <c:v>-5.1058078444884694E-5</c:v>
                </c:pt>
                <c:pt idx="28">
                  <c:v>-5.2050420123032776E-5</c:v>
                </c:pt>
                <c:pt idx="29">
                  <c:v>-5.4322034473669551E-5</c:v>
                </c:pt>
                <c:pt idx="30">
                  <c:v>-5.8081544279857798E-5</c:v>
                </c:pt>
                <c:pt idx="31">
                  <c:v>-6.3362950047080388E-5</c:v>
                </c:pt>
                <c:pt idx="32">
                  <c:v>-7.0248060824678175E-5</c:v>
                </c:pt>
                <c:pt idx="33">
                  <c:v>-7.8856897528622663E-5</c:v>
                </c:pt>
                <c:pt idx="34">
                  <c:v>-8.9296033154476526E-5</c:v>
                </c:pt>
                <c:pt idx="35">
                  <c:v>-1.0165679356028426E-4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Données!$B$472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Données!$C$472:$AL$472</c:f>
              <c:numCache>
                <c:formatCode>0.0%</c:formatCode>
                <c:ptCount val="36"/>
                <c:pt idx="0">
                  <c:v>1.1996687119042448E-4</c:v>
                </c:pt>
                <c:pt idx="1">
                  <c:v>6.7066069165244713E-4</c:v>
                </c:pt>
                <c:pt idx="2">
                  <c:v>1.0752606832615808E-3</c:v>
                </c:pt>
                <c:pt idx="3">
                  <c:v>1.4357267291036369E-3</c:v>
                </c:pt>
                <c:pt idx="4">
                  <c:v>1.8303372547767705E-3</c:v>
                </c:pt>
                <c:pt idx="5">
                  <c:v>2.3316870255629674E-3</c:v>
                </c:pt>
                <c:pt idx="6">
                  <c:v>2.8378888736428909E-3</c:v>
                </c:pt>
                <c:pt idx="7">
                  <c:v>3.3070459849102729E-3</c:v>
                </c:pt>
                <c:pt idx="8">
                  <c:v>3.7323098178299041E-3</c:v>
                </c:pt>
                <c:pt idx="9">
                  <c:v>4.1186555994514595E-3</c:v>
                </c:pt>
                <c:pt idx="10">
                  <c:v>4.4714094528157666E-3</c:v>
                </c:pt>
                <c:pt idx="11">
                  <c:v>4.8066257629515441E-3</c:v>
                </c:pt>
                <c:pt idx="12">
                  <c:v>5.1292905222224405E-3</c:v>
                </c:pt>
                <c:pt idx="13">
                  <c:v>5.4444677168736799E-3</c:v>
                </c:pt>
                <c:pt idx="14">
                  <c:v>5.7538354024473382E-3</c:v>
                </c:pt>
                <c:pt idx="15">
                  <c:v>6.0538637537095319E-3</c:v>
                </c:pt>
                <c:pt idx="16">
                  <c:v>6.3439401304925536E-3</c:v>
                </c:pt>
                <c:pt idx="17">
                  <c:v>6.620485412393684E-3</c:v>
                </c:pt>
                <c:pt idx="18">
                  <c:v>6.8831427506375054E-3</c:v>
                </c:pt>
                <c:pt idx="19">
                  <c:v>7.1334110996266187E-3</c:v>
                </c:pt>
                <c:pt idx="20">
                  <c:v>7.3770694036032758E-3</c:v>
                </c:pt>
                <c:pt idx="21">
                  <c:v>7.6116131859267355E-3</c:v>
                </c:pt>
                <c:pt idx="22">
                  <c:v>7.8407408263450051E-3</c:v>
                </c:pt>
                <c:pt idx="23">
                  <c:v>8.0660722056962175E-3</c:v>
                </c:pt>
                <c:pt idx="24">
                  <c:v>8.2881293774679232E-3</c:v>
                </c:pt>
                <c:pt idx="25">
                  <c:v>8.517357141534232E-3</c:v>
                </c:pt>
                <c:pt idx="26">
                  <c:v>8.7406814311450365E-3</c:v>
                </c:pt>
                <c:pt idx="27">
                  <c:v>8.9602525177052694E-3</c:v>
                </c:pt>
                <c:pt idx="28">
                  <c:v>9.1757276761803563E-3</c:v>
                </c:pt>
                <c:pt idx="29">
                  <c:v>9.3860465396724546E-3</c:v>
                </c:pt>
                <c:pt idx="30">
                  <c:v>9.5899378067263452E-3</c:v>
                </c:pt>
                <c:pt idx="31">
                  <c:v>9.7853906365943377E-3</c:v>
                </c:pt>
                <c:pt idx="32">
                  <c:v>9.9717842785564947E-3</c:v>
                </c:pt>
                <c:pt idx="33">
                  <c:v>1.0148462434299343E-2</c:v>
                </c:pt>
                <c:pt idx="34">
                  <c:v>1.0314890928360576E-2</c:v>
                </c:pt>
                <c:pt idx="35">
                  <c:v>1.0470665617362762E-2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9274551549754362E-2"/>
          <c:y val="0.83157658690065972"/>
          <c:w val="0.91015582410303764"/>
          <c:h val="0.155849883942365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Net energy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Données!$B$527</c:f>
              <c:strCache>
                <c:ptCount val="1"/>
                <c:pt idx="0">
                  <c:v>Households' consumption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Données!$C$527:$AL$527</c:f>
              <c:numCache>
                <c:formatCode>0%</c:formatCode>
                <c:ptCount val="36"/>
                <c:pt idx="0">
                  <c:v>0</c:v>
                </c:pt>
                <c:pt idx="1">
                  <c:v>6.3399111410655047E-4</c:v>
                </c:pt>
                <c:pt idx="2">
                  <c:v>1.1172793779595659E-3</c:v>
                </c:pt>
                <c:pt idx="3">
                  <c:v>1.5440633692065154E-3</c:v>
                </c:pt>
                <c:pt idx="4">
                  <c:v>1.9999920990339082E-3</c:v>
                </c:pt>
                <c:pt idx="5">
                  <c:v>2.5714499698143239E-3</c:v>
                </c:pt>
                <c:pt idx="6">
                  <c:v>3.1435494251797827E-3</c:v>
                </c:pt>
                <c:pt idx="7">
                  <c:v>3.6717568876728397E-3</c:v>
                </c:pt>
                <c:pt idx="8">
                  <c:v>4.1513927395557051E-3</c:v>
                </c:pt>
                <c:pt idx="9">
                  <c:v>4.590316108070488E-3</c:v>
                </c:pt>
                <c:pt idx="10">
                  <c:v>4.995094123530424E-3</c:v>
                </c:pt>
                <c:pt idx="11">
                  <c:v>5.3845004502128344E-3</c:v>
                </c:pt>
                <c:pt idx="12">
                  <c:v>5.7647263848776536E-3</c:v>
                </c:pt>
                <c:pt idx="13">
                  <c:v>6.1413029787615071E-3</c:v>
                </c:pt>
                <c:pt idx="14">
                  <c:v>6.5154090640777915E-3</c:v>
                </c:pt>
                <c:pt idx="15">
                  <c:v>6.8820455573624928E-3</c:v>
                </c:pt>
                <c:pt idx="16">
                  <c:v>7.2376516329791122E-3</c:v>
                </c:pt>
                <c:pt idx="17">
                  <c:v>7.5788106324262E-3</c:v>
                </c:pt>
                <c:pt idx="18">
                  <c:v>7.9044270049284035E-3</c:v>
                </c:pt>
                <c:pt idx="19">
                  <c:v>8.215460470323158E-3</c:v>
                </c:pt>
                <c:pt idx="20">
                  <c:v>8.5187577833667257E-3</c:v>
                </c:pt>
                <c:pt idx="21">
                  <c:v>8.8091320300780779E-3</c:v>
                </c:pt>
                <c:pt idx="22">
                  <c:v>9.0917355262247097E-3</c:v>
                </c:pt>
                <c:pt idx="23">
                  <c:v>9.3683544885052213E-3</c:v>
                </c:pt>
                <c:pt idx="24">
                  <c:v>9.639631306955514E-3</c:v>
                </c:pt>
                <c:pt idx="25">
                  <c:v>9.920233762400598E-3</c:v>
                </c:pt>
                <c:pt idx="26">
                  <c:v>1.0190985621585233E-2</c:v>
                </c:pt>
                <c:pt idx="27">
                  <c:v>1.0455677930343148E-2</c:v>
                </c:pt>
                <c:pt idx="28">
                  <c:v>1.0714067346481443E-2</c:v>
                </c:pt>
                <c:pt idx="29">
                  <c:v>1.0965284819636904E-2</c:v>
                </c:pt>
                <c:pt idx="30">
                  <c:v>1.1208183158112534E-2</c:v>
                </c:pt>
                <c:pt idx="31">
                  <c:v>1.1441152834648E-2</c:v>
                </c:pt>
                <c:pt idx="32">
                  <c:v>1.1663229596964253E-2</c:v>
                </c:pt>
                <c:pt idx="33">
                  <c:v>1.1873721075650752E-2</c:v>
                </c:pt>
                <c:pt idx="34">
                  <c:v>1.2072086380074934E-2</c:v>
                </c:pt>
                <c:pt idx="35">
                  <c:v>1.2257894377396812E-2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Données!$B$528</c:f>
              <c:strCache>
                <c:ptCount val="1"/>
                <c:pt idx="0">
                  <c:v>Firms' consumption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Données!$C$528:$AL$528</c:f>
              <c:numCache>
                <c:formatCode>0%</c:formatCode>
                <c:ptCount val="36"/>
                <c:pt idx="0">
                  <c:v>2.06846292607716E-4</c:v>
                </c:pt>
                <c:pt idx="1">
                  <c:v>5.3668830817692019E-4</c:v>
                </c:pt>
                <c:pt idx="2">
                  <c:v>7.3398086271606662E-4</c:v>
                </c:pt>
                <c:pt idx="3">
                  <c:v>8.5186266049425694E-4</c:v>
                </c:pt>
                <c:pt idx="4">
                  <c:v>9.5642977833927201E-4</c:v>
                </c:pt>
                <c:pt idx="5">
                  <c:v>1.0914904445281206E-3</c:v>
                </c:pt>
                <c:pt idx="6">
                  <c:v>1.2444732235695703E-3</c:v>
                </c:pt>
                <c:pt idx="7">
                  <c:v>1.3977890504502514E-3</c:v>
                </c:pt>
                <c:pt idx="8">
                  <c:v>1.5418385494541185E-3</c:v>
                </c:pt>
                <c:pt idx="9">
                  <c:v>1.672883746570466E-3</c:v>
                </c:pt>
                <c:pt idx="10">
                  <c:v>1.7895888762350059E-3</c:v>
                </c:pt>
                <c:pt idx="11">
                  <c:v>1.8986144176596567E-3</c:v>
                </c:pt>
                <c:pt idx="12">
                  <c:v>1.998670984533585E-3</c:v>
                </c:pt>
                <c:pt idx="13">
                  <c:v>2.0909494136219764E-3</c:v>
                </c:pt>
                <c:pt idx="14">
                  <c:v>2.1764697091298767E-3</c:v>
                </c:pt>
                <c:pt idx="15">
                  <c:v>2.2552540073451136E-3</c:v>
                </c:pt>
                <c:pt idx="16">
                  <c:v>2.33130580681374E-3</c:v>
                </c:pt>
                <c:pt idx="17">
                  <c:v>2.4024726584985149E-3</c:v>
                </c:pt>
                <c:pt idx="18">
                  <c:v>2.4690368272822076E-3</c:v>
                </c:pt>
                <c:pt idx="19">
                  <c:v>2.5321444309208221E-3</c:v>
                </c:pt>
                <c:pt idx="20">
                  <c:v>2.5941590900482436E-3</c:v>
                </c:pt>
                <c:pt idx="21">
                  <c:v>2.6545842409032355E-3</c:v>
                </c:pt>
                <c:pt idx="22">
                  <c:v>2.7152216762402061E-3</c:v>
                </c:pt>
                <c:pt idx="23">
                  <c:v>2.7766308250976104E-3</c:v>
                </c:pt>
                <c:pt idx="24">
                  <c:v>2.838939857629133E-3</c:v>
                </c:pt>
                <c:pt idx="25">
                  <c:v>2.9049880912993134E-3</c:v>
                </c:pt>
                <c:pt idx="26">
                  <c:v>2.9688512140994897E-3</c:v>
                </c:pt>
                <c:pt idx="27">
                  <c:v>3.0326603043876891E-3</c:v>
                </c:pt>
                <c:pt idx="28">
                  <c:v>3.0961611726949951E-3</c:v>
                </c:pt>
                <c:pt idx="29">
                  <c:v>3.158697154391826E-3</c:v>
                </c:pt>
                <c:pt idx="30">
                  <c:v>3.2195509171133942E-3</c:v>
                </c:pt>
                <c:pt idx="31">
                  <c:v>3.2770943190633E-3</c:v>
                </c:pt>
                <c:pt idx="32">
                  <c:v>3.3314820332364086E-3</c:v>
                </c:pt>
                <c:pt idx="33">
                  <c:v>3.3825360808130674E-3</c:v>
                </c:pt>
                <c:pt idx="34">
                  <c:v>3.4300650357551323E-3</c:v>
                </c:pt>
                <c:pt idx="35">
                  <c:v>3.4739270277894512E-3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Données!$B$529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Données!$C$529:$AL$529</c:f>
              <c:numCache>
                <c:formatCode>0%</c:formatCode>
                <c:ptCount val="36"/>
                <c:pt idx="0">
                  <c:v>-1.9517960500891932E-4</c:v>
                </c:pt>
                <c:pt idx="1">
                  <c:v>-8.3749060633455351E-4</c:v>
                </c:pt>
                <c:pt idx="2">
                  <c:v>-1.2907417497772745E-3</c:v>
                </c:pt>
                <c:pt idx="3">
                  <c:v>-1.6326573658453751E-3</c:v>
                </c:pt>
                <c:pt idx="4">
                  <c:v>-1.9526516003367251E-3</c:v>
                </c:pt>
                <c:pt idx="5">
                  <c:v>-2.3246262297175833E-3</c:v>
                </c:pt>
                <c:pt idx="6">
                  <c:v>-2.684528741442419E-3</c:v>
                </c:pt>
                <c:pt idx="7">
                  <c:v>-3.0108068479774638E-3</c:v>
                </c:pt>
                <c:pt idx="8">
                  <c:v>-3.3046533037337429E-3</c:v>
                </c:pt>
                <c:pt idx="9">
                  <c:v>-3.5727362404574911E-3</c:v>
                </c:pt>
                <c:pt idx="10">
                  <c:v>-3.8196902817838152E-3</c:v>
                </c:pt>
                <c:pt idx="11">
                  <c:v>-4.0591501783613848E-3</c:v>
                </c:pt>
                <c:pt idx="12">
                  <c:v>-4.2924871160220724E-3</c:v>
                </c:pt>
                <c:pt idx="13">
                  <c:v>-4.522151621353037E-3</c:v>
                </c:pt>
                <c:pt idx="14">
                  <c:v>-4.7486461966275819E-3</c:v>
                </c:pt>
                <c:pt idx="15">
                  <c:v>-4.9693962848752164E-3</c:v>
                </c:pt>
                <c:pt idx="16">
                  <c:v>-5.1860206543415553E-3</c:v>
                </c:pt>
                <c:pt idx="17">
                  <c:v>-5.3953347848317412E-3</c:v>
                </c:pt>
                <c:pt idx="18">
                  <c:v>-5.5967834775099926E-3</c:v>
                </c:pt>
                <c:pt idx="19">
                  <c:v>-5.7913122839868669E-3</c:v>
                </c:pt>
                <c:pt idx="20">
                  <c:v>-5.9829374986807935E-3</c:v>
                </c:pt>
                <c:pt idx="21">
                  <c:v>-6.1696383940044999E-3</c:v>
                </c:pt>
                <c:pt idx="22">
                  <c:v>-6.3547426380753131E-3</c:v>
                </c:pt>
                <c:pt idx="23">
                  <c:v>-6.5394513482611794E-3</c:v>
                </c:pt>
                <c:pt idx="24">
                  <c:v>-6.7242240098937343E-3</c:v>
                </c:pt>
                <c:pt idx="25">
                  <c:v>-6.9161056595852559E-3</c:v>
                </c:pt>
                <c:pt idx="26">
                  <c:v>-7.1040808540205874E-3</c:v>
                </c:pt>
                <c:pt idx="27">
                  <c:v>-7.2912055233428658E-3</c:v>
                </c:pt>
                <c:pt idx="28">
                  <c:v>-7.4773804856441807E-3</c:v>
                </c:pt>
                <c:pt idx="29">
                  <c:v>-7.6619722705285175E-3</c:v>
                </c:pt>
                <c:pt idx="30">
                  <c:v>-7.8441474737160396E-3</c:v>
                </c:pt>
                <c:pt idx="31">
                  <c:v>-8.0220388038940195E-3</c:v>
                </c:pt>
                <c:pt idx="32">
                  <c:v>-8.1954186714276716E-3</c:v>
                </c:pt>
                <c:pt idx="33">
                  <c:v>-8.3639449921714352E-3</c:v>
                </c:pt>
                <c:pt idx="34">
                  <c:v>-8.5273286085785372E-3</c:v>
                </c:pt>
                <c:pt idx="35">
                  <c:v>-8.6853588142974184E-3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Données!$B$526</c:f>
              <c:strCache>
                <c:ptCount val="1"/>
                <c:pt idx="0">
                  <c:v>Net production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Données!$C$526:$AL$526</c:f>
              <c:numCache>
                <c:formatCode>0%</c:formatCode>
                <c:ptCount val="36"/>
                <c:pt idx="0">
                  <c:v>1.1666114571928787E-5</c:v>
                </c:pt>
                <c:pt idx="1">
                  <c:v>3.3318938441162516E-4</c:v>
                </c:pt>
                <c:pt idx="2">
                  <c:v>5.6051799715439721E-4</c:v>
                </c:pt>
                <c:pt idx="3">
                  <c:v>7.6326838390761154E-4</c:v>
                </c:pt>
                <c:pt idx="4">
                  <c:v>1.0037710403476563E-3</c:v>
                </c:pt>
                <c:pt idx="5">
                  <c:v>1.3383138408520345E-3</c:v>
                </c:pt>
                <c:pt idx="6">
                  <c:v>1.7034934985968864E-3</c:v>
                </c:pt>
                <c:pt idx="7">
                  <c:v>2.0587386178916312E-3</c:v>
                </c:pt>
                <c:pt idx="8">
                  <c:v>2.3885775176901713E-3</c:v>
                </c:pt>
                <c:pt idx="9">
                  <c:v>2.6904632174484799E-3</c:v>
                </c:pt>
                <c:pt idx="10">
                  <c:v>2.9649934371844822E-3</c:v>
                </c:pt>
                <c:pt idx="11">
                  <c:v>3.2239643014058128E-3</c:v>
                </c:pt>
                <c:pt idx="12">
                  <c:v>3.4709112133191056E-3</c:v>
                </c:pt>
                <c:pt idx="13">
                  <c:v>3.7101008343427555E-3</c:v>
                </c:pt>
                <c:pt idx="14">
                  <c:v>3.9432328897568425E-3</c:v>
                </c:pt>
                <c:pt idx="15">
                  <c:v>4.1679030939416606E-3</c:v>
                </c:pt>
                <c:pt idx="16">
                  <c:v>4.3829372758297236E-3</c:v>
                </c:pt>
                <c:pt idx="17">
                  <c:v>4.5859484454568999E-3</c:v>
                </c:pt>
                <c:pt idx="18">
                  <c:v>4.7766799948176786E-3</c:v>
                </c:pt>
                <c:pt idx="19">
                  <c:v>4.9562923206072362E-3</c:v>
                </c:pt>
                <c:pt idx="20">
                  <c:v>5.129978317767403E-3</c:v>
                </c:pt>
                <c:pt idx="21">
                  <c:v>5.2940772960774485E-3</c:v>
                </c:pt>
                <c:pt idx="22">
                  <c:v>5.4522137599513076E-3</c:v>
                </c:pt>
                <c:pt idx="23">
                  <c:v>5.6055341358403066E-3</c:v>
                </c:pt>
                <c:pt idx="24">
                  <c:v>5.7543467050178432E-3</c:v>
                </c:pt>
                <c:pt idx="25">
                  <c:v>5.9091161941147163E-3</c:v>
                </c:pt>
                <c:pt idx="26">
                  <c:v>6.0557557059954803E-3</c:v>
                </c:pt>
                <c:pt idx="27">
                  <c:v>6.1971324930323313E-3</c:v>
                </c:pt>
                <c:pt idx="28">
                  <c:v>6.3328479254360914E-3</c:v>
                </c:pt>
                <c:pt idx="29">
                  <c:v>6.4620100245653678E-3</c:v>
                </c:pt>
                <c:pt idx="30">
                  <c:v>6.583586018769072E-3</c:v>
                </c:pt>
                <c:pt idx="31">
                  <c:v>6.696208349817212E-3</c:v>
                </c:pt>
                <c:pt idx="32">
                  <c:v>6.7992932183440491E-3</c:v>
                </c:pt>
                <c:pt idx="33">
                  <c:v>6.8923120615209665E-3</c:v>
                </c:pt>
                <c:pt idx="34">
                  <c:v>6.9748225020966892E-3</c:v>
                </c:pt>
                <c:pt idx="35">
                  <c:v>7.0464624902202289E-3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5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Primary energy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Données!$B$507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Données!$C$507:$AL$507</c:f>
              <c:numCache>
                <c:formatCode>0.0%</c:formatCode>
                <c:ptCount val="36"/>
                <c:pt idx="0">
                  <c:v>1.548482940776354E-6</c:v>
                </c:pt>
                <c:pt idx="1">
                  <c:v>1.158680116642227E-6</c:v>
                </c:pt>
                <c:pt idx="2">
                  <c:v>1.2683098049878153E-6</c:v>
                </c:pt>
                <c:pt idx="3">
                  <c:v>1.9759210065689802E-6</c:v>
                </c:pt>
                <c:pt idx="4">
                  <c:v>2.9590517608812286E-6</c:v>
                </c:pt>
                <c:pt idx="5">
                  <c:v>3.9513737992571917E-6</c:v>
                </c:pt>
                <c:pt idx="6">
                  <c:v>4.7608474543667083E-6</c:v>
                </c:pt>
                <c:pt idx="7">
                  <c:v>5.4000005909815466E-6</c:v>
                </c:pt>
                <c:pt idx="8">
                  <c:v>5.9288298208034506E-6</c:v>
                </c:pt>
                <c:pt idx="9">
                  <c:v>6.3878818317156312E-6</c:v>
                </c:pt>
                <c:pt idx="10">
                  <c:v>6.7932543639399867E-6</c:v>
                </c:pt>
                <c:pt idx="11">
                  <c:v>7.1749606524373239E-6</c:v>
                </c:pt>
                <c:pt idx="12">
                  <c:v>7.5261590499694301E-6</c:v>
                </c:pt>
                <c:pt idx="13">
                  <c:v>7.8501543376223834E-6</c:v>
                </c:pt>
                <c:pt idx="14">
                  <c:v>8.1488627285583611E-6</c:v>
                </c:pt>
                <c:pt idx="15">
                  <c:v>8.4191044338475258E-6</c:v>
                </c:pt>
                <c:pt idx="16">
                  <c:v>8.6701651863374157E-6</c:v>
                </c:pt>
                <c:pt idx="17">
                  <c:v>8.8868372727028153E-6</c:v>
                </c:pt>
                <c:pt idx="18">
                  <c:v>9.0656009554650501E-6</c:v>
                </c:pt>
                <c:pt idx="19">
                  <c:v>9.2066658577566626E-6</c:v>
                </c:pt>
                <c:pt idx="20">
                  <c:v>9.3174035898413588E-6</c:v>
                </c:pt>
                <c:pt idx="21">
                  <c:v>9.3910104858094681E-6</c:v>
                </c:pt>
                <c:pt idx="22">
                  <c:v>9.4352148676113966E-6</c:v>
                </c:pt>
                <c:pt idx="23">
                  <c:v>9.4544908392813811E-6</c:v>
                </c:pt>
                <c:pt idx="24">
                  <c:v>9.4530921617154938E-6</c:v>
                </c:pt>
                <c:pt idx="25">
                  <c:v>9.4532338379782038E-6</c:v>
                </c:pt>
                <c:pt idx="26">
                  <c:v>9.4301132901402215E-6</c:v>
                </c:pt>
                <c:pt idx="27">
                  <c:v>9.3981650823332798E-6</c:v>
                </c:pt>
                <c:pt idx="28">
                  <c:v>9.3615659378646435E-6</c:v>
                </c:pt>
                <c:pt idx="29">
                  <c:v>9.323324755008269E-6</c:v>
                </c:pt>
                <c:pt idx="30">
                  <c:v>9.2864344075945575E-6</c:v>
                </c:pt>
                <c:pt idx="31">
                  <c:v>9.2499097452962814E-6</c:v>
                </c:pt>
                <c:pt idx="32">
                  <c:v>9.2189686080539939E-6</c:v>
                </c:pt>
                <c:pt idx="33">
                  <c:v>9.1963790550177916E-6</c:v>
                </c:pt>
                <c:pt idx="34">
                  <c:v>9.1846595055309756E-6</c:v>
                </c:pt>
                <c:pt idx="35">
                  <c:v>9.18678336090587E-6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Données!$B$508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Données!$C$508:$AL$508</c:f>
              <c:numCache>
                <c:formatCode>0.0%</c:formatCode>
                <c:ptCount val="36"/>
                <c:pt idx="0">
                  <c:v>2.650569606173121E-3</c:v>
                </c:pt>
                <c:pt idx="1">
                  <c:v>1.4764541287254468E-4</c:v>
                </c:pt>
                <c:pt idx="2">
                  <c:v>2.1907234109979124E-4</c:v>
                </c:pt>
                <c:pt idx="3">
                  <c:v>2.7584353818236793E-4</c:v>
                </c:pt>
                <c:pt idx="4">
                  <c:v>3.3228905410951731E-4</c:v>
                </c:pt>
                <c:pt idx="5">
                  <c:v>3.9845660568333204E-4</c:v>
                </c:pt>
                <c:pt idx="6">
                  <c:v>4.6777919491508178E-4</c:v>
                </c:pt>
                <c:pt idx="7">
                  <c:v>5.3692702738287242E-4</c:v>
                </c:pt>
                <c:pt idx="8">
                  <c:v>6.0468351933248637E-4</c:v>
                </c:pt>
                <c:pt idx="9">
                  <c:v>6.7057064214546614E-4</c:v>
                </c:pt>
                <c:pt idx="10">
                  <c:v>7.3401547257377772E-4</c:v>
                </c:pt>
                <c:pt idx="11">
                  <c:v>7.967911800221551E-4</c:v>
                </c:pt>
                <c:pt idx="12">
                  <c:v>8.5854983480871489E-4</c:v>
                </c:pt>
                <c:pt idx="13">
                  <c:v>9.1945647431947012E-4</c:v>
                </c:pt>
                <c:pt idx="14">
                  <c:v>9.7943135487557728E-4</c:v>
                </c:pt>
                <c:pt idx="15">
                  <c:v>1.0378573842831423E-3</c:v>
                </c:pt>
                <c:pt idx="16">
                  <c:v>1.0948655911011975E-3</c:v>
                </c:pt>
                <c:pt idx="17">
                  <c:v>1.1496821126918554E-3</c:v>
                </c:pt>
                <c:pt idx="18">
                  <c:v>1.2020959640445653E-3</c:v>
                </c:pt>
                <c:pt idx="19">
                  <c:v>1.2521948688995119E-3</c:v>
                </c:pt>
                <c:pt idx="20">
                  <c:v>1.3008522384491546E-3</c:v>
                </c:pt>
                <c:pt idx="21">
                  <c:v>1.347324758124065E-3</c:v>
                </c:pt>
                <c:pt idx="22">
                  <c:v>1.3923392074253152E-3</c:v>
                </c:pt>
                <c:pt idx="23">
                  <c:v>1.4361652316683331E-3</c:v>
                </c:pt>
                <c:pt idx="24">
                  <c:v>1.4789515850529115E-3</c:v>
                </c:pt>
                <c:pt idx="25">
                  <c:v>1.5227287809975081E-3</c:v>
                </c:pt>
                <c:pt idx="26">
                  <c:v>1.564730800202258E-3</c:v>
                </c:pt>
                <c:pt idx="27">
                  <c:v>1.6057909515458885E-3</c:v>
                </c:pt>
                <c:pt idx="28">
                  <c:v>1.6459822773153235E-3</c:v>
                </c:pt>
                <c:pt idx="29">
                  <c:v>1.6852667413419058E-3</c:v>
                </c:pt>
                <c:pt idx="30">
                  <c:v>1.7235581417222765E-3</c:v>
                </c:pt>
                <c:pt idx="31">
                  <c:v>1.7605741549152742E-3</c:v>
                </c:pt>
                <c:pt idx="32">
                  <c:v>1.7963253628340812E-3</c:v>
                </c:pt>
                <c:pt idx="33">
                  <c:v>1.8307793774314744E-3</c:v>
                </c:pt>
                <c:pt idx="34">
                  <c:v>1.863909210923747E-3</c:v>
                </c:pt>
                <c:pt idx="35">
                  <c:v>1.895699599359755E-3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Données!$B$509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Données!$C$509:$AL$509</c:f>
              <c:numCache>
                <c:formatCode>0.0%</c:formatCode>
                <c:ptCount val="36"/>
                <c:pt idx="0">
                  <c:v>-2.4112199063748994E-5</c:v>
                </c:pt>
                <c:pt idx="1">
                  <c:v>1.3631744101566824E-4</c:v>
                </c:pt>
                <c:pt idx="2">
                  <c:v>2.5507930966585808E-4</c:v>
                </c:pt>
                <c:pt idx="3">
                  <c:v>3.5088858121716927E-4</c:v>
                </c:pt>
                <c:pt idx="4">
                  <c:v>4.4466138499768044E-4</c:v>
                </c:pt>
                <c:pt idx="5">
                  <c:v>5.566954969220486E-4</c:v>
                </c:pt>
                <c:pt idx="6">
                  <c:v>6.5316499749431623E-4</c:v>
                </c:pt>
                <c:pt idx="7">
                  <c:v>7.2803259179090706E-4</c:v>
                </c:pt>
                <c:pt idx="8">
                  <c:v>7.8571398033992464E-4</c:v>
                </c:pt>
                <c:pt idx="9">
                  <c:v>8.3181227025651879E-4</c:v>
                </c:pt>
                <c:pt idx="10">
                  <c:v>8.7003183492917837E-4</c:v>
                </c:pt>
                <c:pt idx="11">
                  <c:v>9.0501830081888158E-4</c:v>
                </c:pt>
                <c:pt idx="12">
                  <c:v>9.3872372712082539E-4</c:v>
                </c:pt>
                <c:pt idx="13">
                  <c:v>9.7240655092991843E-4</c:v>
                </c:pt>
                <c:pt idx="14">
                  <c:v>1.0063229444431266E-3</c:v>
                </c:pt>
                <c:pt idx="15">
                  <c:v>1.0395479838275854E-3</c:v>
                </c:pt>
                <c:pt idx="16">
                  <c:v>1.0712813481572507E-3</c:v>
                </c:pt>
                <c:pt idx="17">
                  <c:v>1.101325157754351E-3</c:v>
                </c:pt>
                <c:pt idx="18">
                  <c:v>1.1296542006075192E-3</c:v>
                </c:pt>
                <c:pt idx="19">
                  <c:v>1.1565679716395048E-3</c:v>
                </c:pt>
                <c:pt idx="20">
                  <c:v>1.1832978200777718E-3</c:v>
                </c:pt>
                <c:pt idx="21">
                  <c:v>1.2091942857309608E-3</c:v>
                </c:pt>
                <c:pt idx="22">
                  <c:v>1.2351884378093137E-3</c:v>
                </c:pt>
                <c:pt idx="23">
                  <c:v>1.2616014110325517E-3</c:v>
                </c:pt>
                <c:pt idx="24">
                  <c:v>1.2885081606110545E-3</c:v>
                </c:pt>
                <c:pt idx="25">
                  <c:v>1.3180650382412602E-3</c:v>
                </c:pt>
                <c:pt idx="26">
                  <c:v>1.347359883044065E-3</c:v>
                </c:pt>
                <c:pt idx="27">
                  <c:v>1.3767974294018081E-3</c:v>
                </c:pt>
                <c:pt idx="28">
                  <c:v>1.4062759820396278E-3</c:v>
                </c:pt>
                <c:pt idx="29">
                  <c:v>1.4355928202968056E-3</c:v>
                </c:pt>
                <c:pt idx="30">
                  <c:v>1.464492992842307E-3</c:v>
                </c:pt>
                <c:pt idx="31">
                  <c:v>1.4926968125346135E-3</c:v>
                </c:pt>
                <c:pt idx="32">
                  <c:v>1.5199163990176456E-3</c:v>
                </c:pt>
                <c:pt idx="33">
                  <c:v>1.5459894557933365E-3</c:v>
                </c:pt>
                <c:pt idx="34">
                  <c:v>1.5708012792129543E-3</c:v>
                </c:pt>
                <c:pt idx="35">
                  <c:v>1.5942708287689635E-3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Données!$B$510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Données!$C$510:$AL$510</c:f>
              <c:numCache>
                <c:formatCode>0.0%</c:formatCode>
                <c:ptCount val="36"/>
                <c:pt idx="0">
                  <c:v>1.4537804801285263E-3</c:v>
                </c:pt>
                <c:pt idx="1">
                  <c:v>3.8412522201608127E-4</c:v>
                </c:pt>
                <c:pt idx="2">
                  <c:v>6.0433250064550028E-4</c:v>
                </c:pt>
                <c:pt idx="3">
                  <c:v>7.5331862755915623E-4</c:v>
                </c:pt>
                <c:pt idx="4">
                  <c:v>8.951550848339449E-4</c:v>
                </c:pt>
                <c:pt idx="5">
                  <c:v>1.0736768917054857E-3</c:v>
                </c:pt>
                <c:pt idx="6">
                  <c:v>1.2709456717510965E-3</c:v>
                </c:pt>
                <c:pt idx="7">
                  <c:v>1.4725068419893751E-3</c:v>
                </c:pt>
                <c:pt idx="8">
                  <c:v>1.6701458866307309E-3</c:v>
                </c:pt>
                <c:pt idx="9">
                  <c:v>1.8600174150558775E-3</c:v>
                </c:pt>
                <c:pt idx="10">
                  <c:v>2.0393133072205073E-3</c:v>
                </c:pt>
                <c:pt idx="11">
                  <c:v>2.2134479062175306E-3</c:v>
                </c:pt>
                <c:pt idx="12">
                  <c:v>2.3826533588166758E-3</c:v>
                </c:pt>
                <c:pt idx="13">
                  <c:v>2.5482185441082919E-3</c:v>
                </c:pt>
                <c:pt idx="14">
                  <c:v>2.710366038034638E-3</c:v>
                </c:pt>
                <c:pt idx="15">
                  <c:v>2.86718332197523E-3</c:v>
                </c:pt>
                <c:pt idx="16">
                  <c:v>3.0181303206118079E-3</c:v>
                </c:pt>
                <c:pt idx="17">
                  <c:v>3.1616682240889382E-3</c:v>
                </c:pt>
                <c:pt idx="18">
                  <c:v>3.2973621462842086E-3</c:v>
                </c:pt>
                <c:pt idx="19">
                  <c:v>3.4256500965016696E-3</c:v>
                </c:pt>
                <c:pt idx="20">
                  <c:v>3.5497471845870971E-3</c:v>
                </c:pt>
                <c:pt idx="21">
                  <c:v>3.6667668331472865E-3</c:v>
                </c:pt>
                <c:pt idx="22">
                  <c:v>3.7790051608484806E-3</c:v>
                </c:pt>
                <c:pt idx="23">
                  <c:v>3.8871248444258136E-3</c:v>
                </c:pt>
                <c:pt idx="24">
                  <c:v>3.9913385310513657E-3</c:v>
                </c:pt>
                <c:pt idx="25">
                  <c:v>4.0989598054064109E-3</c:v>
                </c:pt>
                <c:pt idx="26">
                  <c:v>4.2002041611247437E-3</c:v>
                </c:pt>
                <c:pt idx="27">
                  <c:v>4.2972607133424569E-3</c:v>
                </c:pt>
                <c:pt idx="28">
                  <c:v>4.3901004576444649E-3</c:v>
                </c:pt>
                <c:pt idx="29">
                  <c:v>4.4783789648205853E-3</c:v>
                </c:pt>
                <c:pt idx="30">
                  <c:v>4.5616238584335438E-3</c:v>
                </c:pt>
                <c:pt idx="31">
                  <c:v>4.6390347484822295E-3</c:v>
                </c:pt>
                <c:pt idx="32">
                  <c:v>4.7103249250823155E-3</c:v>
                </c:pt>
                <c:pt idx="33">
                  <c:v>4.7752647418087468E-3</c:v>
                </c:pt>
                <c:pt idx="34">
                  <c:v>4.833660263362391E-3</c:v>
                </c:pt>
                <c:pt idx="35">
                  <c:v>4.8853462391150572E-3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Données!$B$511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Données!$C$511:$AL$511</c:f>
              <c:numCache>
                <c:formatCode>0.0%</c:formatCode>
                <c:ptCount val="36"/>
                <c:pt idx="0">
                  <c:v>-1.1106519757607927E-4</c:v>
                </c:pt>
                <c:pt idx="1">
                  <c:v>-2.6621817848503359E-4</c:v>
                </c:pt>
                <c:pt idx="2">
                  <c:v>-4.0027647208927422E-4</c:v>
                </c:pt>
                <c:pt idx="3">
                  <c:v>-4.6739748829041996E-4</c:v>
                </c:pt>
                <c:pt idx="4">
                  <c:v>-4.9303003714826882E-4</c:v>
                </c:pt>
                <c:pt idx="5">
                  <c:v>-4.857904230387214E-4</c:v>
                </c:pt>
                <c:pt idx="6">
                  <c:v>-4.5965970117713909E-4</c:v>
                </c:pt>
                <c:pt idx="7">
                  <c:v>-4.3252359548119488E-4</c:v>
                </c:pt>
                <c:pt idx="8">
                  <c:v>-4.1321184200435515E-4</c:v>
                </c:pt>
                <c:pt idx="9">
                  <c:v>-4.0375288153861875E-4</c:v>
                </c:pt>
                <c:pt idx="10">
                  <c:v>-4.0275585951132363E-4</c:v>
                </c:pt>
                <c:pt idx="11">
                  <c:v>-4.0881744485708553E-4</c:v>
                </c:pt>
                <c:pt idx="12">
                  <c:v>-4.1973908933718481E-4</c:v>
                </c:pt>
                <c:pt idx="13">
                  <c:v>-4.3367961731163651E-4</c:v>
                </c:pt>
                <c:pt idx="14">
                  <c:v>-4.4933237076971364E-4</c:v>
                </c:pt>
                <c:pt idx="15">
                  <c:v>-4.6594542285165495E-4</c:v>
                </c:pt>
                <c:pt idx="16">
                  <c:v>-4.8365353287812288E-4</c:v>
                </c:pt>
                <c:pt idx="17">
                  <c:v>-5.0234912545001466E-4</c:v>
                </c:pt>
                <c:pt idx="18">
                  <c:v>-5.2163227596251798E-4</c:v>
                </c:pt>
                <c:pt idx="19">
                  <c:v>-5.4108610970699802E-4</c:v>
                </c:pt>
                <c:pt idx="20">
                  <c:v>-5.6047290584539285E-4</c:v>
                </c:pt>
                <c:pt idx="21">
                  <c:v>-5.7939201448164339E-4</c:v>
                </c:pt>
                <c:pt idx="22">
                  <c:v>-5.9787171492470639E-4</c:v>
                </c:pt>
                <c:pt idx="23">
                  <c:v>-6.1593837277529339E-4</c:v>
                </c:pt>
                <c:pt idx="24">
                  <c:v>-6.3370961540507986E-4</c:v>
                </c:pt>
                <c:pt idx="25">
                  <c:v>-6.5160267449721442E-4</c:v>
                </c:pt>
                <c:pt idx="26">
                  <c:v>-6.6922096956606328E-4</c:v>
                </c:pt>
                <c:pt idx="27">
                  <c:v>-6.8697611232314249E-4</c:v>
                </c:pt>
                <c:pt idx="28">
                  <c:v>-7.0525241089105346E-4</c:v>
                </c:pt>
                <c:pt idx="29">
                  <c:v>-7.2442205039370577E-4</c:v>
                </c:pt>
                <c:pt idx="30">
                  <c:v>-7.4479149365522387E-4</c:v>
                </c:pt>
                <c:pt idx="31">
                  <c:v>-7.6647438984863325E-4</c:v>
                </c:pt>
                <c:pt idx="32">
                  <c:v>-7.8959366254746242E-4</c:v>
                </c:pt>
                <c:pt idx="33">
                  <c:v>-8.1430733545190281E-4</c:v>
                </c:pt>
                <c:pt idx="34">
                  <c:v>-8.4076160338634987E-4</c:v>
                </c:pt>
                <c:pt idx="35">
                  <c:v>-8.6909166801155677E-4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Données!$B$506</c:f>
              <c:strCache>
                <c:ptCount val="1"/>
                <c:pt idx="0">
                  <c:v>Primary energy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Données!$C$506:$AL$506</c:f>
              <c:numCache>
                <c:formatCode>0.0%</c:formatCode>
                <c:ptCount val="36"/>
                <c:pt idx="0">
                  <c:v>5.1156962603826628E-6</c:v>
                </c:pt>
                <c:pt idx="1">
                  <c:v>4.0302830412231039E-4</c:v>
                </c:pt>
                <c:pt idx="2">
                  <c:v>6.7947622081065973E-4</c:v>
                </c:pt>
                <c:pt idx="3">
                  <c:v>9.1462958034349562E-4</c:v>
                </c:pt>
                <c:pt idx="4">
                  <c:v>1.1820341477764007E-3</c:v>
                </c:pt>
                <c:pt idx="5">
                  <c:v>1.5469898482645128E-3</c:v>
                </c:pt>
                <c:pt idx="6">
                  <c:v>1.93699084417287E-3</c:v>
                </c:pt>
                <c:pt idx="7">
                  <c:v>2.3103428282678085E-3</c:v>
                </c:pt>
                <c:pt idx="8">
                  <c:v>2.6532600291397923E-3</c:v>
                </c:pt>
                <c:pt idx="9">
                  <c:v>2.9650352035570648E-3</c:v>
                </c:pt>
                <c:pt idx="10">
                  <c:v>3.2473976411218075E-3</c:v>
                </c:pt>
                <c:pt idx="11">
                  <c:v>3.5136150669097255E-3</c:v>
                </c:pt>
                <c:pt idx="12">
                  <c:v>3.7677137379461545E-3</c:v>
                </c:pt>
                <c:pt idx="13">
                  <c:v>4.0142519933556997E-3</c:v>
                </c:pt>
                <c:pt idx="14">
                  <c:v>4.2549369117157454E-3</c:v>
                </c:pt>
                <c:pt idx="15">
                  <c:v>4.4870619581933724E-3</c:v>
                </c:pt>
                <c:pt idx="16">
                  <c:v>4.7092938633699344E-3</c:v>
                </c:pt>
                <c:pt idx="17">
                  <c:v>4.9192128073398678E-3</c:v>
                </c:pt>
                <c:pt idx="18">
                  <c:v>5.1165455344222011E-3</c:v>
                </c:pt>
                <c:pt idx="19">
                  <c:v>5.3025332700396E-3</c:v>
                </c:pt>
                <c:pt idx="20">
                  <c:v>5.4827413322211527E-3</c:v>
                </c:pt>
                <c:pt idx="21">
                  <c:v>5.6532847254935348E-3</c:v>
                </c:pt>
                <c:pt idx="22">
                  <c:v>5.8180961384779462E-3</c:v>
                </c:pt>
                <c:pt idx="23">
                  <c:v>5.9784077014251036E-3</c:v>
                </c:pt>
                <c:pt idx="24">
                  <c:v>6.1345415578066831E-3</c:v>
                </c:pt>
                <c:pt idx="25">
                  <c:v>6.2976039010691487E-3</c:v>
                </c:pt>
                <c:pt idx="26">
                  <c:v>6.4525040607292805E-3</c:v>
                </c:pt>
                <c:pt idx="27">
                  <c:v>6.6022709621038622E-3</c:v>
                </c:pt>
                <c:pt idx="28">
                  <c:v>6.746468248481019E-3</c:v>
                </c:pt>
                <c:pt idx="29">
                  <c:v>6.8841400224417537E-3</c:v>
                </c:pt>
                <c:pt idx="30">
                  <c:v>7.014169868919895E-3</c:v>
                </c:pt>
                <c:pt idx="31">
                  <c:v>7.1350810333998815E-3</c:v>
                </c:pt>
                <c:pt idx="32">
                  <c:v>7.2461921738424806E-3</c:v>
                </c:pt>
                <c:pt idx="33">
                  <c:v>7.3469227202436205E-3</c:v>
                </c:pt>
                <c:pt idx="34">
                  <c:v>7.4367939676620587E-3</c:v>
                </c:pt>
                <c:pt idx="35">
                  <c:v>7.5154116261682002E-3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Données!$B$380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Données!$C$380:$AL$380</c:f>
              <c:numCache>
                <c:formatCode>#,##0</c:formatCode>
                <c:ptCount val="36"/>
                <c:pt idx="0">
                  <c:v>3.476542051</c:v>
                </c:pt>
                <c:pt idx="1">
                  <c:v>5.728073051</c:v>
                </c:pt>
                <c:pt idx="2">
                  <c:v>7.9853327690000002</c:v>
                </c:pt>
                <c:pt idx="3">
                  <c:v>10.056993159999999</c:v>
                </c:pt>
                <c:pt idx="4">
                  <c:v>11.813775550000001</c:v>
                </c:pt>
                <c:pt idx="5">
                  <c:v>13.135113049999999</c:v>
                </c:pt>
                <c:pt idx="6">
                  <c:v>16.15393199</c:v>
                </c:pt>
                <c:pt idx="7">
                  <c:v>19.75269544</c:v>
                </c:pt>
                <c:pt idx="8">
                  <c:v>23.48079997</c:v>
                </c:pt>
                <c:pt idx="9">
                  <c:v>27.241878190000001</c:v>
                </c:pt>
                <c:pt idx="10">
                  <c:v>31.07973024</c:v>
                </c:pt>
                <c:pt idx="11">
                  <c:v>34.932012139999998</c:v>
                </c:pt>
                <c:pt idx="12">
                  <c:v>38.841569</c:v>
                </c:pt>
                <c:pt idx="13">
                  <c:v>42.802409760000003</c:v>
                </c:pt>
                <c:pt idx="14">
                  <c:v>46.80474676</c:v>
                </c:pt>
                <c:pt idx="15">
                  <c:v>50.837775039999997</c:v>
                </c:pt>
                <c:pt idx="16">
                  <c:v>54.89135598</c:v>
                </c:pt>
                <c:pt idx="17">
                  <c:v>58.956484690000003</c:v>
                </c:pt>
                <c:pt idx="18">
                  <c:v>63.025449279999997</c:v>
                </c:pt>
                <c:pt idx="19">
                  <c:v>67.091797499999998</c:v>
                </c:pt>
                <c:pt idx="20">
                  <c:v>71.123265340000003</c:v>
                </c:pt>
                <c:pt idx="21">
                  <c:v>75.167216609999997</c:v>
                </c:pt>
                <c:pt idx="22">
                  <c:v>79.193368809999996</c:v>
                </c:pt>
                <c:pt idx="23">
                  <c:v>83.198907149999997</c:v>
                </c:pt>
                <c:pt idx="24">
                  <c:v>87.181618319999998</c:v>
                </c:pt>
                <c:pt idx="25">
                  <c:v>91.066165269999999</c:v>
                </c:pt>
                <c:pt idx="26">
                  <c:v>94.957345329999995</c:v>
                </c:pt>
                <c:pt idx="27">
                  <c:v>98.811551129999998</c:v>
                </c:pt>
                <c:pt idx="28">
                  <c:v>102.6238754</c:v>
                </c:pt>
                <c:pt idx="29">
                  <c:v>106.3894359</c:v>
                </c:pt>
                <c:pt idx="30">
                  <c:v>110.10311110000001</c:v>
                </c:pt>
                <c:pt idx="31">
                  <c:v>113.7593318</c:v>
                </c:pt>
                <c:pt idx="32">
                  <c:v>117.351805</c:v>
                </c:pt>
                <c:pt idx="33">
                  <c:v>120.8730642</c:v>
                </c:pt>
                <c:pt idx="34">
                  <c:v>124.31372930000001</c:v>
                </c:pt>
                <c:pt idx="35">
                  <c:v>127.6613107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Données!$B$381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Données!$C$381:$AL$381</c:f>
              <c:numCache>
                <c:formatCode>#,##0</c:formatCode>
                <c:ptCount val="36"/>
                <c:pt idx="0">
                  <c:v>68.80476281</c:v>
                </c:pt>
                <c:pt idx="1">
                  <c:v>77.167332369999997</c:v>
                </c:pt>
                <c:pt idx="2">
                  <c:v>86.062930530000003</c:v>
                </c:pt>
                <c:pt idx="3">
                  <c:v>95.154023350000003</c:v>
                </c:pt>
                <c:pt idx="4">
                  <c:v>104.87926899999999</c:v>
                </c:pt>
                <c:pt idx="5">
                  <c:v>115.8549111</c:v>
                </c:pt>
                <c:pt idx="6">
                  <c:v>123.87554950000001</c:v>
                </c:pt>
                <c:pt idx="7">
                  <c:v>130.66967320000001</c:v>
                </c:pt>
                <c:pt idx="8">
                  <c:v>136.90724130000001</c:v>
                </c:pt>
                <c:pt idx="9">
                  <c:v>142.87874619999999</c:v>
                </c:pt>
                <c:pt idx="10">
                  <c:v>149.7503117</c:v>
                </c:pt>
                <c:pt idx="11">
                  <c:v>155.5153186</c:v>
                </c:pt>
                <c:pt idx="12">
                  <c:v>161.25078730000001</c:v>
                </c:pt>
                <c:pt idx="13">
                  <c:v>166.9828522</c:v>
                </c:pt>
                <c:pt idx="14">
                  <c:v>172.7120276</c:v>
                </c:pt>
                <c:pt idx="15">
                  <c:v>178.40844820000001</c:v>
                </c:pt>
                <c:pt idx="16">
                  <c:v>184.05438810000001</c:v>
                </c:pt>
                <c:pt idx="17">
                  <c:v>189.64195699999999</c:v>
                </c:pt>
                <c:pt idx="18">
                  <c:v>195.16968790000001</c:v>
                </c:pt>
                <c:pt idx="19">
                  <c:v>200.63973630000001</c:v>
                </c:pt>
                <c:pt idx="20">
                  <c:v>205.36952769999999</c:v>
                </c:pt>
                <c:pt idx="21">
                  <c:v>210.73683919999999</c:v>
                </c:pt>
                <c:pt idx="22">
                  <c:v>216.0615919</c:v>
                </c:pt>
                <c:pt idx="23">
                  <c:v>221.34753459999999</c:v>
                </c:pt>
                <c:pt idx="24">
                  <c:v>226.5977163</c:v>
                </c:pt>
                <c:pt idx="25">
                  <c:v>229.94070550000001</c:v>
                </c:pt>
                <c:pt idx="26">
                  <c:v>234.24730159999999</c:v>
                </c:pt>
                <c:pt idx="27">
                  <c:v>238.52996479999999</c:v>
                </c:pt>
                <c:pt idx="28">
                  <c:v>242.79333969999999</c:v>
                </c:pt>
                <c:pt idx="29">
                  <c:v>247.04126120000001</c:v>
                </c:pt>
                <c:pt idx="30">
                  <c:v>251.2771276</c:v>
                </c:pt>
                <c:pt idx="31">
                  <c:v>255.5042004</c:v>
                </c:pt>
                <c:pt idx="32">
                  <c:v>259.7259138</c:v>
                </c:pt>
                <c:pt idx="33">
                  <c:v>263.9462613</c:v>
                </c:pt>
                <c:pt idx="34">
                  <c:v>268.1703205</c:v>
                </c:pt>
                <c:pt idx="35">
                  <c:v>272.40501330000001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Données!$B$382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Données!$C$382:$AL$382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425.42588030000002</c:v>
                </c:pt>
                <c:pt idx="2">
                  <c:v>444.23758850000002</c:v>
                </c:pt>
                <c:pt idx="3">
                  <c:v>463.33273500000001</c:v>
                </c:pt>
                <c:pt idx="4">
                  <c:v>483.26884669999998</c:v>
                </c:pt>
                <c:pt idx="5">
                  <c:v>504.7456555</c:v>
                </c:pt>
                <c:pt idx="6">
                  <c:v>522.5659296</c:v>
                </c:pt>
                <c:pt idx="7">
                  <c:v>539.5354092</c:v>
                </c:pt>
                <c:pt idx="8">
                  <c:v>556.21261630000004</c:v>
                </c:pt>
                <c:pt idx="9">
                  <c:v>572.80595689999996</c:v>
                </c:pt>
                <c:pt idx="10">
                  <c:v>592.31937660000006</c:v>
                </c:pt>
                <c:pt idx="11">
                  <c:v>608.99810030000003</c:v>
                </c:pt>
                <c:pt idx="12">
                  <c:v>625.80070169999999</c:v>
                </c:pt>
                <c:pt idx="13">
                  <c:v>642.76047170000004</c:v>
                </c:pt>
                <c:pt idx="14">
                  <c:v>659.84276050000005</c:v>
                </c:pt>
                <c:pt idx="15">
                  <c:v>676.92005730000005</c:v>
                </c:pt>
                <c:pt idx="16">
                  <c:v>693.91094880000003</c:v>
                </c:pt>
                <c:pt idx="17">
                  <c:v>710.77070630000003</c:v>
                </c:pt>
                <c:pt idx="18">
                  <c:v>727.47903659999997</c:v>
                </c:pt>
                <c:pt idx="19">
                  <c:v>744.030213</c:v>
                </c:pt>
                <c:pt idx="20">
                  <c:v>758.49839859999997</c:v>
                </c:pt>
                <c:pt idx="21">
                  <c:v>774.7437377</c:v>
                </c:pt>
                <c:pt idx="22">
                  <c:v>790.85126149999996</c:v>
                </c:pt>
                <c:pt idx="23">
                  <c:v>806.82740579999995</c:v>
                </c:pt>
                <c:pt idx="24">
                  <c:v>822.6776443</c:v>
                </c:pt>
                <c:pt idx="25">
                  <c:v>833.14355650000005</c:v>
                </c:pt>
                <c:pt idx="26">
                  <c:v>846.27830440000002</c:v>
                </c:pt>
                <c:pt idx="27">
                  <c:v>859.30303160000005</c:v>
                </c:pt>
                <c:pt idx="28">
                  <c:v>872.22493380000003</c:v>
                </c:pt>
                <c:pt idx="29">
                  <c:v>885.04922160000001</c:v>
                </c:pt>
                <c:pt idx="30">
                  <c:v>897.77992759999995</c:v>
                </c:pt>
                <c:pt idx="31">
                  <c:v>910.42052020000006</c:v>
                </c:pt>
                <c:pt idx="32">
                  <c:v>922.97444589999998</c:v>
                </c:pt>
                <c:pt idx="33">
                  <c:v>935.44569230000002</c:v>
                </c:pt>
                <c:pt idx="34">
                  <c:v>947.83943710000005</c:v>
                </c:pt>
                <c:pt idx="35">
                  <c:v>960.16287769999997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Données!$B$383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Données!$C$383:$AL$383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947.73355909999998</c:v>
                </c:pt>
                <c:pt idx="2">
                  <c:v>941.2283711</c:v>
                </c:pt>
                <c:pt idx="3">
                  <c:v>934.42179599999997</c:v>
                </c:pt>
                <c:pt idx="4">
                  <c:v>926.613923</c:v>
                </c:pt>
                <c:pt idx="5">
                  <c:v>916.7632711</c:v>
                </c:pt>
                <c:pt idx="6">
                  <c:v>909.83929139999998</c:v>
                </c:pt>
                <c:pt idx="7">
                  <c:v>904.82341440000005</c:v>
                </c:pt>
                <c:pt idx="8">
                  <c:v>900.81661789999998</c:v>
                </c:pt>
                <c:pt idx="9">
                  <c:v>897.29041529999995</c:v>
                </c:pt>
                <c:pt idx="10">
                  <c:v>893.93724150000003</c:v>
                </c:pt>
                <c:pt idx="11">
                  <c:v>890.56817960000001</c:v>
                </c:pt>
                <c:pt idx="12">
                  <c:v>887.07247070000005</c:v>
                </c:pt>
                <c:pt idx="13">
                  <c:v>883.39455250000003</c:v>
                </c:pt>
                <c:pt idx="14">
                  <c:v>879.55087639999999</c:v>
                </c:pt>
                <c:pt idx="15">
                  <c:v>875.63410969999995</c:v>
                </c:pt>
                <c:pt idx="16">
                  <c:v>871.69072659999995</c:v>
                </c:pt>
                <c:pt idx="17">
                  <c:v>867.74371870000004</c:v>
                </c:pt>
                <c:pt idx="18">
                  <c:v>863.80423559999997</c:v>
                </c:pt>
                <c:pt idx="19">
                  <c:v>859.8775521</c:v>
                </c:pt>
                <c:pt idx="20">
                  <c:v>855.96605980000004</c:v>
                </c:pt>
                <c:pt idx="21">
                  <c:v>852.0704806</c:v>
                </c:pt>
                <c:pt idx="22">
                  <c:v>848.19141909999996</c:v>
                </c:pt>
                <c:pt idx="23">
                  <c:v>844.32893769999998</c:v>
                </c:pt>
                <c:pt idx="24">
                  <c:v>840.48298269999998</c:v>
                </c:pt>
                <c:pt idx="25">
                  <c:v>836.65341279999996</c:v>
                </c:pt>
                <c:pt idx="26">
                  <c:v>832.83924190000005</c:v>
                </c:pt>
                <c:pt idx="27">
                  <c:v>829.04051460000005</c:v>
                </c:pt>
                <c:pt idx="28">
                  <c:v>825.25687040000003</c:v>
                </c:pt>
                <c:pt idx="29">
                  <c:v>821.48793460000002</c:v>
                </c:pt>
                <c:pt idx="30">
                  <c:v>817.73330780000003</c:v>
                </c:pt>
                <c:pt idx="31">
                  <c:v>813.99254670000005</c:v>
                </c:pt>
                <c:pt idx="32">
                  <c:v>810.26513609999995</c:v>
                </c:pt>
                <c:pt idx="33">
                  <c:v>806.55044280000004</c:v>
                </c:pt>
                <c:pt idx="34">
                  <c:v>802.84763539999994</c:v>
                </c:pt>
                <c:pt idx="35">
                  <c:v>799.15554020000002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Données!$B$384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Données!$C$384:$AL$384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867.99168829999996</c:v>
                </c:pt>
                <c:pt idx="2">
                  <c:v>857.32652840000003</c:v>
                </c:pt>
                <c:pt idx="3">
                  <c:v>846.67891440000005</c:v>
                </c:pt>
                <c:pt idx="4">
                  <c:v>835.88055569999995</c:v>
                </c:pt>
                <c:pt idx="5">
                  <c:v>824.77851780000003</c:v>
                </c:pt>
                <c:pt idx="6">
                  <c:v>813.27390969999999</c:v>
                </c:pt>
                <c:pt idx="7">
                  <c:v>801.3549008</c:v>
                </c:pt>
                <c:pt idx="8">
                  <c:v>789.14539549999995</c:v>
                </c:pt>
                <c:pt idx="9">
                  <c:v>776.7734888</c:v>
                </c:pt>
                <c:pt idx="10">
                  <c:v>764.32659490000003</c:v>
                </c:pt>
                <c:pt idx="11">
                  <c:v>751.8475062</c:v>
                </c:pt>
                <c:pt idx="12">
                  <c:v>739.34799480000004</c:v>
                </c:pt>
                <c:pt idx="13">
                  <c:v>726.83085089999997</c:v>
                </c:pt>
                <c:pt idx="14">
                  <c:v>714.32411479999996</c:v>
                </c:pt>
                <c:pt idx="15">
                  <c:v>701.90383759999997</c:v>
                </c:pt>
                <c:pt idx="16">
                  <c:v>689.63336709999999</c:v>
                </c:pt>
                <c:pt idx="17">
                  <c:v>677.55190149999999</c:v>
                </c:pt>
                <c:pt idx="18">
                  <c:v>665.67834619999996</c:v>
                </c:pt>
                <c:pt idx="19">
                  <c:v>654.01803910000001</c:v>
                </c:pt>
                <c:pt idx="20">
                  <c:v>642.56726289999995</c:v>
                </c:pt>
                <c:pt idx="21">
                  <c:v>631.31682420000004</c:v>
                </c:pt>
                <c:pt idx="22">
                  <c:v>620.25834780000002</c:v>
                </c:pt>
                <c:pt idx="23">
                  <c:v>609.38487090000001</c:v>
                </c:pt>
                <c:pt idx="24">
                  <c:v>598.69058659999996</c:v>
                </c:pt>
                <c:pt idx="25">
                  <c:v>588.16768039999999</c:v>
                </c:pt>
                <c:pt idx="26">
                  <c:v>577.80377250000004</c:v>
                </c:pt>
                <c:pt idx="27">
                  <c:v>567.589158</c:v>
                </c:pt>
                <c:pt idx="28">
                  <c:v>557.5175534</c:v>
                </c:pt>
                <c:pt idx="29">
                  <c:v>547.58542769999997</c:v>
                </c:pt>
                <c:pt idx="30">
                  <c:v>537.79111399999999</c:v>
                </c:pt>
                <c:pt idx="31">
                  <c:v>528.13412989999995</c:v>
                </c:pt>
                <c:pt idx="32">
                  <c:v>518.61463570000001</c:v>
                </c:pt>
                <c:pt idx="33">
                  <c:v>509.23298940000001</c:v>
                </c:pt>
                <c:pt idx="34">
                  <c:v>499.98939739999997</c:v>
                </c:pt>
                <c:pt idx="35">
                  <c:v>490.88367030000001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Données!$B$385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Données!$C$385:$AL$385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137.95558740000001</c:v>
                </c:pt>
                <c:pt idx="2">
                  <c:v>136.08700809999999</c:v>
                </c:pt>
                <c:pt idx="3">
                  <c:v>134.24968179999999</c:v>
                </c:pt>
                <c:pt idx="4">
                  <c:v>132.4452435</c:v>
                </c:pt>
                <c:pt idx="5">
                  <c:v>130.6731905</c:v>
                </c:pt>
                <c:pt idx="6">
                  <c:v>128.9314918</c:v>
                </c:pt>
                <c:pt idx="7">
                  <c:v>127.21751829999999</c:v>
                </c:pt>
                <c:pt idx="8">
                  <c:v>125.52896699999999</c:v>
                </c:pt>
                <c:pt idx="9">
                  <c:v>123.8641006</c:v>
                </c:pt>
                <c:pt idx="10">
                  <c:v>122.22178510000001</c:v>
                </c:pt>
                <c:pt idx="11">
                  <c:v>120.6013514</c:v>
                </c:pt>
                <c:pt idx="12">
                  <c:v>119.0022838</c:v>
                </c:pt>
                <c:pt idx="13">
                  <c:v>117.4241936</c:v>
                </c:pt>
                <c:pt idx="14">
                  <c:v>115.8667741</c:v>
                </c:pt>
                <c:pt idx="15">
                  <c:v>114.3297414</c:v>
                </c:pt>
                <c:pt idx="16">
                  <c:v>112.8128002</c:v>
                </c:pt>
                <c:pt idx="17">
                  <c:v>111.3156299</c:v>
                </c:pt>
                <c:pt idx="18">
                  <c:v>109.83788749999999</c:v>
                </c:pt>
                <c:pt idx="19">
                  <c:v>108.3792203</c:v>
                </c:pt>
                <c:pt idx="20">
                  <c:v>106.93924699999999</c:v>
                </c:pt>
                <c:pt idx="21">
                  <c:v>105.51758390000001</c:v>
                </c:pt>
                <c:pt idx="22">
                  <c:v>104.11393030000001</c:v>
                </c:pt>
                <c:pt idx="23">
                  <c:v>102.72802799999999</c:v>
                </c:pt>
                <c:pt idx="24">
                  <c:v>101.3596343</c:v>
                </c:pt>
                <c:pt idx="25">
                  <c:v>100.0084444</c:v>
                </c:pt>
                <c:pt idx="26">
                  <c:v>98.674095919999999</c:v>
                </c:pt>
                <c:pt idx="27">
                  <c:v>97.356333120000002</c:v>
                </c:pt>
                <c:pt idx="28">
                  <c:v>96.054975470000002</c:v>
                </c:pt>
                <c:pt idx="29">
                  <c:v>94.76986891</c:v>
                </c:pt>
                <c:pt idx="30">
                  <c:v>93.500870460000002</c:v>
                </c:pt>
                <c:pt idx="31">
                  <c:v>92.247841910000005</c:v>
                </c:pt>
                <c:pt idx="32">
                  <c:v>91.010643819999999</c:v>
                </c:pt>
                <c:pt idx="33">
                  <c:v>89.789128739999995</c:v>
                </c:pt>
                <c:pt idx="34">
                  <c:v>88.583135220000003</c:v>
                </c:pt>
                <c:pt idx="35">
                  <c:v>87.392484109999998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Données!$B$386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Données!$C$386:$AL$386</c:f>
              <c:numCache>
                <c:formatCode>#,##0</c:formatCode>
                <c:ptCount val="36"/>
                <c:pt idx="0">
                  <c:v>3.874567114</c:v>
                </c:pt>
                <c:pt idx="1">
                  <c:v>3.7242530579999999</c:v>
                </c:pt>
                <c:pt idx="2">
                  <c:v>3.5803475370000002</c:v>
                </c:pt>
                <c:pt idx="3">
                  <c:v>3.442841262</c:v>
                </c:pt>
                <c:pt idx="4">
                  <c:v>3.3116002280000001</c:v>
                </c:pt>
                <c:pt idx="5">
                  <c:v>3.1863415850000001</c:v>
                </c:pt>
                <c:pt idx="6">
                  <c:v>3.0666881849999998</c:v>
                </c:pt>
                <c:pt idx="7">
                  <c:v>2.9522407089999998</c:v>
                </c:pt>
                <c:pt idx="8">
                  <c:v>2.8426427159999998</c:v>
                </c:pt>
                <c:pt idx="9">
                  <c:v>2.7375930880000001</c:v>
                </c:pt>
                <c:pt idx="10">
                  <c:v>2.6368448070000001</c:v>
                </c:pt>
                <c:pt idx="11">
                  <c:v>2.5401923169999998</c:v>
                </c:pt>
                <c:pt idx="12">
                  <c:v>2.4474481730000002</c:v>
                </c:pt>
                <c:pt idx="13">
                  <c:v>2.3584408379999999</c:v>
                </c:pt>
                <c:pt idx="14">
                  <c:v>2.2730110859999999</c:v>
                </c:pt>
                <c:pt idx="15">
                  <c:v>2.1910076360000001</c:v>
                </c:pt>
                <c:pt idx="16">
                  <c:v>2.1122844750000001</c:v>
                </c:pt>
                <c:pt idx="17">
                  <c:v>2.0366999610000001</c:v>
                </c:pt>
                <c:pt idx="18">
                  <c:v>1.9641170320000001</c:v>
                </c:pt>
                <c:pt idx="19">
                  <c:v>1.8944038219999999</c:v>
                </c:pt>
                <c:pt idx="20">
                  <c:v>1.827432489</c:v>
                </c:pt>
                <c:pt idx="21">
                  <c:v>1.7630804440000001</c:v>
                </c:pt>
                <c:pt idx="22">
                  <c:v>1.7012348310000001</c:v>
                </c:pt>
                <c:pt idx="23">
                  <c:v>1.641789803</c:v>
                </c:pt>
                <c:pt idx="24">
                  <c:v>1.5846448</c:v>
                </c:pt>
                <c:pt idx="25">
                  <c:v>1.52970041</c:v>
                </c:pt>
                <c:pt idx="26">
                  <c:v>1.4768584300000001</c:v>
                </c:pt>
                <c:pt idx="27">
                  <c:v>1.4260300290000001</c:v>
                </c:pt>
                <c:pt idx="28">
                  <c:v>1.377133637</c:v>
                </c:pt>
                <c:pt idx="29">
                  <c:v>1.330092345</c:v>
                </c:pt>
                <c:pt idx="30">
                  <c:v>1.284832996</c:v>
                </c:pt>
                <c:pt idx="31">
                  <c:v>1.241285752</c:v>
                </c:pt>
                <c:pt idx="32">
                  <c:v>1.199383718</c:v>
                </c:pt>
                <c:pt idx="33">
                  <c:v>1.1590625590000001</c:v>
                </c:pt>
                <c:pt idx="34">
                  <c:v>1.120260163</c:v>
                </c:pt>
                <c:pt idx="35">
                  <c:v>1.0829164099999999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Données!$B$371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Données!$C$371:$AL$371</c:f>
              <c:numCache>
                <c:formatCode>#,##0</c:formatCode>
                <c:ptCount val="36"/>
                <c:pt idx="0">
                  <c:v>3.476542051</c:v>
                </c:pt>
                <c:pt idx="1">
                  <c:v>7.105756339</c:v>
                </c:pt>
                <c:pt idx="2">
                  <c:v>11.181736859999999</c:v>
                </c:pt>
                <c:pt idx="3">
                  <c:v>15.179186619999999</c:v>
                </c:pt>
                <c:pt idx="4">
                  <c:v>18.91197244</c:v>
                </c:pt>
                <c:pt idx="5">
                  <c:v>22.32312465</c:v>
                </c:pt>
                <c:pt idx="6">
                  <c:v>25.396548429999999</c:v>
                </c:pt>
                <c:pt idx="7">
                  <c:v>28.205922959999999</c:v>
                </c:pt>
                <c:pt idx="8">
                  <c:v>30.81852426</c:v>
                </c:pt>
                <c:pt idx="9">
                  <c:v>33.299761519999997</c:v>
                </c:pt>
                <c:pt idx="10">
                  <c:v>35.735850939999999</c:v>
                </c:pt>
                <c:pt idx="11">
                  <c:v>38.07086219</c:v>
                </c:pt>
                <c:pt idx="12">
                  <c:v>40.36456767</c:v>
                </c:pt>
                <c:pt idx="13">
                  <c:v>42.627747040000003</c:v>
                </c:pt>
                <c:pt idx="14">
                  <c:v>44.863639810000002</c:v>
                </c:pt>
                <c:pt idx="15">
                  <c:v>47.073213129999999</c:v>
                </c:pt>
                <c:pt idx="16">
                  <c:v>49.261551230000002</c:v>
                </c:pt>
                <c:pt idx="17">
                  <c:v>51.442964779999997</c:v>
                </c:pt>
                <c:pt idx="18">
                  <c:v>53.630823300000003</c:v>
                </c:pt>
                <c:pt idx="19">
                  <c:v>55.835754129999998</c:v>
                </c:pt>
                <c:pt idx="20">
                  <c:v>58.043070200000003</c:v>
                </c:pt>
                <c:pt idx="21">
                  <c:v>60.318316430000003</c:v>
                </c:pt>
                <c:pt idx="22">
                  <c:v>62.640666869999997</c:v>
                </c:pt>
                <c:pt idx="23">
                  <c:v>65.012233449999997</c:v>
                </c:pt>
                <c:pt idx="24">
                  <c:v>67.434660940000001</c:v>
                </c:pt>
                <c:pt idx="25">
                  <c:v>69.843708370000002</c:v>
                </c:pt>
                <c:pt idx="26">
                  <c:v>72.363493120000001</c:v>
                </c:pt>
                <c:pt idx="27">
                  <c:v>74.960824900000006</c:v>
                </c:pt>
                <c:pt idx="28">
                  <c:v>77.636571829999994</c:v>
                </c:pt>
                <c:pt idx="29">
                  <c:v>80.390508400000002</c:v>
                </c:pt>
                <c:pt idx="30">
                  <c:v>83.221609779999994</c:v>
                </c:pt>
                <c:pt idx="31">
                  <c:v>86.127635560000002</c:v>
                </c:pt>
                <c:pt idx="32">
                  <c:v>89.10489742</c:v>
                </c:pt>
                <c:pt idx="33">
                  <c:v>92.149748650000006</c:v>
                </c:pt>
                <c:pt idx="34">
                  <c:v>95.258911080000004</c:v>
                </c:pt>
                <c:pt idx="35">
                  <c:v>98.42948518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Données!$B$372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Données!$C$372:$AL$372</c:f>
              <c:numCache>
                <c:formatCode>#,##0</c:formatCode>
                <c:ptCount val="36"/>
                <c:pt idx="0">
                  <c:v>68.80476281</c:v>
                </c:pt>
                <c:pt idx="1">
                  <c:v>75.437780540000006</c:v>
                </c:pt>
                <c:pt idx="2">
                  <c:v>81.568034179999998</c:v>
                </c:pt>
                <c:pt idx="3">
                  <c:v>87.181510130000007</c:v>
                </c:pt>
                <c:pt idx="4">
                  <c:v>92.628014199999996</c:v>
                </c:pt>
                <c:pt idx="5">
                  <c:v>98.104155270000007</c:v>
                </c:pt>
                <c:pt idx="6">
                  <c:v>103.09668430000001</c:v>
                </c:pt>
                <c:pt idx="7">
                  <c:v>108.28103849999999</c:v>
                </c:pt>
                <c:pt idx="8">
                  <c:v>113.6743731</c:v>
                </c:pt>
                <c:pt idx="9">
                  <c:v>119.2645526</c:v>
                </c:pt>
                <c:pt idx="10">
                  <c:v>126.0630075</c:v>
                </c:pt>
                <c:pt idx="11">
                  <c:v>131.9709733</c:v>
                </c:pt>
                <c:pt idx="12">
                  <c:v>137.9908408</c:v>
                </c:pt>
                <c:pt idx="13">
                  <c:v>144.09373650000001</c:v>
                </c:pt>
                <c:pt idx="14">
                  <c:v>150.2594331</c:v>
                </c:pt>
                <c:pt idx="15">
                  <c:v>156.4743417</c:v>
                </c:pt>
                <c:pt idx="16">
                  <c:v>162.72281659999999</c:v>
                </c:pt>
                <c:pt idx="17">
                  <c:v>168.9754045</c:v>
                </c:pt>
                <c:pt idx="18">
                  <c:v>175.1975194</c:v>
                </c:pt>
                <c:pt idx="19">
                  <c:v>181.3557476</c:v>
                </c:pt>
                <c:pt idx="20">
                  <c:v>186.72993159999999</c:v>
                </c:pt>
                <c:pt idx="21">
                  <c:v>192.6608449</c:v>
                </c:pt>
                <c:pt idx="22">
                  <c:v>198.44528890000001</c:v>
                </c:pt>
                <c:pt idx="23">
                  <c:v>204.0768084</c:v>
                </c:pt>
                <c:pt idx="24">
                  <c:v>209.5566355</c:v>
                </c:pt>
                <c:pt idx="25">
                  <c:v>213.00960889999999</c:v>
                </c:pt>
                <c:pt idx="26">
                  <c:v>217.2976506</c:v>
                </c:pt>
                <c:pt idx="27">
                  <c:v>221.43323799999999</c:v>
                </c:pt>
                <c:pt idx="28">
                  <c:v>225.4278132</c:v>
                </c:pt>
                <c:pt idx="29">
                  <c:v>229.29458679999999</c:v>
                </c:pt>
                <c:pt idx="30">
                  <c:v>233.0468147</c:v>
                </c:pt>
                <c:pt idx="31">
                  <c:v>236.69721200000001</c:v>
                </c:pt>
                <c:pt idx="32">
                  <c:v>240.257767</c:v>
                </c:pt>
                <c:pt idx="33">
                  <c:v>243.7388206</c:v>
                </c:pt>
                <c:pt idx="34">
                  <c:v>247.14895129999999</c:v>
                </c:pt>
                <c:pt idx="35">
                  <c:v>250.49517420000001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Données!$B$373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Données!$C$373:$AL$373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422.38730770000001</c:v>
                </c:pt>
                <c:pt idx="2">
                  <c:v>436.24218080000003</c:v>
                </c:pt>
                <c:pt idx="3">
                  <c:v>449.14030359999998</c:v>
                </c:pt>
                <c:pt idx="4">
                  <c:v>461.70146319999998</c:v>
                </c:pt>
                <c:pt idx="5">
                  <c:v>474.26816819999999</c:v>
                </c:pt>
                <c:pt idx="6">
                  <c:v>485.27109059999998</c:v>
                </c:pt>
                <c:pt idx="7">
                  <c:v>496.53094129999999</c:v>
                </c:pt>
                <c:pt idx="8">
                  <c:v>508.05981439999999</c:v>
                </c:pt>
                <c:pt idx="9">
                  <c:v>519.8250845</c:v>
                </c:pt>
                <c:pt idx="10">
                  <c:v>534.69144240000003</c:v>
                </c:pt>
                <c:pt idx="11">
                  <c:v>546.79456219999997</c:v>
                </c:pt>
                <c:pt idx="12">
                  <c:v>558.99140269999998</c:v>
                </c:pt>
                <c:pt idx="13">
                  <c:v>571.24336170000004</c:v>
                </c:pt>
                <c:pt idx="14">
                  <c:v>583.52564500000005</c:v>
                </c:pt>
                <c:pt idx="15">
                  <c:v>595.82339109999998</c:v>
                </c:pt>
                <c:pt idx="16">
                  <c:v>608.12058290000004</c:v>
                </c:pt>
                <c:pt idx="17">
                  <c:v>620.38631950000001</c:v>
                </c:pt>
                <c:pt idx="18">
                  <c:v>632.58564899999999</c:v>
                </c:pt>
                <c:pt idx="19">
                  <c:v>644.68606279999995</c:v>
                </c:pt>
                <c:pt idx="20">
                  <c:v>654.72693000000004</c:v>
                </c:pt>
                <c:pt idx="21">
                  <c:v>666.53068140000005</c:v>
                </c:pt>
                <c:pt idx="22">
                  <c:v>678.15813949999995</c:v>
                </c:pt>
                <c:pt idx="23">
                  <c:v>689.60487290000003</c:v>
                </c:pt>
                <c:pt idx="24">
                  <c:v>700.87404660000004</c:v>
                </c:pt>
                <c:pt idx="25">
                  <c:v>706.70157640000002</c:v>
                </c:pt>
                <c:pt idx="26">
                  <c:v>715.12773000000004</c:v>
                </c:pt>
                <c:pt idx="27">
                  <c:v>723.37072469999998</c:v>
                </c:pt>
                <c:pt idx="28">
                  <c:v>731.44333819999997</c:v>
                </c:pt>
                <c:pt idx="29">
                  <c:v>739.36005409999996</c:v>
                </c:pt>
                <c:pt idx="30">
                  <c:v>747.13538349999999</c:v>
                </c:pt>
                <c:pt idx="31">
                  <c:v>754.78338710000003</c:v>
                </c:pt>
                <c:pt idx="32">
                  <c:v>762.31758009999999</c:v>
                </c:pt>
                <c:pt idx="33">
                  <c:v>769.74974840000004</c:v>
                </c:pt>
                <c:pt idx="34">
                  <c:v>777.08976589999997</c:v>
                </c:pt>
                <c:pt idx="35">
                  <c:v>784.34579880000001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Données!$B$374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Données!$C$374:$AL$374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950.79697429999999</c:v>
                </c:pt>
                <c:pt idx="2">
                  <c:v>948.88109740000004</c:v>
                </c:pt>
                <c:pt idx="3">
                  <c:v>947.53635770000005</c:v>
                </c:pt>
                <c:pt idx="4">
                  <c:v>946.24975749999999</c:v>
                </c:pt>
                <c:pt idx="5">
                  <c:v>944.8082177</c:v>
                </c:pt>
                <c:pt idx="6">
                  <c:v>943.12626709999995</c:v>
                </c:pt>
                <c:pt idx="7">
                  <c:v>941.16529160000005</c:v>
                </c:pt>
                <c:pt idx="8">
                  <c:v>938.90739150000002</c:v>
                </c:pt>
                <c:pt idx="9">
                  <c:v>936.35717829999999</c:v>
                </c:pt>
                <c:pt idx="10">
                  <c:v>933.53815380000003</c:v>
                </c:pt>
                <c:pt idx="11">
                  <c:v>930.47937730000001</c:v>
                </c:pt>
                <c:pt idx="12">
                  <c:v>927.22092720000001</c:v>
                </c:pt>
                <c:pt idx="13">
                  <c:v>923.80264780000005</c:v>
                </c:pt>
                <c:pt idx="14">
                  <c:v>920.25477149999995</c:v>
                </c:pt>
                <c:pt idx="15">
                  <c:v>916.59850879999999</c:v>
                </c:pt>
                <c:pt idx="16">
                  <c:v>912.85800159999997</c:v>
                </c:pt>
                <c:pt idx="17">
                  <c:v>909.0786779</c:v>
                </c:pt>
                <c:pt idx="18">
                  <c:v>905.31621050000001</c:v>
                </c:pt>
                <c:pt idx="19">
                  <c:v>901.62607019999996</c:v>
                </c:pt>
                <c:pt idx="20">
                  <c:v>898.06232899999998</c:v>
                </c:pt>
                <c:pt idx="21">
                  <c:v>894.67469649999998</c:v>
                </c:pt>
                <c:pt idx="22">
                  <c:v>891.49476259999994</c:v>
                </c:pt>
                <c:pt idx="23">
                  <c:v>888.53401729999996</c:v>
                </c:pt>
                <c:pt idx="24">
                  <c:v>885.78957349999996</c:v>
                </c:pt>
                <c:pt idx="25">
                  <c:v>883.25495060000003</c:v>
                </c:pt>
                <c:pt idx="26">
                  <c:v>880.92321960000004</c:v>
                </c:pt>
                <c:pt idx="27">
                  <c:v>878.77926249999996</c:v>
                </c:pt>
                <c:pt idx="28">
                  <c:v>876.80081189999999</c:v>
                </c:pt>
                <c:pt idx="29">
                  <c:v>874.96345280000003</c:v>
                </c:pt>
                <c:pt idx="30">
                  <c:v>873.24358240000004</c:v>
                </c:pt>
                <c:pt idx="31">
                  <c:v>871.61966359999997</c:v>
                </c:pt>
                <c:pt idx="32">
                  <c:v>870.07256629999995</c:v>
                </c:pt>
                <c:pt idx="33">
                  <c:v>868.58661800000004</c:v>
                </c:pt>
                <c:pt idx="34">
                  <c:v>867.1495142</c:v>
                </c:pt>
                <c:pt idx="35">
                  <c:v>865.75180030000001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Données!$B$375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Données!$C$375:$AL$375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868.32324340000002</c:v>
                </c:pt>
                <c:pt idx="2">
                  <c:v>858.97928030000003</c:v>
                </c:pt>
                <c:pt idx="3">
                  <c:v>850.62682440000003</c:v>
                </c:pt>
                <c:pt idx="4">
                  <c:v>842.99286870000003</c:v>
                </c:pt>
                <c:pt idx="5">
                  <c:v>835.80858790000002</c:v>
                </c:pt>
                <c:pt idx="6">
                  <c:v>828.85873890000005</c:v>
                </c:pt>
                <c:pt idx="7">
                  <c:v>821.99848510000004</c:v>
                </c:pt>
                <c:pt idx="8">
                  <c:v>815.15217299999995</c:v>
                </c:pt>
                <c:pt idx="9">
                  <c:v>808.29688510000005</c:v>
                </c:pt>
                <c:pt idx="10">
                  <c:v>801.44065239999998</c:v>
                </c:pt>
                <c:pt idx="11">
                  <c:v>794.60367040000006</c:v>
                </c:pt>
                <c:pt idx="12">
                  <c:v>787.8062516</c:v>
                </c:pt>
                <c:pt idx="13">
                  <c:v>781.06592579999995</c:v>
                </c:pt>
                <c:pt idx="14">
                  <c:v>774.39479519999998</c:v>
                </c:pt>
                <c:pt idx="15">
                  <c:v>767.7996369</c:v>
                </c:pt>
                <c:pt idx="16">
                  <c:v>761.28339979999998</c:v>
                </c:pt>
                <c:pt idx="17">
                  <c:v>754.84724329999995</c:v>
                </c:pt>
                <c:pt idx="18">
                  <c:v>748.49222050000003</c:v>
                </c:pt>
                <c:pt idx="19">
                  <c:v>742.21871399999998</c:v>
                </c:pt>
                <c:pt idx="20">
                  <c:v>736.02609870000003</c:v>
                </c:pt>
                <c:pt idx="21">
                  <c:v>729.91271099999994</c:v>
                </c:pt>
                <c:pt idx="22">
                  <c:v>723.87705000000005</c:v>
                </c:pt>
                <c:pt idx="23">
                  <c:v>717.91686979999997</c:v>
                </c:pt>
                <c:pt idx="24">
                  <c:v>712.02947419999998</c:v>
                </c:pt>
                <c:pt idx="25">
                  <c:v>706.21170470000004</c:v>
                </c:pt>
                <c:pt idx="26">
                  <c:v>700.45960130000003</c:v>
                </c:pt>
                <c:pt idx="27">
                  <c:v>694.77112699999998</c:v>
                </c:pt>
                <c:pt idx="28">
                  <c:v>689.14376730000004</c:v>
                </c:pt>
                <c:pt idx="29">
                  <c:v>683.57474850000006</c:v>
                </c:pt>
                <c:pt idx="30">
                  <c:v>678.06119909999995</c:v>
                </c:pt>
                <c:pt idx="31">
                  <c:v>672.60037910000005</c:v>
                </c:pt>
                <c:pt idx="32">
                  <c:v>667.18985610000004</c:v>
                </c:pt>
                <c:pt idx="33">
                  <c:v>661.82708070000001</c:v>
                </c:pt>
                <c:pt idx="34">
                  <c:v>656.5094527</c:v>
                </c:pt>
                <c:pt idx="35">
                  <c:v>651.2344306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Données!$B$376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Données!$C$376:$AL$376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137.95076789999999</c:v>
                </c:pt>
                <c:pt idx="2">
                  <c:v>136.0747442</c:v>
                </c:pt>
                <c:pt idx="3">
                  <c:v>134.22890770000001</c:v>
                </c:pt>
                <c:pt idx="4">
                  <c:v>132.41620030000001</c:v>
                </c:pt>
                <c:pt idx="5">
                  <c:v>130.6368722</c:v>
                </c:pt>
                <c:pt idx="6">
                  <c:v>128.88911440000001</c:v>
                </c:pt>
                <c:pt idx="7">
                  <c:v>127.170196</c:v>
                </c:pt>
                <c:pt idx="8">
                  <c:v>125.4775862</c:v>
                </c:pt>
                <c:pt idx="9">
                  <c:v>123.80933229999999</c:v>
                </c:pt>
                <c:pt idx="10">
                  <c:v>122.1641394</c:v>
                </c:pt>
                <c:pt idx="11">
                  <c:v>120.5412357</c:v>
                </c:pt>
                <c:pt idx="12">
                  <c:v>118.9400406</c:v>
                </c:pt>
                <c:pt idx="13">
                  <c:v>117.36014659999999</c:v>
                </c:pt>
                <c:pt idx="14">
                  <c:v>115.8012615</c:v>
                </c:pt>
                <c:pt idx="15">
                  <c:v>114.2631334</c:v>
                </c:pt>
                <c:pt idx="16">
                  <c:v>112.7454985</c:v>
                </c:pt>
                <c:pt idx="17">
                  <c:v>111.2480559</c:v>
                </c:pt>
                <c:pt idx="18">
                  <c:v>109.77048739999999</c:v>
                </c:pt>
                <c:pt idx="19">
                  <c:v>108.31246969999999</c:v>
                </c:pt>
                <c:pt idx="20">
                  <c:v>106.873648</c:v>
                </c:pt>
                <c:pt idx="21">
                  <c:v>105.4536571</c:v>
                </c:pt>
                <c:pt idx="22">
                  <c:v>104.0522084</c:v>
                </c:pt>
                <c:pt idx="23">
                  <c:v>102.6690438</c:v>
                </c:pt>
                <c:pt idx="24">
                  <c:v>101.3039115</c:v>
                </c:pt>
                <c:pt idx="25">
                  <c:v>99.956488019999995</c:v>
                </c:pt>
                <c:pt idx="26">
                  <c:v>98.626386740000001</c:v>
                </c:pt>
                <c:pt idx="27">
                  <c:v>97.313339929999998</c:v>
                </c:pt>
                <c:pt idx="28">
                  <c:v>96.017150490000006</c:v>
                </c:pt>
                <c:pt idx="29">
                  <c:v>94.737642649999998</c:v>
                </c:pt>
                <c:pt idx="30">
                  <c:v>93.47464927</c:v>
                </c:pt>
                <c:pt idx="31">
                  <c:v>92.228009119999996</c:v>
                </c:pt>
                <c:pt idx="32">
                  <c:v>90.997563700000001</c:v>
                </c:pt>
                <c:pt idx="33">
                  <c:v>89.783146869999996</c:v>
                </c:pt>
                <c:pt idx="34">
                  <c:v>88.584578149999999</c:v>
                </c:pt>
                <c:pt idx="35">
                  <c:v>87.401659530000003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Données!$B$377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Données!$C$377:$AL$377</c:f>
              <c:numCache>
                <c:formatCode>#,##0</c:formatCode>
                <c:ptCount val="36"/>
                <c:pt idx="0">
                  <c:v>3.874567114</c:v>
                </c:pt>
                <c:pt idx="1">
                  <c:v>3.724543325</c:v>
                </c:pt>
                <c:pt idx="2">
                  <c:v>3.581032961</c:v>
                </c:pt>
                <c:pt idx="3">
                  <c:v>3.443894615</c:v>
                </c:pt>
                <c:pt idx="4">
                  <c:v>3.3129371320000001</c:v>
                </c:pt>
                <c:pt idx="5">
                  <c:v>3.1878741239999999</c:v>
                </c:pt>
                <c:pt idx="6">
                  <c:v>3.0683460349999998</c:v>
                </c:pt>
                <c:pt idx="7">
                  <c:v>2.9539733479999999</c:v>
                </c:pt>
                <c:pt idx="8">
                  <c:v>2.844414929</c:v>
                </c:pt>
                <c:pt idx="9">
                  <c:v>2.7393816709999999</c:v>
                </c:pt>
                <c:pt idx="10">
                  <c:v>2.6386352689999999</c:v>
                </c:pt>
                <c:pt idx="11">
                  <c:v>2.541976359</c:v>
                </c:pt>
                <c:pt idx="12">
                  <c:v>2.449221917</c:v>
                </c:pt>
                <c:pt idx="13">
                  <c:v>2.36020311</c:v>
                </c:pt>
                <c:pt idx="14">
                  <c:v>2.2747622179999998</c:v>
                </c:pt>
                <c:pt idx="15">
                  <c:v>2.1927488350000002</c:v>
                </c:pt>
                <c:pt idx="16">
                  <c:v>2.1140178700000001</c:v>
                </c:pt>
                <c:pt idx="17">
                  <c:v>2.0384291870000002</c:v>
                </c:pt>
                <c:pt idx="18">
                  <c:v>1.965847103</c:v>
                </c:pt>
                <c:pt idx="19">
                  <c:v>1.896140878</c:v>
                </c:pt>
                <c:pt idx="20">
                  <c:v>1.8291834250000001</c:v>
                </c:pt>
                <c:pt idx="21">
                  <c:v>1.7648524699999999</c:v>
                </c:pt>
                <c:pt idx="22">
                  <c:v>1.703035233</c:v>
                </c:pt>
                <c:pt idx="23">
                  <c:v>1.643625573</c:v>
                </c:pt>
                <c:pt idx="24">
                  <c:v>1.5865224</c:v>
                </c:pt>
                <c:pt idx="25">
                  <c:v>1.5316255510000001</c:v>
                </c:pt>
                <c:pt idx="26">
                  <c:v>1.4788357990000001</c:v>
                </c:pt>
                <c:pt idx="27">
                  <c:v>1.428063439</c:v>
                </c:pt>
                <c:pt idx="28">
                  <c:v>1.379226107</c:v>
                </c:pt>
                <c:pt idx="29">
                  <c:v>1.3322462239999999</c:v>
                </c:pt>
                <c:pt idx="30">
                  <c:v>1.287050078</c:v>
                </c:pt>
                <c:pt idx="31">
                  <c:v>1.2435673519999999</c:v>
                </c:pt>
                <c:pt idx="32">
                  <c:v>1.201730674</c:v>
                </c:pt>
                <c:pt idx="33">
                  <c:v>1.161475341</c:v>
                </c:pt>
                <c:pt idx="34">
                  <c:v>1.122738971</c:v>
                </c:pt>
                <c:pt idx="35">
                  <c:v>1.0854612429999999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Données!$B$362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Données!$C$362:$AL$362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7160.6948617887992</c:v>
                </c:pt>
                <c:pt idx="2">
                  <c:v>7267.2016510306994</c:v>
                </c:pt>
                <c:pt idx="3">
                  <c:v>7408.6454739172004</c:v>
                </c:pt>
                <c:pt idx="4">
                  <c:v>7573.7570205226002</c:v>
                </c:pt>
                <c:pt idx="5">
                  <c:v>7755.1232353944997</c:v>
                </c:pt>
                <c:pt idx="6">
                  <c:v>7946.7010169359992</c:v>
                </c:pt>
                <c:pt idx="7">
                  <c:v>8145.2371402804001</c:v>
                </c:pt>
                <c:pt idx="8">
                  <c:v>8348.5410830994006</c:v>
                </c:pt>
                <c:pt idx="9">
                  <c:v>8555.1229546066006</c:v>
                </c:pt>
                <c:pt idx="10">
                  <c:v>8766.0700795026023</c:v>
                </c:pt>
                <c:pt idx="11">
                  <c:v>8978.4617788713003</c:v>
                </c:pt>
                <c:pt idx="12">
                  <c:v>9191.723870901902</c:v>
                </c:pt>
                <c:pt idx="13">
                  <c:v>9405.3971121287996</c:v>
                </c:pt>
                <c:pt idx="14">
                  <c:v>9619.1483289338012</c:v>
                </c:pt>
                <c:pt idx="15">
                  <c:v>9832.7544059165994</c:v>
                </c:pt>
                <c:pt idx="16">
                  <c:v>10046.0759052624</c:v>
                </c:pt>
                <c:pt idx="17">
                  <c:v>10259.0313703462</c:v>
                </c:pt>
                <c:pt idx="18">
                  <c:v>10471.576739174501</c:v>
                </c:pt>
                <c:pt idx="19">
                  <c:v>10683.690803918302</c:v>
                </c:pt>
                <c:pt idx="20">
                  <c:v>10893.7134499314</c:v>
                </c:pt>
                <c:pt idx="21">
                  <c:v>11103.384945080999</c:v>
                </c:pt>
                <c:pt idx="22">
                  <c:v>11312.749673828001</c:v>
                </c:pt>
                <c:pt idx="23">
                  <c:v>11521.876925856001</c:v>
                </c:pt>
                <c:pt idx="24">
                  <c:v>11730.824383528001</c:v>
                </c:pt>
                <c:pt idx="25">
                  <c:v>11934.79646766</c:v>
                </c:pt>
                <c:pt idx="26">
                  <c:v>12136.621347543998</c:v>
                </c:pt>
                <c:pt idx="27">
                  <c:v>12336.523596199</c:v>
                </c:pt>
                <c:pt idx="28">
                  <c:v>12534.834788775999</c:v>
                </c:pt>
                <c:pt idx="29">
                  <c:v>12731.915793854001</c:v>
                </c:pt>
                <c:pt idx="30">
                  <c:v>12928.111430605</c:v>
                </c:pt>
                <c:pt idx="31">
                  <c:v>13123.731636716999</c:v>
                </c:pt>
                <c:pt idx="32">
                  <c:v>13319.048679818001</c:v>
                </c:pt>
                <c:pt idx="33">
                  <c:v>13514.302372167</c:v>
                </c:pt>
                <c:pt idx="34">
                  <c:v>13709.70829561</c:v>
                </c:pt>
                <c:pt idx="35">
                  <c:v>13905.465907018999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Données!$B$363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Données!$C$363:$AL$363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8203.0117483759986</c:v>
                </c:pt>
                <c:pt idx="2">
                  <c:v>8200.1598386532005</c:v>
                </c:pt>
                <c:pt idx="3">
                  <c:v>8237.5325578123011</c:v>
                </c:pt>
                <c:pt idx="4">
                  <c:v>8303.5410686185005</c:v>
                </c:pt>
                <c:pt idx="5">
                  <c:v>8390.4130966972989</c:v>
                </c:pt>
                <c:pt idx="6">
                  <c:v>8491.7866568386999</c:v>
                </c:pt>
                <c:pt idx="7">
                  <c:v>8604.0323158679003</c:v>
                </c:pt>
                <c:pt idx="8">
                  <c:v>8724.5887609068013</c:v>
                </c:pt>
                <c:pt idx="9">
                  <c:v>8851.6059869722994</c:v>
                </c:pt>
                <c:pt idx="10">
                  <c:v>8985.6928706186991</c:v>
                </c:pt>
                <c:pt idx="11">
                  <c:v>9123.7260072665013</c:v>
                </c:pt>
                <c:pt idx="12">
                  <c:v>9264.8232020795986</c:v>
                </c:pt>
                <c:pt idx="13">
                  <c:v>9408.2391240452016</c:v>
                </c:pt>
                <c:pt idx="14">
                  <c:v>9553.3716957751003</c:v>
                </c:pt>
                <c:pt idx="15">
                  <c:v>9699.7439759311001</c:v>
                </c:pt>
                <c:pt idx="16">
                  <c:v>9846.9771091390012</c:v>
                </c:pt>
                <c:pt idx="17">
                  <c:v>9994.7644381443006</c:v>
                </c:pt>
                <c:pt idx="18">
                  <c:v>10142.8507022088</c:v>
                </c:pt>
                <c:pt idx="19">
                  <c:v>10291.017152926201</c:v>
                </c:pt>
                <c:pt idx="20">
                  <c:v>10437.5708889784</c:v>
                </c:pt>
                <c:pt idx="21">
                  <c:v>10583.930235391801</c:v>
                </c:pt>
                <c:pt idx="22">
                  <c:v>10729.975033758799</c:v>
                </c:pt>
                <c:pt idx="23">
                  <c:v>10875.616504649999</c:v>
                </c:pt>
                <c:pt idx="24">
                  <c:v>11020.764160189001</c:v>
                </c:pt>
                <c:pt idx="25">
                  <c:v>11161.007870760001</c:v>
                </c:pt>
                <c:pt idx="26">
                  <c:v>11298.783592288</c:v>
                </c:pt>
                <c:pt idx="27">
                  <c:v>11434.196457324</c:v>
                </c:pt>
                <c:pt idx="28">
                  <c:v>11567.447973867</c:v>
                </c:pt>
                <c:pt idx="29">
                  <c:v>11698.766505733001</c:v>
                </c:pt>
                <c:pt idx="30">
                  <c:v>11828.366822355001</c:v>
                </c:pt>
                <c:pt idx="31">
                  <c:v>11956.433511419</c:v>
                </c:pt>
                <c:pt idx="32">
                  <c:v>12083.118274518001</c:v>
                </c:pt>
                <c:pt idx="33">
                  <c:v>12208.544462915001</c:v>
                </c:pt>
                <c:pt idx="34">
                  <c:v>12332.813995306</c:v>
                </c:pt>
                <c:pt idx="35">
                  <c:v>12456.014291293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Données!$B$364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Données!$C$364:$AL$364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6662.2684954960996</c:v>
                </c:pt>
                <c:pt idx="2">
                  <c:v>6582.5202534272994</c:v>
                </c:pt>
                <c:pt idx="3">
                  <c:v>6535.6477003606997</c:v>
                </c:pt>
                <c:pt idx="4">
                  <c:v>6513.0733241015996</c:v>
                </c:pt>
                <c:pt idx="5">
                  <c:v>6508.9433128991996</c:v>
                </c:pt>
                <c:pt idx="6">
                  <c:v>6518.4479823941001</c:v>
                </c:pt>
                <c:pt idx="7">
                  <c:v>6538.7086499828001</c:v>
                </c:pt>
                <c:pt idx="8">
                  <c:v>6567.6209960565002</c:v>
                </c:pt>
                <c:pt idx="9">
                  <c:v>6603.6016465743005</c:v>
                </c:pt>
                <c:pt idx="10">
                  <c:v>6646.7614988673995</c:v>
                </c:pt>
                <c:pt idx="11">
                  <c:v>6694.7079345557004</c:v>
                </c:pt>
                <c:pt idx="12">
                  <c:v>6746.5940774606006</c:v>
                </c:pt>
                <c:pt idx="13">
                  <c:v>6801.6876388966002</c:v>
                </c:pt>
                <c:pt idx="14">
                  <c:v>6859.3723898298003</c:v>
                </c:pt>
                <c:pt idx="15">
                  <c:v>6919.1336867688997</c:v>
                </c:pt>
                <c:pt idx="16">
                  <c:v>6980.5385025096002</c:v>
                </c:pt>
                <c:pt idx="17">
                  <c:v>7043.2166136998003</c:v>
                </c:pt>
                <c:pt idx="18">
                  <c:v>7106.8454292169999</c:v>
                </c:pt>
                <c:pt idx="19">
                  <c:v>7171.1389268548</c:v>
                </c:pt>
                <c:pt idx="20">
                  <c:v>7234.8568294871002</c:v>
                </c:pt>
                <c:pt idx="21">
                  <c:v>7298.8144134085996</c:v>
                </c:pt>
                <c:pt idx="22">
                  <c:v>7362.8220555744001</c:v>
                </c:pt>
                <c:pt idx="23">
                  <c:v>7426.718350831201</c:v>
                </c:pt>
                <c:pt idx="24">
                  <c:v>7490.3483132469009</c:v>
                </c:pt>
                <c:pt idx="25">
                  <c:v>7550.7846407831994</c:v>
                </c:pt>
                <c:pt idx="26">
                  <c:v>7609.537357453999</c:v>
                </c:pt>
                <c:pt idx="27">
                  <c:v>7666.6123476469993</c:v>
                </c:pt>
                <c:pt idx="28">
                  <c:v>7722.0797283092998</c:v>
                </c:pt>
                <c:pt idx="29">
                  <c:v>7776.0287949651001</c:v>
                </c:pt>
                <c:pt idx="30">
                  <c:v>7828.5420990510993</c:v>
                </c:pt>
                <c:pt idx="31">
                  <c:v>7879.6848099957997</c:v>
                </c:pt>
                <c:pt idx="32">
                  <c:v>7929.5029417812002</c:v>
                </c:pt>
                <c:pt idx="33">
                  <c:v>7978.0260838758004</c:v>
                </c:pt>
                <c:pt idx="34">
                  <c:v>8025.2717350026996</c:v>
                </c:pt>
                <c:pt idx="35">
                  <c:v>8071.2495296039997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Données!$B$365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Données!$C$365:$AL$365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4063.767780096</c:v>
                </c:pt>
                <c:pt idx="2">
                  <c:v>3987.5425367426001</c:v>
                </c:pt>
                <c:pt idx="3">
                  <c:v>3929.4644585799001</c:v>
                </c:pt>
                <c:pt idx="4">
                  <c:v>3884.4068086115999</c:v>
                </c:pt>
                <c:pt idx="5">
                  <c:v>3848.8913251670997</c:v>
                </c:pt>
                <c:pt idx="6">
                  <c:v>3820.1238377201998</c:v>
                </c:pt>
                <c:pt idx="7">
                  <c:v>3796.4171128391999</c:v>
                </c:pt>
                <c:pt idx="8">
                  <c:v>3776.5420297838004</c:v>
                </c:pt>
                <c:pt idx="9">
                  <c:v>3759.5749723111999</c:v>
                </c:pt>
                <c:pt idx="10">
                  <c:v>3745.4648812292999</c:v>
                </c:pt>
                <c:pt idx="11">
                  <c:v>3732.9216857541996</c:v>
                </c:pt>
                <c:pt idx="12">
                  <c:v>3721.4566432941001</c:v>
                </c:pt>
                <c:pt idx="13">
                  <c:v>3710.6541319024</c:v>
                </c:pt>
                <c:pt idx="14">
                  <c:v>3700.1685196827002</c:v>
                </c:pt>
                <c:pt idx="15">
                  <c:v>3689.7144048524001</c:v>
                </c:pt>
                <c:pt idx="16">
                  <c:v>3679.0551700418996</c:v>
                </c:pt>
                <c:pt idx="17">
                  <c:v>3667.9927410667001</c:v>
                </c:pt>
                <c:pt idx="18">
                  <c:v>3656.3594649731999</c:v>
                </c:pt>
                <c:pt idx="19">
                  <c:v>3644.0121275334</c:v>
                </c:pt>
                <c:pt idx="20">
                  <c:v>3630.4040069374</c:v>
                </c:pt>
                <c:pt idx="21">
                  <c:v>3615.8939545567005</c:v>
                </c:pt>
                <c:pt idx="22">
                  <c:v>3600.4010040501998</c:v>
                </c:pt>
                <c:pt idx="23">
                  <c:v>3583.8597942201004</c:v>
                </c:pt>
                <c:pt idx="24">
                  <c:v>3566.2119546576996</c:v>
                </c:pt>
                <c:pt idx="25">
                  <c:v>3546.3026415552999</c:v>
                </c:pt>
                <c:pt idx="26">
                  <c:v>3524.7886708240999</c:v>
                </c:pt>
                <c:pt idx="27">
                  <c:v>3501.7133732692996</c:v>
                </c:pt>
                <c:pt idx="28">
                  <c:v>3477.1422640350002</c:v>
                </c:pt>
                <c:pt idx="29">
                  <c:v>3451.1454871181004</c:v>
                </c:pt>
                <c:pt idx="30">
                  <c:v>3423.7884091278002</c:v>
                </c:pt>
                <c:pt idx="31">
                  <c:v>3395.1281898765001</c:v>
                </c:pt>
                <c:pt idx="32">
                  <c:v>3365.2136185681002</c:v>
                </c:pt>
                <c:pt idx="33">
                  <c:v>3334.0865452078001</c:v>
                </c:pt>
                <c:pt idx="34">
                  <c:v>3301.7838363766</c:v>
                </c:pt>
                <c:pt idx="35">
                  <c:v>3268.3392320191001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Données!$B$366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Données!$C$366:$AL$366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2448.3132837490002</c:v>
                </c:pt>
                <c:pt idx="2">
                  <c:v>2403.7044725706</c:v>
                </c:pt>
                <c:pt idx="3">
                  <c:v>2368.7077761331998</c:v>
                </c:pt>
                <c:pt idx="4">
                  <c:v>2340.1151489653998</c:v>
                </c:pt>
                <c:pt idx="5">
                  <c:v>2315.8027460218004</c:v>
                </c:pt>
                <c:pt idx="6">
                  <c:v>2294.1177286523002</c:v>
                </c:pt>
                <c:pt idx="7">
                  <c:v>2274.1008547754004</c:v>
                </c:pt>
                <c:pt idx="8">
                  <c:v>2255.0831514357001</c:v>
                </c:pt>
                <c:pt idx="9">
                  <c:v>2236.5858024775002</c:v>
                </c:pt>
                <c:pt idx="10">
                  <c:v>2218.6276232814998</c:v>
                </c:pt>
                <c:pt idx="11">
                  <c:v>2200.5347313318002</c:v>
                </c:pt>
                <c:pt idx="12">
                  <c:v>2182.0924572972999</c:v>
                </c:pt>
                <c:pt idx="13">
                  <c:v>2163.1306602036998</c:v>
                </c:pt>
                <c:pt idx="14">
                  <c:v>2143.5201676500997</c:v>
                </c:pt>
                <c:pt idx="15">
                  <c:v>2123.1662087124</c:v>
                </c:pt>
                <c:pt idx="16">
                  <c:v>2102.0014232665003</c:v>
                </c:pt>
                <c:pt idx="17">
                  <c:v>2079.9798488873998</c:v>
                </c:pt>
                <c:pt idx="18">
                  <c:v>2057.0722084032</c:v>
                </c:pt>
                <c:pt idx="19">
                  <c:v>2033.2624478022999</c:v>
                </c:pt>
                <c:pt idx="20">
                  <c:v>2008.3374576778001</c:v>
                </c:pt>
                <c:pt idx="21">
                  <c:v>1982.5342197666</c:v>
                </c:pt>
                <c:pt idx="22">
                  <c:v>1955.8683413674999</c:v>
                </c:pt>
                <c:pt idx="23">
                  <c:v>1928.3620778084999</c:v>
                </c:pt>
                <c:pt idx="24">
                  <c:v>1900.0404992151002</c:v>
                </c:pt>
                <c:pt idx="25">
                  <c:v>1870.429010719</c:v>
                </c:pt>
                <c:pt idx="26">
                  <c:v>1839.8959442564999</c:v>
                </c:pt>
                <c:pt idx="27">
                  <c:v>1808.5205886076999</c:v>
                </c:pt>
                <c:pt idx="28">
                  <c:v>1776.3883109458002</c:v>
                </c:pt>
                <c:pt idx="29">
                  <c:v>1743.5828884822001</c:v>
                </c:pt>
                <c:pt idx="30">
                  <c:v>1710.1827615271998</c:v>
                </c:pt>
                <c:pt idx="31">
                  <c:v>1676.2599294244999</c:v>
                </c:pt>
                <c:pt idx="32">
                  <c:v>1641.8802189488999</c:v>
                </c:pt>
                <c:pt idx="33">
                  <c:v>1607.1041856454001</c:v>
                </c:pt>
                <c:pt idx="34">
                  <c:v>1571.9881768646001</c:v>
                </c:pt>
                <c:pt idx="35">
                  <c:v>1536.5853342211999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Données!$B$367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Données!$C$367:$AL$367</c:f>
              <c:numCache>
                <c:formatCode>#,##0</c:formatCode>
                <c:ptCount val="36"/>
                <c:pt idx="0">
                  <c:v>1245.466605953</c:v>
                </c:pt>
                <c:pt idx="1">
                  <c:v>1213.2731769304</c:v>
                </c:pt>
                <c:pt idx="2">
                  <c:v>1186.5417099158001</c:v>
                </c:pt>
                <c:pt idx="3">
                  <c:v>1162.6613500604999</c:v>
                </c:pt>
                <c:pt idx="4">
                  <c:v>1140.0303936754001</c:v>
                </c:pt>
                <c:pt idx="5">
                  <c:v>1117.7004196048001</c:v>
                </c:pt>
                <c:pt idx="6">
                  <c:v>1095.037073172</c:v>
                </c:pt>
                <c:pt idx="7">
                  <c:v>1071.7619130173002</c:v>
                </c:pt>
                <c:pt idx="8">
                  <c:v>1047.7476890339001</c:v>
                </c:pt>
                <c:pt idx="9">
                  <c:v>1022.9585063938999</c:v>
                </c:pt>
                <c:pt idx="10">
                  <c:v>997.5399441797</c:v>
                </c:pt>
                <c:pt idx="11">
                  <c:v>971.39584536529992</c:v>
                </c:pt>
                <c:pt idx="12">
                  <c:v>944.59669131340002</c:v>
                </c:pt>
                <c:pt idx="13">
                  <c:v>917.22646781370008</c:v>
                </c:pt>
                <c:pt idx="14">
                  <c:v>889.37862585350001</c:v>
                </c:pt>
                <c:pt idx="15">
                  <c:v>861.15210627659997</c:v>
                </c:pt>
                <c:pt idx="16">
                  <c:v>832.64799367830005</c:v>
                </c:pt>
                <c:pt idx="17">
                  <c:v>803.9669456675</c:v>
                </c:pt>
                <c:pt idx="18">
                  <c:v>775.20730030819993</c:v>
                </c:pt>
                <c:pt idx="19">
                  <c:v>746.46373046990004</c:v>
                </c:pt>
                <c:pt idx="20">
                  <c:v>717.78157774850013</c:v>
                </c:pt>
                <c:pt idx="21">
                  <c:v>689.29993884390001</c:v>
                </c:pt>
                <c:pt idx="22">
                  <c:v>661.09833416669994</c:v>
                </c:pt>
                <c:pt idx="23">
                  <c:v>633.24980090719998</c:v>
                </c:pt>
                <c:pt idx="24">
                  <c:v>605.82060692979985</c:v>
                </c:pt>
                <c:pt idx="25">
                  <c:v>578.7875107845</c:v>
                </c:pt>
                <c:pt idx="26">
                  <c:v>552.2700132512</c:v>
                </c:pt>
                <c:pt idx="27">
                  <c:v>526.32708666299993</c:v>
                </c:pt>
                <c:pt idx="28">
                  <c:v>501.01005357880001</c:v>
                </c:pt>
                <c:pt idx="29">
                  <c:v>476.36213671830001</c:v>
                </c:pt>
                <c:pt idx="30">
                  <c:v>452.41871157879996</c:v>
                </c:pt>
                <c:pt idx="31">
                  <c:v>429.20789975459996</c:v>
                </c:pt>
                <c:pt idx="32">
                  <c:v>406.75127605889998</c:v>
                </c:pt>
                <c:pt idx="33">
                  <c:v>385.06458939969997</c:v>
                </c:pt>
                <c:pt idx="34">
                  <c:v>364.1584382561</c:v>
                </c:pt>
                <c:pt idx="35">
                  <c:v>344.03887836390004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Données!$B$368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Données!$C$368:$AL$368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2188.0844765737002</c:v>
                </c:pt>
                <c:pt idx="2">
                  <c:v>2140.3286405356998</c:v>
                </c:pt>
                <c:pt idx="3">
                  <c:v>2094.4923208988002</c:v>
                </c:pt>
                <c:pt idx="4">
                  <c:v>2047.7562663011001</c:v>
                </c:pt>
                <c:pt idx="5">
                  <c:v>1998.7253299404999</c:v>
                </c:pt>
                <c:pt idx="6">
                  <c:v>1946.7036148748002</c:v>
                </c:pt>
                <c:pt idx="7">
                  <c:v>1891.6642932167999</c:v>
                </c:pt>
                <c:pt idx="8">
                  <c:v>1833.8466796206001</c:v>
                </c:pt>
                <c:pt idx="9">
                  <c:v>1773.6263581359999</c:v>
                </c:pt>
                <c:pt idx="10">
                  <c:v>1711.6144260843</c:v>
                </c:pt>
                <c:pt idx="11">
                  <c:v>1648.0495297957002</c:v>
                </c:pt>
                <c:pt idx="12">
                  <c:v>1583.3801846248</c:v>
                </c:pt>
                <c:pt idx="13">
                  <c:v>1518.0388263765001</c:v>
                </c:pt>
                <c:pt idx="14">
                  <c:v>1452.4341776934</c:v>
                </c:pt>
                <c:pt idx="15">
                  <c:v>1386.9455634500002</c:v>
                </c:pt>
                <c:pt idx="16">
                  <c:v>1321.9193242690999</c:v>
                </c:pt>
                <c:pt idx="17">
                  <c:v>1257.6669676417</c:v>
                </c:pt>
                <c:pt idx="18">
                  <c:v>1194.4646288734998</c:v>
                </c:pt>
                <c:pt idx="19">
                  <c:v>1132.5534804413001</c:v>
                </c:pt>
                <c:pt idx="20">
                  <c:v>1072.0996326502</c:v>
                </c:pt>
                <c:pt idx="21">
                  <c:v>1013.3309843753999</c:v>
                </c:pt>
                <c:pt idx="22">
                  <c:v>956.39149891279999</c:v>
                </c:pt>
                <c:pt idx="23">
                  <c:v>901.39591888660004</c:v>
                </c:pt>
                <c:pt idx="24">
                  <c:v>848.43220112350002</c:v>
                </c:pt>
                <c:pt idx="25">
                  <c:v>797.5036346518001</c:v>
                </c:pt>
                <c:pt idx="26">
                  <c:v>748.7064032692</c:v>
                </c:pt>
                <c:pt idx="27">
                  <c:v>702.0728727321</c:v>
                </c:pt>
                <c:pt idx="28">
                  <c:v>657.6151678028001</c:v>
                </c:pt>
                <c:pt idx="29">
                  <c:v>615.32737731369991</c:v>
                </c:pt>
                <c:pt idx="30">
                  <c:v>575.18805253489995</c:v>
                </c:pt>
                <c:pt idx="31">
                  <c:v>537.16266254820005</c:v>
                </c:pt>
                <c:pt idx="32">
                  <c:v>501.20586230290002</c:v>
                </c:pt>
                <c:pt idx="33">
                  <c:v>467.26353040059996</c:v>
                </c:pt>
                <c:pt idx="34">
                  <c:v>435.27456777909998</c:v>
                </c:pt>
                <c:pt idx="35">
                  <c:v>405.17246541750001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(shock)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Données!$B$331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Données!$C$331:$AL$331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7160.6970853980001</c:v>
                </c:pt>
                <c:pt idx="2">
                  <c:v>7267.3145928016002</c:v>
                </c:pt>
                <c:pt idx="3">
                  <c:v>7408.9474319202</c:v>
                </c:pt>
                <c:pt idx="4">
                  <c:v>7574.2904407697006</c:v>
                </c:pt>
                <c:pt idx="5">
                  <c:v>7755.9129698082006</c:v>
                </c:pt>
                <c:pt idx="6">
                  <c:v>7947.7748187774996</c:v>
                </c:pt>
                <c:pt idx="7">
                  <c:v>8146.6370774395</c:v>
                </c:pt>
                <c:pt idx="8">
                  <c:v>8350.3244813261008</c:v>
                </c:pt>
                <c:pt idx="9">
                  <c:v>8557.3572428960997</c:v>
                </c:pt>
                <c:pt idx="10">
                  <c:v>8768.8263419702016</c:v>
                </c:pt>
                <c:pt idx="11">
                  <c:v>8981.8059927364993</c:v>
                </c:pt>
                <c:pt idx="12">
                  <c:v>9195.7135944322981</c:v>
                </c:pt>
                <c:pt idx="13">
                  <c:v>9410.0784815214993</c:v>
                </c:pt>
                <c:pt idx="14">
                  <c:v>9624.5553985591014</c:v>
                </c:pt>
                <c:pt idx="15">
                  <c:v>9838.9102343671002</c:v>
                </c:pt>
                <c:pt idx="16">
                  <c:v>10052.9937669553</c:v>
                </c:pt>
                <c:pt idx="17">
                  <c:v>10266.717358654099</c:v>
                </c:pt>
                <c:pt idx="18">
                  <c:v>10480.032207878899</c:v>
                </c:pt>
                <c:pt idx="19">
                  <c:v>10692.914479044301</c:v>
                </c:pt>
                <c:pt idx="20">
                  <c:v>10903.7019670832</c:v>
                </c:pt>
                <c:pt idx="21">
                  <c:v>11114.13808662</c:v>
                </c:pt>
                <c:pt idx="22">
                  <c:v>11324.269369590998</c:v>
                </c:pt>
                <c:pt idx="23">
                  <c:v>11534.168816998999</c:v>
                </c:pt>
                <c:pt idx="24">
                  <c:v>11743.898046464999</c:v>
                </c:pt>
                <c:pt idx="25">
                  <c:v>11948.660528372002</c:v>
                </c:pt>
                <c:pt idx="26">
                  <c:v>12151.292367575999</c:v>
                </c:pt>
                <c:pt idx="27">
                  <c:v>12352.02061698</c:v>
                </c:pt>
                <c:pt idx="28">
                  <c:v>12551.180522646</c:v>
                </c:pt>
                <c:pt idx="29">
                  <c:v>12749.136074336</c:v>
                </c:pt>
                <c:pt idx="30">
                  <c:v>12946.234109941999</c:v>
                </c:pt>
                <c:pt idx="31">
                  <c:v>13142.785935341</c:v>
                </c:pt>
                <c:pt idx="32">
                  <c:v>13339.064277697</c:v>
                </c:pt>
                <c:pt idx="33">
                  <c:v>13535.308850786001</c:v>
                </c:pt>
                <c:pt idx="34">
                  <c:v>13731.734907674998</c:v>
                </c:pt>
                <c:pt idx="35">
                  <c:v>13928.541397374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Données!$B$332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Données!$C$332:$AL$332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8203.0098988207992</c:v>
                </c:pt>
                <c:pt idx="2">
                  <c:v>8200.2562624804996</c:v>
                </c:pt>
                <c:pt idx="3">
                  <c:v>8237.799178986199</c:v>
                </c:pt>
                <c:pt idx="4">
                  <c:v>8304.0155618623994</c:v>
                </c:pt>
                <c:pt idx="5">
                  <c:v>8391.1155014864999</c:v>
                </c:pt>
                <c:pt idx="6">
                  <c:v>8492.738468703099</c:v>
                </c:pt>
                <c:pt idx="7">
                  <c:v>8605.2672444549989</c:v>
                </c:pt>
                <c:pt idx="8">
                  <c:v>8726.1537904512006</c:v>
                </c:pt>
                <c:pt idx="9">
                  <c:v>8853.5567472020011</c:v>
                </c:pt>
                <c:pt idx="10">
                  <c:v>8988.0876402068006</c:v>
                </c:pt>
                <c:pt idx="11">
                  <c:v>9126.6179271646997</c:v>
                </c:pt>
                <c:pt idx="12">
                  <c:v>9268.2572221944993</c:v>
                </c:pt>
                <c:pt idx="13">
                  <c:v>9412.249294814801</c:v>
                </c:pt>
                <c:pt idx="14">
                  <c:v>9557.9806302529014</c:v>
                </c:pt>
                <c:pt idx="15">
                  <c:v>9704.9639075938012</c:v>
                </c:pt>
                <c:pt idx="16">
                  <c:v>9852.8110638762009</c:v>
                </c:pt>
                <c:pt idx="17">
                  <c:v>10001.208669515399</c:v>
                </c:pt>
                <c:pt idx="18">
                  <c:v>10149.8969684614</c:v>
                </c:pt>
                <c:pt idx="19">
                  <c:v>10298.6545785333</c:v>
                </c:pt>
                <c:pt idx="20">
                  <c:v>10445.786751698799</c:v>
                </c:pt>
                <c:pt idx="21">
                  <c:v>10592.714090858801</c:v>
                </c:pt>
                <c:pt idx="22">
                  <c:v>10739.317997316901</c:v>
                </c:pt>
                <c:pt idx="23">
                  <c:v>10885.51261238</c:v>
                </c:pt>
                <c:pt idx="24">
                  <c:v>11031.210483036</c:v>
                </c:pt>
                <c:pt idx="25">
                  <c:v>11172.001273580001</c:v>
                </c:pt>
                <c:pt idx="26">
                  <c:v>11310.32704152</c:v>
                </c:pt>
                <c:pt idx="27">
                  <c:v>11446.294488193</c:v>
                </c:pt>
                <c:pt idx="28">
                  <c:v>11580.107753587999</c:v>
                </c:pt>
                <c:pt idx="29">
                  <c:v>11711.997291483</c:v>
                </c:pt>
                <c:pt idx="30">
                  <c:v>11842.179042626</c:v>
                </c:pt>
                <c:pt idx="31">
                  <c:v>11970.838174476001</c:v>
                </c:pt>
                <c:pt idx="32">
                  <c:v>12098.126203961001</c:v>
                </c:pt>
                <c:pt idx="33">
                  <c:v>12224.165771854001</c:v>
                </c:pt>
                <c:pt idx="34">
                  <c:v>12349.057944365999</c:v>
                </c:pt>
                <c:pt idx="35">
                  <c:v>12472.889097525001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Données!$B$333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Données!$C$333:$AL$333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6662.2644971899999</c:v>
                </c:pt>
                <c:pt idx="2">
                  <c:v>6582.5788193700992</c:v>
                </c:pt>
                <c:pt idx="3">
                  <c:v>6535.8164329557003</c:v>
                </c:pt>
                <c:pt idx="4">
                  <c:v>6513.3762565729003</c:v>
                </c:pt>
                <c:pt idx="5">
                  <c:v>6509.3917944948998</c:v>
                </c:pt>
                <c:pt idx="6">
                  <c:v>6519.0535089355008</c:v>
                </c:pt>
                <c:pt idx="7">
                  <c:v>6539.4901917187999</c:v>
                </c:pt>
                <c:pt idx="8">
                  <c:v>6568.6058450180999</c:v>
                </c:pt>
                <c:pt idx="9">
                  <c:v>6604.8224351604003</c:v>
                </c:pt>
                <c:pt idx="10">
                  <c:v>6648.2521907554001</c:v>
                </c:pt>
                <c:pt idx="11">
                  <c:v>6696.4988553407993</c:v>
                </c:pt>
                <c:pt idx="12">
                  <c:v>6748.7098832581005</c:v>
                </c:pt>
                <c:pt idx="13">
                  <c:v>6804.1455736004</c:v>
                </c:pt>
                <c:pt idx="14">
                  <c:v>6862.1819658388004</c:v>
                </c:pt>
                <c:pt idx="15">
                  <c:v>6922.2974343324995</c:v>
                </c:pt>
                <c:pt idx="16">
                  <c:v>6984.0527931203997</c:v>
                </c:pt>
                <c:pt idx="17">
                  <c:v>7047.0733019367999</c:v>
                </c:pt>
                <c:pt idx="18">
                  <c:v>7111.0333797316007</c:v>
                </c:pt>
                <c:pt idx="19">
                  <c:v>7175.645230492999</c:v>
                </c:pt>
                <c:pt idx="20">
                  <c:v>7239.6674854449993</c:v>
                </c:pt>
                <c:pt idx="21">
                  <c:v>7303.9166436776995</c:v>
                </c:pt>
                <c:pt idx="22">
                  <c:v>7368.2039567876009</c:v>
                </c:pt>
                <c:pt idx="23">
                  <c:v>7432.3697418818001</c:v>
                </c:pt>
                <c:pt idx="24">
                  <c:v>7496.2608264357004</c:v>
                </c:pt>
                <c:pt idx="25">
                  <c:v>7556.9502769596993</c:v>
                </c:pt>
                <c:pt idx="26">
                  <c:v>7615.9515456947011</c:v>
                </c:pt>
                <c:pt idx="27">
                  <c:v>7673.2712633132996</c:v>
                </c:pt>
                <c:pt idx="28">
                  <c:v>7728.980966524201</c:v>
                </c:pt>
                <c:pt idx="29">
                  <c:v>7783.1710239562999</c:v>
                </c:pt>
                <c:pt idx="30">
                  <c:v>7835.9245036161001</c:v>
                </c:pt>
                <c:pt idx="31">
                  <c:v>7887.3067192809003</c:v>
                </c:pt>
                <c:pt idx="32">
                  <c:v>7937.3633693540005</c:v>
                </c:pt>
                <c:pt idx="33">
                  <c:v>7986.1234247101993</c:v>
                </c:pt>
                <c:pt idx="34">
                  <c:v>8033.6036539810002</c:v>
                </c:pt>
                <c:pt idx="35">
                  <c:v>8079.8128948226004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Données!$B$334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Données!$C$334:$AL$334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4063.7587493021001</c:v>
                </c:pt>
                <c:pt idx="2">
                  <c:v>3987.5547600856003</c:v>
                </c:pt>
                <c:pt idx="3">
                  <c:v>3929.5192965348001</c:v>
                </c:pt>
                <c:pt idx="4">
                  <c:v>3884.5130462921002</c:v>
                </c:pt>
                <c:pt idx="5">
                  <c:v>3849.0497215506002</c:v>
                </c:pt>
                <c:pt idx="6">
                  <c:v>3820.3333957771001</c:v>
                </c:pt>
                <c:pt idx="7">
                  <c:v>3796.6789285522</c:v>
                </c:pt>
                <c:pt idx="8">
                  <c:v>3776.8601119300997</c:v>
                </c:pt>
                <c:pt idx="9">
                  <c:v>3759.9551711179001</c:v>
                </c:pt>
                <c:pt idx="10">
                  <c:v>3745.9130450032999</c:v>
                </c:pt>
                <c:pt idx="11">
                  <c:v>3733.4418888129999</c:v>
                </c:pt>
                <c:pt idx="12">
                  <c:v>3722.0502701380001</c:v>
                </c:pt>
                <c:pt idx="13">
                  <c:v>3711.3191836940996</c:v>
                </c:pt>
                <c:pt idx="14">
                  <c:v>3700.8995705588</c:v>
                </c:pt>
                <c:pt idx="15">
                  <c:v>3690.5030411568996</c:v>
                </c:pt>
                <c:pt idx="16">
                  <c:v>3679.8904511411997</c:v>
                </c:pt>
                <c:pt idx="17">
                  <c:v>3668.8620156554002</c:v>
                </c:pt>
                <c:pt idx="18">
                  <c:v>3657.2490871925997</c:v>
                </c:pt>
                <c:pt idx="19">
                  <c:v>3644.9079783647994</c:v>
                </c:pt>
                <c:pt idx="20">
                  <c:v>3631.2921224821998</c:v>
                </c:pt>
                <c:pt idx="21">
                  <c:v>3616.7607556120997</c:v>
                </c:pt>
                <c:pt idx="22">
                  <c:v>3601.2334059273999</c:v>
                </c:pt>
                <c:pt idx="23">
                  <c:v>3584.6455424041001</c:v>
                </c:pt>
                <c:pt idx="24">
                  <c:v>3566.9396376606001</c:v>
                </c:pt>
                <c:pt idx="25">
                  <c:v>3546.9624621511998</c:v>
                </c:pt>
                <c:pt idx="26">
                  <c:v>3525.37163177</c:v>
                </c:pt>
                <c:pt idx="27">
                  <c:v>3502.2107454877996</c:v>
                </c:pt>
                <c:pt idx="28">
                  <c:v>3477.5458467665003</c:v>
                </c:pt>
                <c:pt idx="29">
                  <c:v>3451.4475051742997</c:v>
                </c:pt>
                <c:pt idx="30">
                  <c:v>3423.9813518290002</c:v>
                </c:pt>
                <c:pt idx="31">
                  <c:v>3395.2047123141001</c:v>
                </c:pt>
                <c:pt idx="32">
                  <c:v>3365.1664111746004</c:v>
                </c:pt>
                <c:pt idx="33">
                  <c:v>3333.9082548505003</c:v>
                </c:pt>
                <c:pt idx="34">
                  <c:v>3301.4670603272002</c:v>
                </c:pt>
                <c:pt idx="35">
                  <c:v>3267.8765177944001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Données!$B$335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Données!$C$335:$AL$335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2448.3039620397999</c:v>
                </c:pt>
                <c:pt idx="2">
                  <c:v>2403.7009189125001</c:v>
                </c:pt>
                <c:pt idx="3">
                  <c:v>2368.7205618388998</c:v>
                </c:pt>
                <c:pt idx="4">
                  <c:v>2340.147485127</c:v>
                </c:pt>
                <c:pt idx="5">
                  <c:v>2315.8525251927999</c:v>
                </c:pt>
                <c:pt idx="6">
                  <c:v>2294.1809842174998</c:v>
                </c:pt>
                <c:pt idx="7">
                  <c:v>2274.1740824440999</c:v>
                </c:pt>
                <c:pt idx="8">
                  <c:v>2255.1640397982001</c:v>
                </c:pt>
                <c:pt idx="9">
                  <c:v>2236.6729007348999</c:v>
                </c:pt>
                <c:pt idx="10">
                  <c:v>2218.7194257815004</c:v>
                </c:pt>
                <c:pt idx="11">
                  <c:v>2200.6290697865002</c:v>
                </c:pt>
                <c:pt idx="12">
                  <c:v>2182.1860296145001</c:v>
                </c:pt>
                <c:pt idx="13">
                  <c:v>2163.2187343207002</c:v>
                </c:pt>
                <c:pt idx="14">
                  <c:v>2143.5966013835</c:v>
                </c:pt>
                <c:pt idx="15">
                  <c:v>2123.2237162391998</c:v>
                </c:pt>
                <c:pt idx="16">
                  <c:v>2102.0318499355999</c:v>
                </c:pt>
                <c:pt idx="17">
                  <c:v>2079.9746067249998</c:v>
                </c:pt>
                <c:pt idx="18">
                  <c:v>2057.0226553943999</c:v>
                </c:pt>
                <c:pt idx="19">
                  <c:v>2033.1601240510001</c:v>
                </c:pt>
                <c:pt idx="20">
                  <c:v>2008.1745318531</c:v>
                </c:pt>
                <c:pt idx="21">
                  <c:v>1982.3032568271999</c:v>
                </c:pt>
                <c:pt idx="22">
                  <c:v>1955.5624686752999</c:v>
                </c:pt>
                <c:pt idx="23">
                  <c:v>1927.9751393924</c:v>
                </c:pt>
                <c:pt idx="24">
                  <c:v>1899.5670527415</c:v>
                </c:pt>
                <c:pt idx="25">
                  <c:v>1869.8652001795001</c:v>
                </c:pt>
                <c:pt idx="26">
                  <c:v>1839.2382848581001</c:v>
                </c:pt>
                <c:pt idx="27">
                  <c:v>1807.7659535087</c:v>
                </c:pt>
                <c:pt idx="28">
                  <c:v>1775.5340405455997</c:v>
                </c:pt>
                <c:pt idx="29">
                  <c:v>1742.6267653899001</c:v>
                </c:pt>
                <c:pt idx="30">
                  <c:v>1709.1229580171998</c:v>
                </c:pt>
                <c:pt idx="31">
                  <c:v>1675.0949787047002</c:v>
                </c:pt>
                <c:pt idx="32">
                  <c:v>1640.6089697167001</c:v>
                </c:pt>
                <c:pt idx="33">
                  <c:v>1605.7257709359001</c:v>
                </c:pt>
                <c:pt idx="34">
                  <c:v>1570.5020243401</c:v>
                </c:pt>
                <c:pt idx="35">
                  <c:v>1534.9911575419999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Données!$B$336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Données!$C$336:$AL$336</c:f>
              <c:numCache>
                <c:formatCode>#,##0</c:formatCode>
                <c:ptCount val="36"/>
                <c:pt idx="0">
                  <c:v>1245.466605953</c:v>
                </c:pt>
                <c:pt idx="1">
                  <c:v>1213.2624170293002</c:v>
                </c:pt>
                <c:pt idx="2">
                  <c:v>1186.5220237103999</c:v>
                </c:pt>
                <c:pt idx="3">
                  <c:v>1162.6343281933</c:v>
                </c:pt>
                <c:pt idx="4">
                  <c:v>1139.9949994591</c:v>
                </c:pt>
                <c:pt idx="5">
                  <c:v>1117.6528761929999</c:v>
                </c:pt>
                <c:pt idx="6">
                  <c:v>1094.9720762877</c:v>
                </c:pt>
                <c:pt idx="7">
                  <c:v>1071.6738037114999</c:v>
                </c:pt>
                <c:pt idx="8">
                  <c:v>1047.6311980498999</c:v>
                </c:pt>
                <c:pt idx="9">
                  <c:v>1022.8090593888001</c:v>
                </c:pt>
                <c:pt idx="10">
                  <c:v>997.35352010169993</c:v>
                </c:pt>
                <c:pt idx="11">
                  <c:v>971.16919993409988</c:v>
                </c:pt>
                <c:pt idx="12">
                  <c:v>944.32717777400001</c:v>
                </c:pt>
                <c:pt idx="13">
                  <c:v>916.91194564739999</c:v>
                </c:pt>
                <c:pt idx="14">
                  <c:v>889.01742583610007</c:v>
                </c:pt>
                <c:pt idx="15">
                  <c:v>860.74305443210005</c:v>
                </c:pt>
                <c:pt idx="16">
                  <c:v>832.19042518560002</c:v>
                </c:pt>
                <c:pt idx="17">
                  <c:v>803.46075016759994</c:v>
                </c:pt>
                <c:pt idx="18">
                  <c:v>774.65293770029996</c:v>
                </c:pt>
                <c:pt idx="19">
                  <c:v>745.86219421069995</c:v>
                </c:pt>
                <c:pt idx="20">
                  <c:v>717.13452541050003</c:v>
                </c:pt>
                <c:pt idx="21">
                  <c:v>688.60929721650007</c:v>
                </c:pt>
                <c:pt idx="22">
                  <c:v>660.36638847439997</c:v>
                </c:pt>
                <c:pt idx="23">
                  <c:v>632.47917067200001</c:v>
                </c:pt>
                <c:pt idx="24">
                  <c:v>605.01419463109994</c:v>
                </c:pt>
                <c:pt idx="25">
                  <c:v>577.94891330949997</c:v>
                </c:pt>
                <c:pt idx="26">
                  <c:v>551.40272985109993</c:v>
                </c:pt>
                <c:pt idx="27">
                  <c:v>525.43463993089995</c:v>
                </c:pt>
                <c:pt idx="28">
                  <c:v>500.09598509430003</c:v>
                </c:pt>
                <c:pt idx="29">
                  <c:v>475.42998824770001</c:v>
                </c:pt>
                <c:pt idx="30">
                  <c:v>451.47200318800003</c:v>
                </c:pt>
                <c:pt idx="31">
                  <c:v>428.25010845609995</c:v>
                </c:pt>
                <c:pt idx="32">
                  <c:v>405.78581343959996</c:v>
                </c:pt>
                <c:pt idx="33">
                  <c:v>384.09477894209999</c:v>
                </c:pt>
                <c:pt idx="34">
                  <c:v>363.18749929000001</c:v>
                </c:pt>
                <c:pt idx="35">
                  <c:v>343.06990889030004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Données!$B$337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Données!$C$337:$AL$337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2188.0544495882</c:v>
                </c:pt>
                <c:pt idx="2">
                  <c:v>2140.2643412206994</c:v>
                </c:pt>
                <c:pt idx="3">
                  <c:v>2094.392728542</c:v>
                </c:pt>
                <c:pt idx="4">
                  <c:v>2047.6174706967997</c:v>
                </c:pt>
                <c:pt idx="5">
                  <c:v>1998.5388280136001</c:v>
                </c:pt>
                <c:pt idx="6">
                  <c:v>1946.458122865</c:v>
                </c:pt>
                <c:pt idx="7">
                  <c:v>1891.3480972965999</c:v>
                </c:pt>
                <c:pt idx="8">
                  <c:v>1833.4494993374001</c:v>
                </c:pt>
                <c:pt idx="9">
                  <c:v>1773.1403309794</c:v>
                </c:pt>
                <c:pt idx="10">
                  <c:v>1711.0340134754999</c:v>
                </c:pt>
                <c:pt idx="11">
                  <c:v>1647.3721767505001</c:v>
                </c:pt>
                <c:pt idx="12">
                  <c:v>1582.6057684932002</c:v>
                </c:pt>
                <c:pt idx="13">
                  <c:v>1517.1692771636001</c:v>
                </c:pt>
                <c:pt idx="14">
                  <c:v>1451.4731363429</c:v>
                </c:pt>
                <c:pt idx="15">
                  <c:v>1385.8981195638999</c:v>
                </c:pt>
                <c:pt idx="16">
                  <c:v>1320.7917566276999</c:v>
                </c:pt>
                <c:pt idx="17">
                  <c:v>1256.4665388170999</c:v>
                </c:pt>
                <c:pt idx="18">
                  <c:v>1193.1993686624999</c:v>
                </c:pt>
                <c:pt idx="19">
                  <c:v>1131.2319355744</c:v>
                </c:pt>
                <c:pt idx="20">
                  <c:v>1070.7308967741999</c:v>
                </c:pt>
                <c:pt idx="21">
                  <c:v>1011.9239610945</c:v>
                </c:pt>
                <c:pt idx="22">
                  <c:v>954.95499215400002</c:v>
                </c:pt>
                <c:pt idx="23">
                  <c:v>899.93853211049998</c:v>
                </c:pt>
                <c:pt idx="24">
                  <c:v>846.96223329499992</c:v>
                </c:pt>
                <c:pt idx="25">
                  <c:v>796.02952963810003</c:v>
                </c:pt>
                <c:pt idx="26">
                  <c:v>747.23574762399994</c:v>
                </c:pt>
                <c:pt idx="27">
                  <c:v>700.61260274309996</c:v>
                </c:pt>
                <c:pt idx="28">
                  <c:v>656.17158101850009</c:v>
                </c:pt>
                <c:pt idx="29">
                  <c:v>613.90614292320004</c:v>
                </c:pt>
                <c:pt idx="30">
                  <c:v>573.79422147190007</c:v>
                </c:pt>
                <c:pt idx="31">
                  <c:v>535.80068132099996</c:v>
                </c:pt>
                <c:pt idx="32">
                  <c:v>499.87958781489999</c:v>
                </c:pt>
                <c:pt idx="33">
                  <c:v>465.97624796229996</c:v>
                </c:pt>
                <c:pt idx="34">
                  <c:v>434.02901492479998</c:v>
                </c:pt>
                <c:pt idx="35">
                  <c:v>403.97085740650004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(shock)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9110930698597887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Données!$B$298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Données!$C$298:$AL$298</c:f>
              <c:numCache>
                <c:formatCode>#,##0</c:formatCode>
                <c:ptCount val="36"/>
                <c:pt idx="0">
                  <c:v>32271.24</c:v>
                </c:pt>
                <c:pt idx="1">
                  <c:v>31874.833890000002</c:v>
                </c:pt>
                <c:pt idx="2">
                  <c:v>31684.918229999999</c:v>
                </c:pt>
                <c:pt idx="3">
                  <c:v>31635.349719999998</c:v>
                </c:pt>
                <c:pt idx="4">
                  <c:v>31682.127850000001</c:v>
                </c:pt>
                <c:pt idx="5">
                  <c:v>31796.38855</c:v>
                </c:pt>
                <c:pt idx="6">
                  <c:v>31955.28557</c:v>
                </c:pt>
                <c:pt idx="7">
                  <c:v>32146.20822</c:v>
                </c:pt>
                <c:pt idx="8">
                  <c:v>32360.59434</c:v>
                </c:pt>
                <c:pt idx="9">
                  <c:v>32592.506450000001</c:v>
                </c:pt>
                <c:pt idx="10">
                  <c:v>32844.42914</c:v>
                </c:pt>
                <c:pt idx="11">
                  <c:v>33106.156289999999</c:v>
                </c:pt>
                <c:pt idx="12">
                  <c:v>33375.173629999998</c:v>
                </c:pt>
                <c:pt idx="13">
                  <c:v>33649.436690000002</c:v>
                </c:pt>
                <c:pt idx="14">
                  <c:v>33927.377840000001</c:v>
                </c:pt>
                <c:pt idx="15">
                  <c:v>34207.837330000002</c:v>
                </c:pt>
                <c:pt idx="16">
                  <c:v>34489.965450000003</c:v>
                </c:pt>
                <c:pt idx="17">
                  <c:v>34773.136140000002</c:v>
                </c:pt>
                <c:pt idx="18">
                  <c:v>35056.875010000003</c:v>
                </c:pt>
                <c:pt idx="19">
                  <c:v>35340.807240000002</c:v>
                </c:pt>
                <c:pt idx="20">
                  <c:v>35619.816500000001</c:v>
                </c:pt>
                <c:pt idx="21">
                  <c:v>35898.776440000001</c:v>
                </c:pt>
                <c:pt idx="22">
                  <c:v>36177.562420000002</c:v>
                </c:pt>
                <c:pt idx="23">
                  <c:v>36456.123399999997</c:v>
                </c:pt>
                <c:pt idx="24">
                  <c:v>36734.377529999998</c:v>
                </c:pt>
                <c:pt idx="25">
                  <c:v>36998.661039999999</c:v>
                </c:pt>
                <c:pt idx="26">
                  <c:v>37256.902309999998</c:v>
                </c:pt>
                <c:pt idx="27">
                  <c:v>37509.6227</c:v>
                </c:pt>
                <c:pt idx="28">
                  <c:v>37757.609859999997</c:v>
                </c:pt>
                <c:pt idx="29">
                  <c:v>38001.699099999998</c:v>
                </c:pt>
                <c:pt idx="30">
                  <c:v>38242.651319999997</c:v>
                </c:pt>
                <c:pt idx="31">
                  <c:v>38481.106879999999</c:v>
                </c:pt>
                <c:pt idx="32">
                  <c:v>38717.580900000001</c:v>
                </c:pt>
                <c:pt idx="33">
                  <c:v>38952.48143</c:v>
                </c:pt>
                <c:pt idx="34">
                  <c:v>39186.135130000002</c:v>
                </c:pt>
                <c:pt idx="35">
                  <c:v>39418.81121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Données!$B$299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Données!$C$299:$AL$299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1.9926811069999999</c:v>
                </c:pt>
                <c:pt idx="2">
                  <c:v>2.0605754809999999</c:v>
                </c:pt>
                <c:pt idx="3">
                  <c:v>2.1347755259999999</c:v>
                </c:pt>
                <c:pt idx="4">
                  <c:v>2.2121081760000001</c:v>
                </c:pt>
                <c:pt idx="5">
                  <c:v>2.2905826399999998</c:v>
                </c:pt>
                <c:pt idx="6">
                  <c:v>2.3686494059999998</c:v>
                </c:pt>
                <c:pt idx="7">
                  <c:v>2.4455663470000002</c:v>
                </c:pt>
                <c:pt idx="8">
                  <c:v>2.5208953850000002</c:v>
                </c:pt>
                <c:pt idx="9">
                  <c:v>2.594390352</c:v>
                </c:pt>
                <c:pt idx="10">
                  <c:v>2.6664891919999998</c:v>
                </c:pt>
                <c:pt idx="11">
                  <c:v>2.736552563</c:v>
                </c:pt>
                <c:pt idx="12">
                  <c:v>2.8045605550000001</c:v>
                </c:pt>
                <c:pt idx="13">
                  <c:v>2.870517532</c:v>
                </c:pt>
                <c:pt idx="14">
                  <c:v>2.9344542800000002</c:v>
                </c:pt>
                <c:pt idx="15">
                  <c:v>2.9964236799999999</c:v>
                </c:pt>
                <c:pt idx="16">
                  <c:v>3.0564937689999998</c:v>
                </c:pt>
                <c:pt idx="17">
                  <c:v>3.1147415679999999</c:v>
                </c:pt>
                <c:pt idx="18">
                  <c:v>3.1712479330000001</c:v>
                </c:pt>
                <c:pt idx="19">
                  <c:v>3.226093927</c:v>
                </c:pt>
                <c:pt idx="20">
                  <c:v>3.2789547610000001</c:v>
                </c:pt>
                <c:pt idx="21">
                  <c:v>3.3303317629999998</c:v>
                </c:pt>
                <c:pt idx="22">
                  <c:v>3.3803068760000001</c:v>
                </c:pt>
                <c:pt idx="23">
                  <c:v>3.4289622959999999</c:v>
                </c:pt>
                <c:pt idx="24">
                  <c:v>3.476372155</c:v>
                </c:pt>
                <c:pt idx="25">
                  <c:v>3.5214643880000001</c:v>
                </c:pt>
                <c:pt idx="26">
                  <c:v>3.5649585799999999</c:v>
                </c:pt>
                <c:pt idx="27">
                  <c:v>3.6069589049999999</c:v>
                </c:pt>
                <c:pt idx="28">
                  <c:v>3.6475888080000001</c:v>
                </c:pt>
                <c:pt idx="29">
                  <c:v>3.6869731689999998</c:v>
                </c:pt>
                <c:pt idx="30">
                  <c:v>3.725228274</c:v>
                </c:pt>
                <c:pt idx="31">
                  <c:v>3.7624579909999998</c:v>
                </c:pt>
                <c:pt idx="32">
                  <c:v>3.798753359</c:v>
                </c:pt>
                <c:pt idx="33">
                  <c:v>3.8341941020000001</c:v>
                </c:pt>
                <c:pt idx="34">
                  <c:v>3.868850787</c:v>
                </c:pt>
                <c:pt idx="35">
                  <c:v>3.9027868859999999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Données!$B$300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Données!$C$300:$AL$300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62.524489260000003</c:v>
                </c:pt>
                <c:pt idx="2">
                  <c:v>81.212913090000001</c:v>
                </c:pt>
                <c:pt idx="3">
                  <c:v>100.34546640000001</c:v>
                </c:pt>
                <c:pt idx="4">
                  <c:v>119.6152986</c:v>
                </c:pt>
                <c:pt idx="5">
                  <c:v>138.83508409999999</c:v>
                </c:pt>
                <c:pt idx="6">
                  <c:v>157.85716120000001</c:v>
                </c:pt>
                <c:pt idx="7">
                  <c:v>176.6156373</c:v>
                </c:pt>
                <c:pt idx="8">
                  <c:v>195.07372649999999</c:v>
                </c:pt>
                <c:pt idx="9">
                  <c:v>213.2130421</c:v>
                </c:pt>
                <c:pt idx="10">
                  <c:v>231.09054839999999</c:v>
                </c:pt>
                <c:pt idx="11">
                  <c:v>248.64227</c:v>
                </c:pt>
                <c:pt idx="12">
                  <c:v>265.87175159999998</c:v>
                </c:pt>
                <c:pt idx="13">
                  <c:v>282.78528399999999</c:v>
                </c:pt>
                <c:pt idx="14">
                  <c:v>299.39243449999998</c:v>
                </c:pt>
                <c:pt idx="15">
                  <c:v>315.70575830000001</c:v>
                </c:pt>
                <c:pt idx="16">
                  <c:v>331.74016760000001</c:v>
                </c:pt>
                <c:pt idx="17">
                  <c:v>347.51235800000001</c:v>
                </c:pt>
                <c:pt idx="18">
                  <c:v>363.04034830000001</c:v>
                </c:pt>
                <c:pt idx="19">
                  <c:v>378.34317950000002</c:v>
                </c:pt>
                <c:pt idx="20">
                  <c:v>393.39283289999997</c:v>
                </c:pt>
                <c:pt idx="21">
                  <c:v>408.25931809999997</c:v>
                </c:pt>
                <c:pt idx="22">
                  <c:v>422.96586300000001</c:v>
                </c:pt>
                <c:pt idx="23">
                  <c:v>437.53719050000001</c:v>
                </c:pt>
                <c:pt idx="24">
                  <c:v>451.99858360000002</c:v>
                </c:pt>
                <c:pt idx="25">
                  <c:v>466.23568010000002</c:v>
                </c:pt>
                <c:pt idx="26">
                  <c:v>480.3520848</c:v>
                </c:pt>
                <c:pt idx="27">
                  <c:v>494.38064900000001</c:v>
                </c:pt>
                <c:pt idx="28">
                  <c:v>508.35924949999998</c:v>
                </c:pt>
                <c:pt idx="29">
                  <c:v>522.32871079999995</c:v>
                </c:pt>
                <c:pt idx="30">
                  <c:v>536.33163660000002</c:v>
                </c:pt>
                <c:pt idx="31">
                  <c:v>550.41197350000004</c:v>
                </c:pt>
                <c:pt idx="32">
                  <c:v>564.61498589999997</c:v>
                </c:pt>
                <c:pt idx="33">
                  <c:v>578.98747530000003</c:v>
                </c:pt>
                <c:pt idx="34">
                  <c:v>593.5781164</c:v>
                </c:pt>
                <c:pt idx="35">
                  <c:v>608.43782329999999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Données!$B$297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Données!$C$296:$AL$296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Données!$C$297:$AL$297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31939.351060000001</c:v>
                      </c:pt>
                      <c:pt idx="2">
                        <c:v>31768.191719999999</c:v>
                      </c:pt>
                      <c:pt idx="3">
                        <c:v>31737.829959999999</c:v>
                      </c:pt>
                      <c:pt idx="4">
                        <c:v>31803.955259999999</c:v>
                      </c:pt>
                      <c:pt idx="5">
                        <c:v>31937.514220000001</c:v>
                      </c:pt>
                      <c:pt idx="6">
                        <c:v>32115.51138</c:v>
                      </c:pt>
                      <c:pt idx="7">
                        <c:v>32325.26943</c:v>
                      </c:pt>
                      <c:pt idx="8">
                        <c:v>32558.188969999999</c:v>
                      </c:pt>
                      <c:pt idx="9">
                        <c:v>32808.313889999998</c:v>
                      </c:pt>
                      <c:pt idx="10">
                        <c:v>33078.186179999997</c:v>
                      </c:pt>
                      <c:pt idx="11">
                        <c:v>33357.535109999997</c:v>
                      </c:pt>
                      <c:pt idx="12">
                        <c:v>33643.84994</c:v>
                      </c:pt>
                      <c:pt idx="13">
                        <c:v>33935.092490000003</c:v>
                      </c:pt>
                      <c:pt idx="14">
                        <c:v>34229.704729999998</c:v>
                      </c:pt>
                      <c:pt idx="15">
                        <c:v>34526.539510000002</c:v>
                      </c:pt>
                      <c:pt idx="16">
                        <c:v>34824.762110000003</c:v>
                      </c:pt>
                      <c:pt idx="17">
                        <c:v>35123.76324</c:v>
                      </c:pt>
                      <c:pt idx="18">
                        <c:v>35423.086609999998</c:v>
                      </c:pt>
                      <c:pt idx="19">
                        <c:v>35722.376519999998</c:v>
                      </c:pt>
                      <c:pt idx="20">
                        <c:v>36016.488279999998</c:v>
                      </c:pt>
                      <c:pt idx="21">
                        <c:v>36310.366090000003</c:v>
                      </c:pt>
                      <c:pt idx="22">
                        <c:v>36603.908589999999</c:v>
                      </c:pt>
                      <c:pt idx="23">
                        <c:v>36897.089549999997</c:v>
                      </c:pt>
                      <c:pt idx="24">
                        <c:v>37189.852480000001</c:v>
                      </c:pt>
                      <c:pt idx="25">
                        <c:v>37468.418180000001</c:v>
                      </c:pt>
                      <c:pt idx="26">
                        <c:v>37740.819349999998</c:v>
                      </c:pt>
                      <c:pt idx="27">
                        <c:v>38007.610309999996</c:v>
                      </c:pt>
                      <c:pt idx="28">
                        <c:v>38269.616699999999</c:v>
                      </c:pt>
                      <c:pt idx="29">
                        <c:v>38527.714789999998</c:v>
                      </c:pt>
                      <c:pt idx="30">
                        <c:v>38782.708189999998</c:v>
                      </c:pt>
                      <c:pt idx="31">
                        <c:v>39035.281309999998</c:v>
                      </c:pt>
                      <c:pt idx="32">
                        <c:v>39285.994639999997</c:v>
                      </c:pt>
                      <c:pt idx="33">
                        <c:v>39535.303099999997</c:v>
                      </c:pt>
                      <c:pt idx="34">
                        <c:v>39783.5821</c:v>
                      </c:pt>
                      <c:pt idx="35">
                        <c:v>40031.151830000003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A2B-4332-9B45-E28FEF7596CF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(baseline)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Données!$B$304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Données!$C$304:$AL$304</c:f>
              <c:numCache>
                <c:formatCode>#,##0</c:formatCode>
                <c:ptCount val="36"/>
                <c:pt idx="0">
                  <c:v>32271.24</c:v>
                </c:pt>
                <c:pt idx="1">
                  <c:v>31874.892759999999</c:v>
                </c:pt>
                <c:pt idx="2">
                  <c:v>31684.715349999999</c:v>
                </c:pt>
                <c:pt idx="3">
                  <c:v>31634.649519999999</c:v>
                </c:pt>
                <c:pt idx="4">
                  <c:v>31680.81164</c:v>
                </c:pt>
                <c:pt idx="5">
                  <c:v>31794.404869999998</c:v>
                </c:pt>
                <c:pt idx="6">
                  <c:v>31952.585709999999</c:v>
                </c:pt>
                <c:pt idx="7">
                  <c:v>32142.707170000001</c:v>
                </c:pt>
                <c:pt idx="8">
                  <c:v>32356.163619999999</c:v>
                </c:pt>
                <c:pt idx="9">
                  <c:v>32586.986649999999</c:v>
                </c:pt>
                <c:pt idx="10">
                  <c:v>32837.648759999996</c:v>
                </c:pt>
                <c:pt idx="11">
                  <c:v>33097.954919999996</c:v>
                </c:pt>
                <c:pt idx="12">
                  <c:v>33365.411990000001</c:v>
                </c:pt>
                <c:pt idx="13">
                  <c:v>33638.005340000003</c:v>
                </c:pt>
                <c:pt idx="14">
                  <c:v>33914.198929999999</c:v>
                </c:pt>
                <c:pt idx="15">
                  <c:v>34192.861140000001</c:v>
                </c:pt>
                <c:pt idx="16">
                  <c:v>34473.166570000001</c:v>
                </c:pt>
                <c:pt idx="17">
                  <c:v>34754.50563</c:v>
                </c:pt>
                <c:pt idx="18">
                  <c:v>35036.413119999997</c:v>
                </c:pt>
                <c:pt idx="19">
                  <c:v>35318.517720000003</c:v>
                </c:pt>
                <c:pt idx="20">
                  <c:v>35595.703800000003</c:v>
                </c:pt>
                <c:pt idx="21">
                  <c:v>35872.833830000003</c:v>
                </c:pt>
                <c:pt idx="22">
                  <c:v>36149.773829999998</c:v>
                </c:pt>
                <c:pt idx="23">
                  <c:v>36426.459170000002</c:v>
                </c:pt>
                <c:pt idx="24">
                  <c:v>36702.793689999999</c:v>
                </c:pt>
                <c:pt idx="25">
                  <c:v>36965.109490000003</c:v>
                </c:pt>
                <c:pt idx="26">
                  <c:v>37221.311309999997</c:v>
                </c:pt>
                <c:pt idx="27">
                  <c:v>37471.910929999998</c:v>
                </c:pt>
                <c:pt idx="28">
                  <c:v>37717.682569999997</c:v>
                </c:pt>
                <c:pt idx="29">
                  <c:v>37959.449260000001</c:v>
                </c:pt>
                <c:pt idx="30">
                  <c:v>38197.961779999998</c:v>
                </c:pt>
                <c:pt idx="31">
                  <c:v>38433.851669999996</c:v>
                </c:pt>
                <c:pt idx="32">
                  <c:v>38667.626940000002</c:v>
                </c:pt>
                <c:pt idx="33">
                  <c:v>38899.689400000003</c:v>
                </c:pt>
                <c:pt idx="34">
                  <c:v>39130.35931</c:v>
                </c:pt>
                <c:pt idx="35">
                  <c:v>39359.89918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Données!$B$305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Données!$C$305:$AL$305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1.9926860529999999</c:v>
                </c:pt>
                <c:pt idx="2">
                  <c:v>2.0605585130000001</c:v>
                </c:pt>
                <c:pt idx="3">
                  <c:v>2.1347165119999998</c:v>
                </c:pt>
                <c:pt idx="4">
                  <c:v>2.21199652</c:v>
                </c:pt>
                <c:pt idx="5">
                  <c:v>2.2904132819999998</c:v>
                </c:pt>
                <c:pt idx="6">
                  <c:v>2.3684174979999999</c:v>
                </c:pt>
                <c:pt idx="7">
                  <c:v>2.4452639729999999</c:v>
                </c:pt>
                <c:pt idx="8">
                  <c:v>2.5205109179999998</c:v>
                </c:pt>
                <c:pt idx="9">
                  <c:v>2.5939094520000001</c:v>
                </c:pt>
                <c:pt idx="10">
                  <c:v>2.665896359</c:v>
                </c:pt>
                <c:pt idx="11">
                  <c:v>2.7358330739999999</c:v>
                </c:pt>
                <c:pt idx="12">
                  <c:v>2.803701335</c:v>
                </c:pt>
                <c:pt idx="13">
                  <c:v>2.8695079190000001</c:v>
                </c:pt>
                <c:pt idx="14">
                  <c:v>2.9332862180000001</c:v>
                </c:pt>
                <c:pt idx="15">
                  <c:v>2.9950914690000001</c:v>
                </c:pt>
                <c:pt idx="16">
                  <c:v>3.0549937840000001</c:v>
                </c:pt>
                <c:pt idx="17">
                  <c:v>3.1130716270000001</c:v>
                </c:pt>
                <c:pt idx="18">
                  <c:v>3.1694067029999999</c:v>
                </c:pt>
                <c:pt idx="19">
                  <c:v>3.2240804569999999</c:v>
                </c:pt>
                <c:pt idx="20">
                  <c:v>3.2767682420000002</c:v>
                </c:pt>
                <c:pt idx="21">
                  <c:v>3.3279705229999998</c:v>
                </c:pt>
                <c:pt idx="22">
                  <c:v>3.3777685239999999</c:v>
                </c:pt>
                <c:pt idx="23">
                  <c:v>3.426243339</c:v>
                </c:pt>
                <c:pt idx="24">
                  <c:v>3.4734679260000001</c:v>
                </c:pt>
                <c:pt idx="25">
                  <c:v>3.5183698739999998</c:v>
                </c:pt>
                <c:pt idx="26">
                  <c:v>3.5616667830000002</c:v>
                </c:pt>
                <c:pt idx="27">
                  <c:v>3.60346199</c:v>
                </c:pt>
                <c:pt idx="28">
                  <c:v>3.6438777689999999</c:v>
                </c:pt>
                <c:pt idx="29">
                  <c:v>3.6830379120000001</c:v>
                </c:pt>
                <c:pt idx="30">
                  <c:v>3.721057788</c:v>
                </c:pt>
                <c:pt idx="31">
                  <c:v>3.7580404440000001</c:v>
                </c:pt>
                <c:pt idx="32">
                  <c:v>3.7940762380000002</c:v>
                </c:pt>
                <c:pt idx="33">
                  <c:v>3.8292442800000002</c:v>
                </c:pt>
                <c:pt idx="34">
                  <c:v>3.863614514</c:v>
                </c:pt>
                <c:pt idx="35">
                  <c:v>3.8972497509999999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Données!$B$306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Données!$C$306:$AL$306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62.528375959999998</c:v>
                </c:pt>
                <c:pt idx="2">
                  <c:v>81.223196360000003</c:v>
                </c:pt>
                <c:pt idx="3">
                  <c:v>100.3674043</c:v>
                </c:pt>
                <c:pt idx="4">
                  <c:v>119.65639229999999</c:v>
                </c:pt>
                <c:pt idx="5">
                  <c:v>138.90418539999999</c:v>
                </c:pt>
                <c:pt idx="6">
                  <c:v>157.96378809999999</c:v>
                </c:pt>
                <c:pt idx="7">
                  <c:v>176.76984100000001</c:v>
                </c:pt>
                <c:pt idx="8">
                  <c:v>195.286258</c:v>
                </c:pt>
                <c:pt idx="9">
                  <c:v>213.49567200000001</c:v>
                </c:pt>
                <c:pt idx="10">
                  <c:v>231.45667019999999</c:v>
                </c:pt>
                <c:pt idx="11">
                  <c:v>249.10676280000001</c:v>
                </c:pt>
                <c:pt idx="12">
                  <c:v>266.45143089999999</c:v>
                </c:pt>
                <c:pt idx="13">
                  <c:v>283.49911400000002</c:v>
                </c:pt>
                <c:pt idx="14">
                  <c:v>300.26168560000002</c:v>
                </c:pt>
                <c:pt idx="15">
                  <c:v>316.75412010000002</c:v>
                </c:pt>
                <c:pt idx="16">
                  <c:v>332.99386329999999</c:v>
                </c:pt>
                <c:pt idx="17">
                  <c:v>349.0002288</c:v>
                </c:pt>
                <c:pt idx="18">
                  <c:v>364.79394439999999</c:v>
                </c:pt>
                <c:pt idx="19">
                  <c:v>380.39687609999999</c:v>
                </c:pt>
                <c:pt idx="20">
                  <c:v>395.78327380000002</c:v>
                </c:pt>
                <c:pt idx="21">
                  <c:v>411.02689750000002</c:v>
                </c:pt>
                <c:pt idx="22">
                  <c:v>426.15434770000002</c:v>
                </c:pt>
                <c:pt idx="23">
                  <c:v>441.19396860000001</c:v>
                </c:pt>
                <c:pt idx="24">
                  <c:v>456.17496190000003</c:v>
                </c:pt>
                <c:pt idx="25">
                  <c:v>470.98391659999999</c:v>
                </c:pt>
                <c:pt idx="26">
                  <c:v>485.73034760000002</c:v>
                </c:pt>
                <c:pt idx="27">
                  <c:v>500.45192969999999</c:v>
                </c:pt>
                <c:pt idx="28">
                  <c:v>515.19183250000003</c:v>
                </c:pt>
                <c:pt idx="29">
                  <c:v>529.9966885</c:v>
                </c:pt>
                <c:pt idx="30">
                  <c:v>544.9154423</c:v>
                </c:pt>
                <c:pt idx="31">
                  <c:v>559.99892450000004</c:v>
                </c:pt>
                <c:pt idx="32">
                  <c:v>575.29986010000005</c:v>
                </c:pt>
                <c:pt idx="33">
                  <c:v>590.87312489999999</c:v>
                </c:pt>
                <c:pt idx="34">
                  <c:v>606.77612360000001</c:v>
                </c:pt>
                <c:pt idx="35">
                  <c:v>623.06921320000004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Données!$B$303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 w="25400"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Données!$C$302:$AL$302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Données!$C$303:$AL$303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31939.413820000002</c:v>
                      </c:pt>
                      <c:pt idx="2">
                        <c:v>31767.999100000001</c:v>
                      </c:pt>
                      <c:pt idx="3">
                        <c:v>31737.15164</c:v>
                      </c:pt>
                      <c:pt idx="4">
                        <c:v>31802.68003</c:v>
                      </c:pt>
                      <c:pt idx="5">
                        <c:v>31935.599470000001</c:v>
                      </c:pt>
                      <c:pt idx="6">
                        <c:v>32112.91791</c:v>
                      </c:pt>
                      <c:pt idx="7">
                        <c:v>32321.922279999999</c:v>
                      </c:pt>
                      <c:pt idx="8">
                        <c:v>32553.970389999999</c:v>
                      </c:pt>
                      <c:pt idx="9">
                        <c:v>32803.076229999999</c:v>
                      </c:pt>
                      <c:pt idx="10">
                        <c:v>33071.77132</c:v>
                      </c:pt>
                      <c:pt idx="11">
                        <c:v>33349.797509999997</c:v>
                      </c:pt>
                      <c:pt idx="12">
                        <c:v>33634.667130000002</c:v>
                      </c:pt>
                      <c:pt idx="13">
                        <c:v>33924.373959999997</c:v>
                      </c:pt>
                      <c:pt idx="14">
                        <c:v>34217.393909999999</c:v>
                      </c:pt>
                      <c:pt idx="15">
                        <c:v>34512.610350000003</c:v>
                      </c:pt>
                      <c:pt idx="16">
                        <c:v>34809.215429999997</c:v>
                      </c:pt>
                      <c:pt idx="17">
                        <c:v>35106.618929999997</c:v>
                      </c:pt>
                      <c:pt idx="18">
                        <c:v>35404.376470000003</c:v>
                      </c:pt>
                      <c:pt idx="19">
                        <c:v>35702.13867</c:v>
                      </c:pt>
                      <c:pt idx="20">
                        <c:v>35994.763850000003</c:v>
                      </c:pt>
                      <c:pt idx="21">
                        <c:v>36287.188699999999</c:v>
                      </c:pt>
                      <c:pt idx="22">
                        <c:v>36579.305939999998</c:v>
                      </c:pt>
                      <c:pt idx="23">
                        <c:v>36871.079380000003</c:v>
                      </c:pt>
                      <c:pt idx="24">
                        <c:v>37162.44212</c:v>
                      </c:pt>
                      <c:pt idx="25">
                        <c:v>37439.611779999999</c:v>
                      </c:pt>
                      <c:pt idx="26">
                        <c:v>37710.603329999998</c:v>
                      </c:pt>
                      <c:pt idx="27">
                        <c:v>37975.96632</c:v>
                      </c:pt>
                      <c:pt idx="28">
                        <c:v>38236.518279999997</c:v>
                      </c:pt>
                      <c:pt idx="29">
                        <c:v>38493.128989999997</c:v>
                      </c:pt>
                      <c:pt idx="30">
                        <c:v>38746.598279999998</c:v>
                      </c:pt>
                      <c:pt idx="31">
                        <c:v>38997.608639999999</c:v>
                      </c:pt>
                      <c:pt idx="32">
                        <c:v>39246.720880000001</c:v>
                      </c:pt>
                      <c:pt idx="33">
                        <c:v>39494.391770000002</c:v>
                      </c:pt>
                      <c:pt idx="34">
                        <c:v>39740.999049999999</c:v>
                      </c:pt>
                      <c:pt idx="35">
                        <c:v>39986.865640000004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5BD4-4D49-89F4-ABF65BD94CDB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Employment</a:t>
            </a:r>
          </a:p>
          <a:p>
            <a:pPr>
              <a:defRPr/>
            </a:pPr>
            <a:r>
              <a:rPr lang="fr-FR" sz="1800" baseline="0"/>
              <a:t>(deviation in thousands)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6442019357368427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7456985577238018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Données!$B$227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Données!$C$227:$E$227</c:f>
              <c:numCache>
                <c:formatCode>#,##0</c:formatCode>
                <c:ptCount val="3"/>
                <c:pt idx="0">
                  <c:v>19.481785100000025</c:v>
                </c:pt>
                <c:pt idx="1">
                  <c:v>31.961000399999989</c:v>
                </c:pt>
                <c:pt idx="2">
                  <c:v>44.921817300000043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Données!$B$228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Données!$C$228:$E$228</c:f>
              <c:numCache>
                <c:formatCode>#,##0</c:formatCode>
                <c:ptCount val="3"/>
                <c:pt idx="0">
                  <c:v>-4.9103650000006382</c:v>
                </c:pt>
                <c:pt idx="1">
                  <c:v>-10.237004000000525</c:v>
                </c:pt>
                <c:pt idx="2">
                  <c:v>-15.439691999999923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Données!$B$229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Données!$C$229:$E$229</c:f>
              <c:numCache>
                <c:formatCode>#,##0</c:formatCode>
                <c:ptCount val="3"/>
                <c:pt idx="0">
                  <c:v>-1.0099461000000929</c:v>
                </c:pt>
                <c:pt idx="1">
                  <c:v>-1.9899010000000317</c:v>
                </c:pt>
                <c:pt idx="2">
                  <c:v>-3.0341204999999718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Données!$B$230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Données!$C$230:$E$230</c:f>
              <c:numCache>
                <c:formatCode>#,##0</c:formatCode>
                <c:ptCount val="3"/>
                <c:pt idx="0">
                  <c:v>-21.712760000002163</c:v>
                </c:pt>
                <c:pt idx="1">
                  <c:v>-40.296780000000581</c:v>
                </c:pt>
                <c:pt idx="2">
                  <c:v>-58.941620000001421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Données!$B$231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Données!$C$231:$E$231</c:f>
              <c:numCache>
                <c:formatCode>#\ ##0.0</c:formatCode>
                <c:ptCount val="3"/>
                <c:pt idx="0">
                  <c:v>3.935025990000085E-2</c:v>
                </c:pt>
                <c:pt idx="1">
                  <c:v>5.523205990000335E-2</c:v>
                </c:pt>
                <c:pt idx="2">
                  <c:v>6.8331844300002942E-2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Données!$B$232</c:f>
              <c:strCache>
                <c:ptCount val="1"/>
                <c:pt idx="0">
                  <c:v>Renewable Oil &amp; 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Données!$C$232:$E$232</c:f>
              <c:numCache>
                <c:formatCode>#\ ##0.0</c:formatCode>
                <c:ptCount val="3"/>
                <c:pt idx="0">
                  <c:v>1.0882290100000525E-2</c:v>
                </c:pt>
                <c:pt idx="1">
                  <c:v>1.5570480100000061E-2</c:v>
                </c:pt>
                <c:pt idx="2">
                  <c:v>2.0633765699999529E-2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Données!$B$233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Données!$C$233:$E$233</c:f>
              <c:numCache>
                <c:formatCode>#\ ##0.0</c:formatCode>
                <c:ptCount val="3"/>
                <c:pt idx="0">
                  <c:v>0.65211968999999215</c:v>
                </c:pt>
                <c:pt idx="1">
                  <c:v>0.91200591000000486</c:v>
                </c:pt>
                <c:pt idx="2">
                  <c:v>1.0799506500000007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Données!$B$226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Données!$C$226:$E$226</c:f>
              <c:numCache>
                <c:formatCode>#,##0</c:formatCode>
                <c:ptCount val="3"/>
                <c:pt idx="0">
                  <c:v>-7.4489400000020396</c:v>
                </c:pt>
                <c:pt idx="1">
                  <c:v>-19.579879999997502</c:v>
                </c:pt>
                <c:pt idx="2">
                  <c:v>-31.324710000000778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Investment </a:t>
            </a:r>
            <a:r>
              <a:rPr lang="fr-FR" sz="1800"/>
              <a:t>(%deviation</a:t>
            </a:r>
            <a:r>
              <a:rPr lang="fr-FR" sz="1800" baseline="0"/>
              <a:t> from baseline</a:t>
            </a:r>
            <a:r>
              <a:rPr lang="fr-FR" sz="2800" baseline="0"/>
              <a:t>)</a:t>
            </a:r>
            <a:endParaRPr lang="fr-FR" sz="2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Données!$B$289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Données!$C$289:$E$289</c:f>
              <c:numCache>
                <c:formatCode>0.0%</c:formatCode>
                <c:ptCount val="3"/>
                <c:pt idx="0">
                  <c:v>-3.1081811958715273E-5</c:v>
                </c:pt>
                <c:pt idx="1">
                  <c:v>2.0039644568922023E-5</c:v>
                </c:pt>
                <c:pt idx="2">
                  <c:v>1.0576933034008147E-4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FE-477E-A9C8-4FC424910435}"/>
            </c:ext>
          </c:extLst>
        </c:ser>
        <c:ser>
          <c:idx val="2"/>
          <c:order val="2"/>
          <c:tx>
            <c:strRef>
              <c:f>Données!$B$290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Données!$C$290:$E$290</c:f>
              <c:numCache>
                <c:formatCode>0.0%</c:formatCode>
                <c:ptCount val="3"/>
                <c:pt idx="0">
                  <c:v>-8.0775271739786097E-4</c:v>
                </c:pt>
                <c:pt idx="1">
                  <c:v>-1.3871816206914992E-3</c:v>
                </c:pt>
                <c:pt idx="2">
                  <c:v>-1.8937604197771763E-3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FE-477E-A9C8-4FC424910435}"/>
            </c:ext>
          </c:extLst>
        </c:ser>
        <c:ser>
          <c:idx val="3"/>
          <c:order val="3"/>
          <c:tx>
            <c:strRef>
              <c:f>Données!$B$291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Données!$C$291:$E$291</c:f>
              <c:numCache>
                <c:formatCode>0.0%</c:formatCode>
                <c:ptCount val="3"/>
                <c:pt idx="0">
                  <c:v>-2.6270193697950001E-5</c:v>
                </c:pt>
                <c:pt idx="1">
                  <c:v>-4.6568266668731556E-5</c:v>
                </c:pt>
                <c:pt idx="2">
                  <c:v>-6.7518506706549454E-5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FE-477E-A9C8-4FC424910435}"/>
            </c:ext>
          </c:extLst>
        </c:ser>
        <c:ser>
          <c:idx val="4"/>
          <c:order val="4"/>
          <c:tx>
            <c:strRef>
              <c:f>Données!$B$292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Données!$C$292:$E$292</c:f>
              <c:numCache>
                <c:formatCode>0.0%</c:formatCode>
                <c:ptCount val="3"/>
                <c:pt idx="0">
                  <c:v>-7.2679016193004018E-4</c:v>
                </c:pt>
                <c:pt idx="1">
                  <c:v>-1.151121890727881E-3</c:v>
                </c:pt>
                <c:pt idx="2">
                  <c:v>-1.5464793553273935E-3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FE-477E-A9C8-4FC424910435}"/>
            </c:ext>
          </c:extLst>
        </c:ser>
        <c:ser>
          <c:idx val="5"/>
          <c:order val="5"/>
          <c:tx>
            <c:strRef>
              <c:f>Données!$B$293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Données!$C$293:$E$293</c:f>
              <c:numCache>
                <c:formatCode>0.0%</c:formatCode>
                <c:ptCount val="3"/>
                <c:pt idx="0">
                  <c:v>1.74535373605068E-5</c:v>
                </c:pt>
                <c:pt idx="1">
                  <c:v>2.4663745424305755E-5</c:v>
                </c:pt>
                <c:pt idx="2">
                  <c:v>2.9153681876969338E-5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CFE-477E-A9C8-4FC424910435}"/>
            </c:ext>
          </c:extLst>
        </c:ser>
        <c:ser>
          <c:idx val="6"/>
          <c:order val="6"/>
          <c:tx>
            <c:strRef>
              <c:f>Données!$B$294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Données!$C$294:$E$294</c:f>
              <c:numCache>
                <c:formatCode>0.0%</c:formatCode>
                <c:ptCount val="3"/>
                <c:pt idx="0">
                  <c:v>6.4208636212715939E-5</c:v>
                </c:pt>
                <c:pt idx="1">
                  <c:v>8.762312941350175E-5</c:v>
                </c:pt>
                <c:pt idx="2">
                  <c:v>9.8735511315776133E-5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4"/>
        <c:overlap val="100"/>
        <c:axId val="750236624"/>
        <c:axId val="750231704"/>
      </c:barChart>
      <c:lineChart>
        <c:grouping val="standard"/>
        <c:varyColors val="0"/>
        <c:ser>
          <c:idx val="0"/>
          <c:order val="0"/>
          <c:tx>
            <c:strRef>
              <c:f>Données!$B$288</c:f>
              <c:strCache>
                <c:ptCount val="1"/>
                <c:pt idx="0">
                  <c:v>Firms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Données!$C$288:$E$288</c:f>
              <c:numCache>
                <c:formatCode>0.0%</c:formatCode>
                <c:ptCount val="3"/>
                <c:pt idx="0">
                  <c:v>-1.5102329132327119E-3</c:v>
                </c:pt>
                <c:pt idx="1">
                  <c:v>-2.4525452258008507E-3</c:v>
                </c:pt>
                <c:pt idx="2">
                  <c:v>-3.2740997057254528E-3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0236624"/>
        <c:axId val="750231704"/>
      </c:lineChart>
      <c:catAx>
        <c:axId val="75023662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1704"/>
        <c:crosses val="autoZero"/>
        <c:auto val="1"/>
        <c:lblAlgn val="ctr"/>
        <c:lblOffset val="100"/>
        <c:tickLblSkip val="10"/>
        <c:noMultiLvlLbl val="0"/>
      </c:catAx>
      <c:valAx>
        <c:axId val="750231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662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Firms' CO2</a:t>
            </a:r>
            <a:r>
              <a:rPr lang="fr-FR" sz="2800" baseline="0"/>
              <a:t> emissions</a:t>
            </a:r>
          </a:p>
          <a:p>
            <a:pPr>
              <a:defRPr/>
            </a:pPr>
            <a:r>
              <a:rPr lang="fr-FR" i="1" baseline="0"/>
              <a:t>MtCO2/y</a:t>
            </a:r>
            <a:endParaRPr lang="fr-FR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Données!$B$432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Données!$C$432:$F$432</c:f>
              <c:numCache>
                <c:formatCode>#,##0</c:formatCode>
                <c:ptCount val="4"/>
                <c:pt idx="0">
                  <c:v>15.631585251500001</c:v>
                </c:pt>
                <c:pt idx="1">
                  <c:v>17.229777869599999</c:v>
                </c:pt>
                <c:pt idx="2">
                  <c:v>19.0799823342</c:v>
                </c:pt>
                <c:pt idx="3">
                  <c:v>20.893849526199997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Données!$B$433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Données!$C$433:$F$433</c:f>
              <c:numCache>
                <c:formatCode>#,##0</c:formatCode>
                <c:ptCount val="4"/>
                <c:pt idx="0">
                  <c:v>9.3017974579999994</c:v>
                </c:pt>
                <c:pt idx="1">
                  <c:v>11.082993</c:v>
                </c:pt>
                <c:pt idx="2">
                  <c:v>13.05331908</c:v>
                </c:pt>
                <c:pt idx="3">
                  <c:v>14.96599307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Données!$B$434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Données!$C$434:$F$434</c:f>
              <c:numCache>
                <c:formatCode>#,##0</c:formatCode>
                <c:ptCount val="4"/>
                <c:pt idx="0">
                  <c:v>20.192529816</c:v>
                </c:pt>
                <c:pt idx="1">
                  <c:v>23.918199688999998</c:v>
                </c:pt>
                <c:pt idx="2">
                  <c:v>28.355328490000002</c:v>
                </c:pt>
                <c:pt idx="3">
                  <c:v>33.067540469999997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Données!$B$435</c:f>
              <c:strCache>
                <c:ptCount val="1"/>
                <c:pt idx="0">
                  <c:v>Chemicals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Données!$C$435:$F$435</c:f>
              <c:numCache>
                <c:formatCode>#,##0</c:formatCode>
                <c:ptCount val="4"/>
                <c:pt idx="0">
                  <c:v>14.649208590000001</c:v>
                </c:pt>
                <c:pt idx="1">
                  <c:v>17.130910140000001</c:v>
                </c:pt>
                <c:pt idx="2">
                  <c:v>19.922913650000002</c:v>
                </c:pt>
                <c:pt idx="3">
                  <c:v>22.958778649999999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Données!$B$436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Données!$C$436:$F$436</c:f>
              <c:numCache>
                <c:formatCode>#,##0</c:formatCode>
                <c:ptCount val="4"/>
                <c:pt idx="0">
                  <c:v>21.20835258</c:v>
                </c:pt>
                <c:pt idx="1">
                  <c:v>24.861739830000001</c:v>
                </c:pt>
                <c:pt idx="2">
                  <c:v>29.13732984</c:v>
                </c:pt>
                <c:pt idx="3">
                  <c:v>33.771644469999998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Données!$B$437</c:f>
              <c:strCache>
                <c:ptCount val="1"/>
                <c:pt idx="0">
                  <c:v>Other industry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Données!$C$437:$F$437</c:f>
              <c:numCache>
                <c:formatCode>#,##0</c:formatCode>
                <c:ptCount val="4"/>
                <c:pt idx="0">
                  <c:v>17.513314088000001</c:v>
                </c:pt>
                <c:pt idx="1">
                  <c:v>20.954990346000002</c:v>
                </c:pt>
                <c:pt idx="2">
                  <c:v>25.246700703999998</c:v>
                </c:pt>
                <c:pt idx="3">
                  <c:v>29.158625248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Données!$B$438</c:f>
              <c:strCache>
                <c:ptCount val="1"/>
                <c:pt idx="0">
                  <c:v>Road transport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Données!$C$438:$F$438</c:f>
              <c:numCache>
                <c:formatCode>#,##0</c:formatCode>
                <c:ptCount val="4"/>
                <c:pt idx="0">
                  <c:v>18.449593350000001</c:v>
                </c:pt>
                <c:pt idx="1">
                  <c:v>21.235610900000001</c:v>
                </c:pt>
                <c:pt idx="2">
                  <c:v>24.344517799999998</c:v>
                </c:pt>
                <c:pt idx="3">
                  <c:v>27.587771029999999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Données!$B$439</c:f>
              <c:strCache>
                <c:ptCount val="1"/>
                <c:pt idx="0">
                  <c:v>Air transport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Données!$C$439:$F$439</c:f>
              <c:numCache>
                <c:formatCode>#,##0</c:formatCode>
                <c:ptCount val="4"/>
                <c:pt idx="0">
                  <c:v>21.052422329999999</c:v>
                </c:pt>
                <c:pt idx="1">
                  <c:v>25.324683749999998</c:v>
                </c:pt>
                <c:pt idx="2">
                  <c:v>30.165040789999999</c:v>
                </c:pt>
                <c:pt idx="3">
                  <c:v>35.368533569999997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Données!$B$440</c:f>
              <c:strCache>
                <c:ptCount val="1"/>
                <c:pt idx="0">
                  <c:v>Other transport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Données!$C$440:$F$440</c:f>
              <c:numCache>
                <c:formatCode>#,##0</c:formatCode>
                <c:ptCount val="4"/>
                <c:pt idx="0">
                  <c:v>6.0167579100000008</c:v>
                </c:pt>
                <c:pt idx="1">
                  <c:v>7.0088579289999995</c:v>
                </c:pt>
                <c:pt idx="2">
                  <c:v>8.1113654549999996</c:v>
                </c:pt>
                <c:pt idx="3">
                  <c:v>9.3230459620000001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Données!$B$441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Données!$C$441:$F$441</c:f>
              <c:numCache>
                <c:formatCode>#,##0</c:formatCode>
                <c:ptCount val="4"/>
                <c:pt idx="0">
                  <c:v>53.469748099</c:v>
                </c:pt>
                <c:pt idx="1">
                  <c:v>62.866736614000004</c:v>
                </c:pt>
                <c:pt idx="2">
                  <c:v>73.619342731000003</c:v>
                </c:pt>
                <c:pt idx="3">
                  <c:v>84.330833405000007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Données!$B$442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Données!$C$442:$F$442</c:f>
              <c:numCache>
                <c:formatCode>#,##0</c:formatCode>
                <c:ptCount val="4"/>
                <c:pt idx="0">
                  <c:v>22.528800771</c:v>
                </c:pt>
                <c:pt idx="1">
                  <c:v>25.426366229999999</c:v>
                </c:pt>
                <c:pt idx="2">
                  <c:v>28.744818578</c:v>
                </c:pt>
                <c:pt idx="3">
                  <c:v>32.165224559999999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Données!$B$443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Données!$C$443:$F$443</c:f>
              <c:numCache>
                <c:formatCode>#,##0</c:formatCode>
                <c:ptCount val="4"/>
                <c:pt idx="0">
                  <c:v>26.179772864000004</c:v>
                </c:pt>
                <c:pt idx="1">
                  <c:v>28.734119194999998</c:v>
                </c:pt>
                <c:pt idx="2">
                  <c:v>31.573612557999997</c:v>
                </c:pt>
                <c:pt idx="3">
                  <c:v>34.470553581000004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Capital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Données!$B$185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Données!$C$185:$AL$185</c:f>
              <c:numCache>
                <c:formatCode>0%</c:formatCode>
                <c:ptCount val="36"/>
                <c:pt idx="0">
                  <c:v>1.7804695782004387E-3</c:v>
                </c:pt>
                <c:pt idx="1">
                  <c:v>2.4278591024278207E-3</c:v>
                </c:pt>
                <c:pt idx="2">
                  <c:v>2.9048571801508771E-3</c:v>
                </c:pt>
                <c:pt idx="3">
                  <c:v>3.2629906716403756E-3</c:v>
                </c:pt>
                <c:pt idx="4">
                  <c:v>3.5659151169600278E-3</c:v>
                </c:pt>
                <c:pt idx="5">
                  <c:v>3.8460516829750269E-3</c:v>
                </c:pt>
                <c:pt idx="6">
                  <c:v>4.1396369902262364E-3</c:v>
                </c:pt>
                <c:pt idx="7">
                  <c:v>4.4546464155141852E-3</c:v>
                </c:pt>
                <c:pt idx="8">
                  <c:v>4.8003399614977571E-3</c:v>
                </c:pt>
                <c:pt idx="9">
                  <c:v>5.1800795610013051E-3</c:v>
                </c:pt>
                <c:pt idx="10">
                  <c:v>5.5972018808081447E-3</c:v>
                </c:pt>
                <c:pt idx="11">
                  <c:v>6.0908746908576727E-3</c:v>
                </c:pt>
                <c:pt idx="12">
                  <c:v>6.6132021908771321E-3</c:v>
                </c:pt>
                <c:pt idx="13">
                  <c:v>7.1653775295044131E-3</c:v>
                </c:pt>
                <c:pt idx="14">
                  <c:v>7.7499595415617684E-3</c:v>
                </c:pt>
                <c:pt idx="15">
                  <c:v>8.3710689402554106E-3</c:v>
                </c:pt>
                <c:pt idx="16">
                  <c:v>9.0827664594883561E-3</c:v>
                </c:pt>
                <c:pt idx="17">
                  <c:v>9.8340469299040834E-3</c:v>
                </c:pt>
                <c:pt idx="18">
                  <c:v>1.0629675011257111E-2</c:v>
                </c:pt>
                <c:pt idx="19">
                  <c:v>1.1473652865646944E-2</c:v>
                </c:pt>
                <c:pt idx="20">
                  <c:v>1.2365309247348355E-2</c:v>
                </c:pt>
                <c:pt idx="21">
                  <c:v>1.3314673061085358E-2</c:v>
                </c:pt>
                <c:pt idx="22">
                  <c:v>1.4319798484473401E-2</c:v>
                </c:pt>
                <c:pt idx="23">
                  <c:v>1.5382618296150063E-2</c:v>
                </c:pt>
                <c:pt idx="24">
                  <c:v>1.6504502670757093E-2</c:v>
                </c:pt>
                <c:pt idx="25">
                  <c:v>1.7673037678160419E-2</c:v>
                </c:pt>
                <c:pt idx="26">
                  <c:v>1.888744699373901E-2</c:v>
                </c:pt>
                <c:pt idx="27">
                  <c:v>2.0165282680314034E-2</c:v>
                </c:pt>
                <c:pt idx="28">
                  <c:v>2.1505885155490345E-2</c:v>
                </c:pt>
                <c:pt idx="29">
                  <c:v>2.2908543464837727E-2</c:v>
                </c:pt>
                <c:pt idx="30">
                  <c:v>2.4372584236881378E-2</c:v>
                </c:pt>
                <c:pt idx="31">
                  <c:v>2.5884864675447261E-2</c:v>
                </c:pt>
                <c:pt idx="32">
                  <c:v>2.7458801371511576E-2</c:v>
                </c:pt>
                <c:pt idx="33">
                  <c:v>2.909370007149259E-2</c:v>
                </c:pt>
                <c:pt idx="34">
                  <c:v>3.078900592874434E-2</c:v>
                </c:pt>
                <c:pt idx="35">
                  <c:v>3.2544292882281667E-2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Données!$B$186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Données!$C$186:$AL$186</c:f>
              <c:numCache>
                <c:formatCode>0%</c:formatCode>
                <c:ptCount val="36"/>
                <c:pt idx="0">
                  <c:v>-8.7484118332925576E-6</c:v>
                </c:pt>
                <c:pt idx="1">
                  <c:v>1.3800963098775654E-5</c:v>
                </c:pt>
                <c:pt idx="2">
                  <c:v>2.3569026895264855E-5</c:v>
                </c:pt>
                <c:pt idx="3">
                  <c:v>2.5659134168520836E-5</c:v>
                </c:pt>
                <c:pt idx="4">
                  <c:v>3.1208755352007955E-5</c:v>
                </c:pt>
                <c:pt idx="5">
                  <c:v>4.8713546807910291E-5</c:v>
                </c:pt>
                <c:pt idx="6">
                  <c:v>7.7758351537005055E-5</c:v>
                </c:pt>
                <c:pt idx="7">
                  <c:v>1.1505613911944046E-4</c:v>
                </c:pt>
                <c:pt idx="8">
                  <c:v>1.5620723626486033E-4</c:v>
                </c:pt>
                <c:pt idx="9">
                  <c:v>1.970642948578849E-4</c:v>
                </c:pt>
                <c:pt idx="10">
                  <c:v>2.3434259629961929E-4</c:v>
                </c:pt>
                <c:pt idx="11">
                  <c:v>2.6542785856298323E-4</c:v>
                </c:pt>
                <c:pt idx="12">
                  <c:v>2.8978854487005101E-4</c:v>
                </c:pt>
                <c:pt idx="13">
                  <c:v>3.0764243901693078E-4</c:v>
                </c:pt>
                <c:pt idx="14">
                  <c:v>3.1960753504178818E-4</c:v>
                </c:pt>
                <c:pt idx="15">
                  <c:v>3.2633556035954747E-4</c:v>
                </c:pt>
                <c:pt idx="16">
                  <c:v>3.2771222676930556E-4</c:v>
                </c:pt>
                <c:pt idx="17">
                  <c:v>3.2481139878592913E-4</c:v>
                </c:pt>
                <c:pt idx="18">
                  <c:v>3.1858659789030241E-4</c:v>
                </c:pt>
                <c:pt idx="19">
                  <c:v>3.0995751296192253E-4</c:v>
                </c:pt>
                <c:pt idx="20">
                  <c:v>2.9983823352375261E-4</c:v>
                </c:pt>
                <c:pt idx="21">
                  <c:v>2.8878312188718169E-4</c:v>
                </c:pt>
                <c:pt idx="22">
                  <c:v>2.772631092111677E-4</c:v>
                </c:pt>
                <c:pt idx="23">
                  <c:v>2.6554339853701592E-4</c:v>
                </c:pt>
                <c:pt idx="24">
                  <c:v>2.5379010984094563E-4</c:v>
                </c:pt>
                <c:pt idx="25">
                  <c:v>2.4239977446915972E-4</c:v>
                </c:pt>
                <c:pt idx="26">
                  <c:v>2.3170524715121488E-4</c:v>
                </c:pt>
                <c:pt idx="27">
                  <c:v>2.2162001196157632E-4</c:v>
                </c:pt>
                <c:pt idx="28">
                  <c:v>2.11948452645494E-4</c:v>
                </c:pt>
                <c:pt idx="29">
                  <c:v>2.0247326442901503E-4</c:v>
                </c:pt>
                <c:pt idx="30">
                  <c:v>1.9305282651416178E-4</c:v>
                </c:pt>
                <c:pt idx="31">
                  <c:v>1.838023383851084E-4</c:v>
                </c:pt>
                <c:pt idx="32">
                  <c:v>1.7467095645073982E-4</c:v>
                </c:pt>
                <c:pt idx="33">
                  <c:v>1.6570416340955241E-4</c:v>
                </c:pt>
                <c:pt idx="34">
                  <c:v>1.5699918899092502E-4</c:v>
                </c:pt>
                <c:pt idx="35">
                  <c:v>1.4870765738983494E-4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Données!$B$187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Données!$C$187:$AL$187</c:f>
              <c:numCache>
                <c:formatCode>0%</c:formatCode>
                <c:ptCount val="36"/>
                <c:pt idx="0">
                  <c:v>4.9904846815884696E-5</c:v>
                </c:pt>
                <c:pt idx="1">
                  <c:v>8.535800698261653E-5</c:v>
                </c:pt>
                <c:pt idx="2">
                  <c:v>1.0941872180758594E-4</c:v>
                </c:pt>
                <c:pt idx="3">
                  <c:v>1.2606981884477619E-4</c:v>
                </c:pt>
                <c:pt idx="4">
                  <c:v>1.4310474699463782E-4</c:v>
                </c:pt>
                <c:pt idx="5">
                  <c:v>1.6558005013278532E-4</c:v>
                </c:pt>
                <c:pt idx="6">
                  <c:v>1.9297529458750518E-4</c:v>
                </c:pt>
                <c:pt idx="7">
                  <c:v>2.2251659105521071E-4</c:v>
                </c:pt>
                <c:pt idx="8">
                  <c:v>2.5146253893026937E-4</c:v>
                </c:pt>
                <c:pt idx="9">
                  <c:v>2.7774697113169822E-4</c:v>
                </c:pt>
                <c:pt idx="10">
                  <c:v>3.003858192232034E-4</c:v>
                </c:pt>
                <c:pt idx="11">
                  <c:v>3.1954876127415766E-4</c:v>
                </c:pt>
                <c:pt idx="12">
                  <c:v>3.3458635770555745E-4</c:v>
                </c:pt>
                <c:pt idx="13">
                  <c:v>3.4603816753686623E-4</c:v>
                </c:pt>
                <c:pt idx="14">
                  <c:v>3.5447078326544812E-4</c:v>
                </c:pt>
                <c:pt idx="15">
                  <c:v>3.6028039760038766E-4</c:v>
                </c:pt>
                <c:pt idx="16">
                  <c:v>3.6482975571550114E-4</c:v>
                </c:pt>
                <c:pt idx="17">
                  <c:v>3.671165076963856E-4</c:v>
                </c:pt>
                <c:pt idx="18">
                  <c:v>3.6733037330427543E-4</c:v>
                </c:pt>
                <c:pt idx="19">
                  <c:v>3.6566327541054378E-4</c:v>
                </c:pt>
                <c:pt idx="20">
                  <c:v>3.6202348982028454E-4</c:v>
                </c:pt>
                <c:pt idx="21">
                  <c:v>3.5720865049837514E-4</c:v>
                </c:pt>
                <c:pt idx="22">
                  <c:v>3.5091380099161462E-4</c:v>
                </c:pt>
                <c:pt idx="23">
                  <c:v>3.4318734361549197E-4</c:v>
                </c:pt>
                <c:pt idx="24">
                  <c:v>3.3410538963085656E-4</c:v>
                </c:pt>
                <c:pt idx="25">
                  <c:v>3.2282967558328046E-4</c:v>
                </c:pt>
                <c:pt idx="26">
                  <c:v>3.1092538787147461E-4</c:v>
                </c:pt>
                <c:pt idx="27">
                  <c:v>2.9830830729715707E-4</c:v>
                </c:pt>
                <c:pt idx="28">
                  <c:v>2.8495356210744838E-4</c:v>
                </c:pt>
                <c:pt idx="29">
                  <c:v>2.7084941038557631E-4</c:v>
                </c:pt>
                <c:pt idx="30">
                  <c:v>2.5603205608670798E-4</c:v>
                </c:pt>
                <c:pt idx="31">
                  <c:v>2.4028820520838323E-4</c:v>
                </c:pt>
                <c:pt idx="32">
                  <c:v>2.2401164635321713E-4</c:v>
                </c:pt>
                <c:pt idx="33">
                  <c:v>2.0729719616574549E-4</c:v>
                </c:pt>
                <c:pt idx="34">
                  <c:v>1.9023405613038946E-4</c:v>
                </c:pt>
                <c:pt idx="35">
                  <c:v>1.7291333050573066E-4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Données!$B$188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Données!$C$188:$AL$188</c:f>
              <c:numCache>
                <c:formatCode>0%</c:formatCode>
                <c:ptCount val="36"/>
                <c:pt idx="0">
                  <c:v>5.4118740109521113E-5</c:v>
                </c:pt>
                <c:pt idx="1">
                  <c:v>1.1616194513663913E-4</c:v>
                </c:pt>
                <c:pt idx="2">
                  <c:v>1.5026852361899046E-4</c:v>
                </c:pt>
                <c:pt idx="3">
                  <c:v>1.6702745788044204E-4</c:v>
                </c:pt>
                <c:pt idx="4">
                  <c:v>1.8139095885572054E-4</c:v>
                </c:pt>
                <c:pt idx="5">
                  <c:v>2.033066270743511E-4</c:v>
                </c:pt>
                <c:pt idx="6">
                  <c:v>2.3065306074654401E-4</c:v>
                </c:pt>
                <c:pt idx="7">
                  <c:v>2.5906410403897517E-4</c:v>
                </c:pt>
                <c:pt idx="8">
                  <c:v>2.8478563107325883E-4</c:v>
                </c:pt>
                <c:pt idx="9">
                  <c:v>3.0533164485735398E-4</c:v>
                </c:pt>
                <c:pt idx="10">
                  <c:v>3.196013333164327E-4</c:v>
                </c:pt>
                <c:pt idx="11">
                  <c:v>3.2845593672159445E-4</c:v>
                </c:pt>
                <c:pt idx="12">
                  <c:v>3.3203548086002677E-4</c:v>
                </c:pt>
                <c:pt idx="13">
                  <c:v>3.3158514156039764E-4</c:v>
                </c:pt>
                <c:pt idx="14">
                  <c:v>3.2825537824643369E-4</c:v>
                </c:pt>
                <c:pt idx="15">
                  <c:v>3.2280451689215006E-4</c:v>
                </c:pt>
                <c:pt idx="16">
                  <c:v>3.1666908987548759E-4</c:v>
                </c:pt>
                <c:pt idx="17">
                  <c:v>3.0941223131319973E-4</c:v>
                </c:pt>
                <c:pt idx="18">
                  <c:v>3.0138673868496113E-4</c:v>
                </c:pt>
                <c:pt idx="19">
                  <c:v>2.9290148932403781E-4</c:v>
                </c:pt>
                <c:pt idx="20">
                  <c:v>2.841917335827393E-4</c:v>
                </c:pt>
                <c:pt idx="21">
                  <c:v>2.7552097683991583E-4</c:v>
                </c:pt>
                <c:pt idx="22">
                  <c:v>2.6681036907105771E-4</c:v>
                </c:pt>
                <c:pt idx="23">
                  <c:v>2.5797691482254415E-4</c:v>
                </c:pt>
                <c:pt idx="24">
                  <c:v>2.4894175730061363E-4</c:v>
                </c:pt>
                <c:pt idx="25">
                  <c:v>2.3955706458056447E-4</c:v>
                </c:pt>
                <c:pt idx="26">
                  <c:v>2.2994129197551061E-4</c:v>
                </c:pt>
                <c:pt idx="27">
                  <c:v>2.2026984553691342E-4</c:v>
                </c:pt>
                <c:pt idx="28">
                  <c:v>2.1037729792205973E-4</c:v>
                </c:pt>
                <c:pt idx="29">
                  <c:v>2.0015861577737937E-4</c:v>
                </c:pt>
                <c:pt idx="30">
                  <c:v>1.8959242698879386E-4</c:v>
                </c:pt>
                <c:pt idx="31">
                  <c:v>1.7849277941750508E-4</c:v>
                </c:pt>
                <c:pt idx="32">
                  <c:v>1.6717061794269128E-4</c:v>
                </c:pt>
                <c:pt idx="33">
                  <c:v>1.5574879209112602E-4</c:v>
                </c:pt>
                <c:pt idx="34">
                  <c:v>1.4435644238397494E-4</c:v>
                </c:pt>
                <c:pt idx="35">
                  <c:v>1.3312337562276788E-4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Données!$B$189</c:f>
              <c:strCache>
                <c:ptCount val="1"/>
                <c:pt idx="0">
                  <c:v>Oil&amp;Gas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Données!$C$189:$AL$189</c:f>
              <c:numCache>
                <c:formatCode>0%</c:formatCode>
                <c:ptCount val="36"/>
                <c:pt idx="0">
                  <c:v>-1.7052819929175289E-4</c:v>
                </c:pt>
                <c:pt idx="1">
                  <c:v>-4.8265491005983208E-4</c:v>
                </c:pt>
                <c:pt idx="2">
                  <c:v>-6.6065211800026002E-4</c:v>
                </c:pt>
                <c:pt idx="3">
                  <c:v>-7.7177584028131907E-4</c:v>
                </c:pt>
                <c:pt idx="4">
                  <c:v>-8.648573600794629E-4</c:v>
                </c:pt>
                <c:pt idx="5">
                  <c:v>-9.7239131895610065E-4</c:v>
                </c:pt>
                <c:pt idx="6">
                  <c:v>-1.0694015814868285E-3</c:v>
                </c:pt>
                <c:pt idx="7">
                  <c:v>-1.1460544341579393E-3</c:v>
                </c:pt>
                <c:pt idx="8">
                  <c:v>-1.2013739711386195E-3</c:v>
                </c:pt>
                <c:pt idx="9">
                  <c:v>-1.2369416819788537E-3</c:v>
                </c:pt>
                <c:pt idx="10">
                  <c:v>-1.2538487197388815E-3</c:v>
                </c:pt>
                <c:pt idx="11">
                  <c:v>-1.2600773889045458E-3</c:v>
                </c:pt>
                <c:pt idx="12">
                  <c:v>-1.2553730263015206E-3</c:v>
                </c:pt>
                <c:pt idx="13">
                  <c:v>-1.2414607553166146E-3</c:v>
                </c:pt>
                <c:pt idx="14">
                  <c:v>-1.2192574858624905E-3</c:v>
                </c:pt>
                <c:pt idx="15">
                  <c:v>-1.1881342951473028E-3</c:v>
                </c:pt>
                <c:pt idx="16">
                  <c:v>-1.1505125494495339E-3</c:v>
                </c:pt>
                <c:pt idx="17">
                  <c:v>-1.104600321336302E-3</c:v>
                </c:pt>
                <c:pt idx="18">
                  <c:v>-1.0508767062424873E-3</c:v>
                </c:pt>
                <c:pt idx="19">
                  <c:v>-9.9069491940295684E-4</c:v>
                </c:pt>
                <c:pt idx="20">
                  <c:v>-9.2727624026545108E-4</c:v>
                </c:pt>
                <c:pt idx="21">
                  <c:v>-8.5951684778684534E-4</c:v>
                </c:pt>
                <c:pt idx="22">
                  <c:v>-7.9019204318875325E-4</c:v>
                </c:pt>
                <c:pt idx="23">
                  <c:v>-7.2043525939469166E-4</c:v>
                </c:pt>
                <c:pt idx="24">
                  <c:v>-6.5094663406539688E-4</c:v>
                </c:pt>
                <c:pt idx="25">
                  <c:v>-5.868522929133313E-4</c:v>
                </c:pt>
                <c:pt idx="26">
                  <c:v>-5.2064490645964412E-4</c:v>
                </c:pt>
                <c:pt idx="27">
                  <c:v>-4.5553951310206564E-4</c:v>
                </c:pt>
                <c:pt idx="28">
                  <c:v>-3.9188283670577029E-4</c:v>
                </c:pt>
                <c:pt idx="29">
                  <c:v>-3.2964618870989781E-4</c:v>
                </c:pt>
                <c:pt idx="30">
                  <c:v>-2.6868002128732638E-4</c:v>
                </c:pt>
                <c:pt idx="31">
                  <c:v>-2.0810430666151625E-4</c:v>
                </c:pt>
                <c:pt idx="32">
                  <c:v>-1.4831410694715608E-4</c:v>
                </c:pt>
                <c:pt idx="33">
                  <c:v>-8.9422132321437253E-5</c:v>
                </c:pt>
                <c:pt idx="34">
                  <c:v>-3.152963921893015E-5</c:v>
                </c:pt>
                <c:pt idx="35">
                  <c:v>2.5242799519320513E-5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Données!$B$190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Données!$C$190:$AL$190</c:f>
              <c:numCache>
                <c:formatCode>0%</c:formatCode>
                <c:ptCount val="36"/>
                <c:pt idx="0">
                  <c:v>-8.4207486504062068E-5</c:v>
                </c:pt>
                <c:pt idx="1">
                  <c:v>-1.20815912539185E-3</c:v>
                </c:pt>
                <c:pt idx="2">
                  <c:v>-1.7654954121897326E-3</c:v>
                </c:pt>
                <c:pt idx="3">
                  <c:v>-2.0044398026661803E-3</c:v>
                </c:pt>
                <c:pt idx="4">
                  <c:v>-2.1528814630240589E-3</c:v>
                </c:pt>
                <c:pt idx="5">
                  <c:v>-2.3628500853131174E-3</c:v>
                </c:pt>
                <c:pt idx="6">
                  <c:v>-2.5928426664866278E-3</c:v>
                </c:pt>
                <c:pt idx="7">
                  <c:v>-2.8008323830425175E-3</c:v>
                </c:pt>
                <c:pt idx="8">
                  <c:v>-2.9662447986077423E-3</c:v>
                </c:pt>
                <c:pt idx="9">
                  <c:v>-3.0839770280742806E-3</c:v>
                </c:pt>
                <c:pt idx="10">
                  <c:v>-3.1532572910279999E-3</c:v>
                </c:pt>
                <c:pt idx="11">
                  <c:v>-3.1923846703743042E-3</c:v>
                </c:pt>
                <c:pt idx="12">
                  <c:v>-3.2057474915582196E-3</c:v>
                </c:pt>
                <c:pt idx="13">
                  <c:v>-3.1983841372036359E-3</c:v>
                </c:pt>
                <c:pt idx="14">
                  <c:v>-3.1723556385562235E-3</c:v>
                </c:pt>
                <c:pt idx="15">
                  <c:v>-3.1246516407185121E-3</c:v>
                </c:pt>
                <c:pt idx="16">
                  <c:v>-3.0573858897692263E-3</c:v>
                </c:pt>
                <c:pt idx="17">
                  <c:v>-2.9683744280978308E-3</c:v>
                </c:pt>
                <c:pt idx="18">
                  <c:v>-2.8584685692307765E-3</c:v>
                </c:pt>
                <c:pt idx="19">
                  <c:v>-2.7308501819722775E-3</c:v>
                </c:pt>
                <c:pt idx="20">
                  <c:v>-2.5947426683079478E-3</c:v>
                </c:pt>
                <c:pt idx="21">
                  <c:v>-2.4463534490430927E-3</c:v>
                </c:pt>
                <c:pt idx="22">
                  <c:v>-2.2917548100888085E-3</c:v>
                </c:pt>
                <c:pt idx="23">
                  <c:v>-2.1338299999870136E-3</c:v>
                </c:pt>
                <c:pt idx="24">
                  <c:v>-1.97397220954032E-3</c:v>
                </c:pt>
                <c:pt idx="25">
                  <c:v>-1.8283896995868743E-3</c:v>
                </c:pt>
                <c:pt idx="26">
                  <c:v>-1.6763635418289846E-3</c:v>
                </c:pt>
                <c:pt idx="27">
                  <c:v>-1.5217977266986926E-3</c:v>
                </c:pt>
                <c:pt idx="28">
                  <c:v>-1.3652299242444821E-3</c:v>
                </c:pt>
                <c:pt idx="29">
                  <c:v>-1.206310110896669E-3</c:v>
                </c:pt>
                <c:pt idx="30">
                  <c:v>-1.0443555815917716E-3</c:v>
                </c:pt>
                <c:pt idx="31">
                  <c:v>-8.7758461103837337E-4</c:v>
                </c:pt>
                <c:pt idx="32">
                  <c:v>-7.0613661215157553E-4</c:v>
                </c:pt>
                <c:pt idx="33">
                  <c:v>-5.3033357366416567E-4</c:v>
                </c:pt>
                <c:pt idx="34">
                  <c:v>-3.5057550883532684E-4</c:v>
                </c:pt>
                <c:pt idx="35">
                  <c:v>-1.6729247178592921E-4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Données!$B$184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Données!$C$183:$AL$183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Données!$C$184:$AL$184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7.4994284890328444E-5</c:v>
                      </c:pt>
                      <c:pt idx="1">
                        <c:v>1.1710489415905911E-4</c:v>
                      </c:pt>
                      <c:pt idx="2">
                        <c:v>1.4426601764805369E-4</c:v>
                      </c:pt>
                      <c:pt idx="3">
                        <c:v>1.6087879961634854E-4</c:v>
                      </c:pt>
                      <c:pt idx="4">
                        <c:v>1.7687041911362833E-4</c:v>
                      </c:pt>
                      <c:pt idx="5">
                        <c:v>1.9890647269260597E-4</c:v>
                      </c:pt>
                      <c:pt idx="6">
                        <c:v>2.2713928760076385E-4</c:v>
                      </c:pt>
                      <c:pt idx="7">
                        <c:v>2.5864783902562749E-4</c:v>
                      </c:pt>
                      <c:pt idx="8">
                        <c:v>2.9014139458860555E-4</c:v>
                      </c:pt>
                      <c:pt idx="9">
                        <c:v>3.1884370014867436E-4</c:v>
                      </c:pt>
                      <c:pt idx="10">
                        <c:v>3.4318561537549641E-4</c:v>
                      </c:pt>
                      <c:pt idx="11">
                        <c:v>3.6333499735574648E-4</c:v>
                      </c:pt>
                      <c:pt idx="12">
                        <c:v>3.7817140715135089E-4</c:v>
                      </c:pt>
                      <c:pt idx="13">
                        <c:v>3.8849761040182784E-4</c:v>
                      </c:pt>
                      <c:pt idx="14">
                        <c:v>3.9526835076908462E-4</c:v>
                      </c:pt>
                      <c:pt idx="15">
                        <c:v>3.9933052457619134E-4</c:v>
                      </c:pt>
                      <c:pt idx="16">
                        <c:v>4.0281709297929069E-4</c:v>
                      </c:pt>
                      <c:pt idx="17">
                        <c:v>4.0469543518906193E-4</c:v>
                      </c:pt>
                      <c:pt idx="18">
                        <c:v>4.0556969574789825E-4</c:v>
                      </c:pt>
                      <c:pt idx="19">
                        <c:v>4.0594394359350083E-4</c:v>
                      </c:pt>
                      <c:pt idx="20">
                        <c:v>4.0597019986177152E-4</c:v>
                      </c:pt>
                      <c:pt idx="21">
                        <c:v>4.064803703123232E-4</c:v>
                      </c:pt>
                      <c:pt idx="22">
                        <c:v>4.0728504066134263E-4</c:v>
                      </c:pt>
                      <c:pt idx="23">
                        <c:v>4.0841084549314566E-4</c:v>
                      </c:pt>
                      <c:pt idx="24">
                        <c:v>4.0987091506328177E-4</c:v>
                      </c:pt>
                      <c:pt idx="25">
                        <c:v>4.1086255268463212E-4</c:v>
                      </c:pt>
                      <c:pt idx="26">
                        <c:v>4.1244084761338229E-4</c:v>
                      </c:pt>
                      <c:pt idx="27">
                        <c:v>4.1476839632004214E-4</c:v>
                      </c:pt>
                      <c:pt idx="28">
                        <c:v>4.1769099855204495E-4</c:v>
                      </c:pt>
                      <c:pt idx="29">
                        <c:v>4.2109847919125087E-4</c:v>
                      </c:pt>
                      <c:pt idx="30">
                        <c:v>4.2496557100424326E-4</c:v>
                      </c:pt>
                      <c:pt idx="31">
                        <c:v>4.2898905070676285E-4</c:v>
                      </c:pt>
                      <c:pt idx="32">
                        <c:v>4.3366492386476274E-4</c:v>
                      </c:pt>
                      <c:pt idx="33">
                        <c:v>4.391098810783145E-4</c:v>
                      </c:pt>
                      <c:pt idx="34">
                        <c:v>4.4546209580964558E-4</c:v>
                      </c:pt>
                      <c:pt idx="35">
                        <c:v>4.5287932950177634E-4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Energy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Données!$B$254</c:f>
              <c:strCache>
                <c:ptCount val="1"/>
                <c:pt idx="0">
                  <c:v>Firms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Données!$C$254:$AL$254</c:f>
              <c:numCache>
                <c:formatCode>0%</c:formatCode>
                <c:ptCount val="36"/>
                <c:pt idx="0">
                  <c:v>2.8090500449273748E-4</c:v>
                </c:pt>
                <c:pt idx="1">
                  <c:v>3.4450237155758678E-4</c:v>
                </c:pt>
                <c:pt idx="2">
                  <c:v>3.6948839605810413E-4</c:v>
                </c:pt>
                <c:pt idx="3">
                  <c:v>3.9411470380379399E-4</c:v>
                </c:pt>
                <c:pt idx="4">
                  <c:v>4.3519624562193826E-4</c:v>
                </c:pt>
                <c:pt idx="5">
                  <c:v>4.9643906047380781E-4</c:v>
                </c:pt>
                <c:pt idx="6">
                  <c:v>5.7521848850217161E-4</c:v>
                </c:pt>
                <c:pt idx="7">
                  <c:v>6.6401925745918078E-4</c:v>
                </c:pt>
                <c:pt idx="8">
                  <c:v>7.5586651420667117E-4</c:v>
                </c:pt>
                <c:pt idx="9">
                  <c:v>8.4534932444868538E-4</c:v>
                </c:pt>
                <c:pt idx="10">
                  <c:v>9.294423934691487E-4</c:v>
                </c:pt>
                <c:pt idx="11">
                  <c:v>1.0094758446381746E-3</c:v>
                </c:pt>
                <c:pt idx="12">
                  <c:v>1.0818556900304976E-3</c:v>
                </c:pt>
                <c:pt idx="13">
                  <c:v>1.1471807403611312E-3</c:v>
                </c:pt>
                <c:pt idx="14">
                  <c:v>1.2067655953162948E-3</c:v>
                </c:pt>
                <c:pt idx="15">
                  <c:v>1.2621040546250129E-3</c:v>
                </c:pt>
                <c:pt idx="16">
                  <c:v>1.3186213005564884E-3</c:v>
                </c:pt>
                <c:pt idx="17">
                  <c:v>1.373880447372855E-3</c:v>
                </c:pt>
                <c:pt idx="18">
                  <c:v>1.4289849870630089E-3</c:v>
                </c:pt>
                <c:pt idx="19">
                  <c:v>1.4851099642005927E-3</c:v>
                </c:pt>
                <c:pt idx="20">
                  <c:v>1.5426329381125203E-3</c:v>
                </c:pt>
                <c:pt idx="21">
                  <c:v>1.6031378679604025E-3</c:v>
                </c:pt>
                <c:pt idx="22">
                  <c:v>1.6664921315163728E-3</c:v>
                </c:pt>
                <c:pt idx="23">
                  <c:v>1.7326048232573221E-3</c:v>
                </c:pt>
                <c:pt idx="24">
                  <c:v>1.8012918718266491E-3</c:v>
                </c:pt>
                <c:pt idx="25">
                  <c:v>1.8705285550313366E-3</c:v>
                </c:pt>
                <c:pt idx="26">
                  <c:v>1.9413102770662327E-3</c:v>
                </c:pt>
                <c:pt idx="27">
                  <c:v>2.0144686392142841E-3</c:v>
                </c:pt>
                <c:pt idx="28">
                  <c:v>2.0894783163916131E-3</c:v>
                </c:pt>
                <c:pt idx="29">
                  <c:v>2.1656943533361339E-3</c:v>
                </c:pt>
                <c:pt idx="30">
                  <c:v>2.242594220919214E-3</c:v>
                </c:pt>
                <c:pt idx="31">
                  <c:v>2.3188700422949182E-3</c:v>
                </c:pt>
                <c:pt idx="32">
                  <c:v>2.3951991879087586E-3</c:v>
                </c:pt>
                <c:pt idx="33">
                  <c:v>2.4714866123816126E-3</c:v>
                </c:pt>
                <c:pt idx="34">
                  <c:v>2.5476494522713722E-3</c:v>
                </c:pt>
                <c:pt idx="35">
                  <c:v>2.6236778233272862E-3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Données!$B$255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Données!$C$255:$AL$255</c:f>
              <c:numCache>
                <c:formatCode>0%</c:formatCode>
                <c:ptCount val="36"/>
                <c:pt idx="0">
                  <c:v>5.981495140846782E-3</c:v>
                </c:pt>
                <c:pt idx="1">
                  <c:v>8.0561003370342998E-3</c:v>
                </c:pt>
                <c:pt idx="2">
                  <c:v>9.7119070903475269E-3</c:v>
                </c:pt>
                <c:pt idx="3">
                  <c:v>1.1300522865020257E-2</c:v>
                </c:pt>
                <c:pt idx="4">
                  <c:v>1.2904595099868965E-2</c:v>
                </c:pt>
                <c:pt idx="5">
                  <c:v>1.4546126187055197E-2</c:v>
                </c:pt>
                <c:pt idx="6">
                  <c:v>1.6259806239282026E-2</c:v>
                </c:pt>
                <c:pt idx="7">
                  <c:v>1.8023492944041486E-2</c:v>
                </c:pt>
                <c:pt idx="8">
                  <c:v>1.9831155747271234E-2</c:v>
                </c:pt>
                <c:pt idx="9">
                  <c:v>2.1675599294460168E-2</c:v>
                </c:pt>
                <c:pt idx="10">
                  <c:v>2.3551196468451829E-2</c:v>
                </c:pt>
                <c:pt idx="11">
                  <c:v>2.5557480193888704E-2</c:v>
                </c:pt>
                <c:pt idx="12">
                  <c:v>2.7592682822655368E-2</c:v>
                </c:pt>
                <c:pt idx="13">
                  <c:v>2.9648713460610709E-2</c:v>
                </c:pt>
                <c:pt idx="14">
                  <c:v>3.1724427577281666E-2</c:v>
                </c:pt>
                <c:pt idx="15">
                  <c:v>3.3821121316477853E-2</c:v>
                </c:pt>
                <c:pt idx="16">
                  <c:v>3.6056863284289919E-2</c:v>
                </c:pt>
                <c:pt idx="17">
                  <c:v>3.8329183411495826E-2</c:v>
                </c:pt>
                <c:pt idx="18">
                  <c:v>4.063539408114103E-2</c:v>
                </c:pt>
                <c:pt idx="19">
                  <c:v>4.2977686557492456E-2</c:v>
                </c:pt>
                <c:pt idx="20">
                  <c:v>4.5355617405338222E-2</c:v>
                </c:pt>
                <c:pt idx="21">
                  <c:v>4.7773120288896909E-2</c:v>
                </c:pt>
                <c:pt idx="22">
                  <c:v>5.0232813951737398E-2</c:v>
                </c:pt>
                <c:pt idx="23">
                  <c:v>5.2736998989952211E-2</c:v>
                </c:pt>
                <c:pt idx="24">
                  <c:v>5.5287074757396804E-2</c:v>
                </c:pt>
                <c:pt idx="25">
                  <c:v>5.787288169721938E-2</c:v>
                </c:pt>
                <c:pt idx="26">
                  <c:v>6.0450769671311688E-2</c:v>
                </c:pt>
                <c:pt idx="27">
                  <c:v>6.3070472476841388E-2</c:v>
                </c:pt>
                <c:pt idx="28">
                  <c:v>6.5735634408146115E-2</c:v>
                </c:pt>
                <c:pt idx="29">
                  <c:v>6.8446403867916006E-2</c:v>
                </c:pt>
                <c:pt idx="30">
                  <c:v>7.1202432860517861E-2</c:v>
                </c:pt>
                <c:pt idx="31">
                  <c:v>7.3972981208873856E-2</c:v>
                </c:pt>
                <c:pt idx="32">
                  <c:v>7.6784951266489987E-2</c:v>
                </c:pt>
                <c:pt idx="33">
                  <c:v>7.9639559100890711E-2</c:v>
                </c:pt>
                <c:pt idx="34">
                  <c:v>8.2536885685515315E-2</c:v>
                </c:pt>
                <c:pt idx="35">
                  <c:v>8.5477034840933275E-2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Données!$B$256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Données!$C$256:$AL$256</c:f>
              <c:numCache>
                <c:formatCode>0%</c:formatCode>
                <c:ptCount val="36"/>
                <c:pt idx="0">
                  <c:v>7.4114461374730212E-6</c:v>
                </c:pt>
                <c:pt idx="1">
                  <c:v>-2.8125208035523208E-5</c:v>
                </c:pt>
                <c:pt idx="2">
                  <c:v>-8.8678891621452038E-5</c:v>
                </c:pt>
                <c:pt idx="3">
                  <c:v>-1.4048821567747005E-4</c:v>
                </c:pt>
                <c:pt idx="4">
                  <c:v>-1.6485138945199207E-4</c:v>
                </c:pt>
                <c:pt idx="5">
                  <c:v>-1.5820778026987004E-4</c:v>
                </c:pt>
                <c:pt idx="6">
                  <c:v>-1.2719429472740629E-4</c:v>
                </c:pt>
                <c:pt idx="7">
                  <c:v>-8.1854481073340146E-5</c:v>
                </c:pt>
                <c:pt idx="8">
                  <c:v>-3.1757139395849343E-5</c:v>
                </c:pt>
                <c:pt idx="9">
                  <c:v>1.5807593817029897E-5</c:v>
                </c:pt>
                <c:pt idx="10">
                  <c:v>5.6290798696290167E-5</c:v>
                </c:pt>
                <c:pt idx="11">
                  <c:v>8.7076272542452315E-5</c:v>
                </c:pt>
                <c:pt idx="12">
                  <c:v>1.0723990484673429E-4</c:v>
                </c:pt>
                <c:pt idx="13">
                  <c:v>1.1764592132545992E-4</c:v>
                </c:pt>
                <c:pt idx="14">
                  <c:v>1.1990472172174194E-4</c:v>
                </c:pt>
                <c:pt idx="15">
                  <c:v>1.1579562539099086E-4</c:v>
                </c:pt>
                <c:pt idx="16">
                  <c:v>1.0696944392529772E-4</c:v>
                </c:pt>
                <c:pt idx="17">
                  <c:v>9.4670866186197244E-5</c:v>
                </c:pt>
                <c:pt idx="18">
                  <c:v>8.0615995630139992E-5</c:v>
                </c:pt>
                <c:pt idx="19">
                  <c:v>6.647672895976342E-5</c:v>
                </c:pt>
                <c:pt idx="20">
                  <c:v>5.344699722753532E-5</c:v>
                </c:pt>
                <c:pt idx="21">
                  <c:v>4.2681913181130682E-5</c:v>
                </c:pt>
                <c:pt idx="22">
                  <c:v>3.4601853320603837E-5</c:v>
                </c:pt>
                <c:pt idx="23">
                  <c:v>2.9190622689911905E-5</c:v>
                </c:pt>
                <c:pt idx="24">
                  <c:v>2.6261458249576819E-5</c:v>
                </c:pt>
                <c:pt idx="25">
                  <c:v>2.5118662838830019E-5</c:v>
                </c:pt>
                <c:pt idx="26">
                  <c:v>2.6351307157668202E-5</c:v>
                </c:pt>
                <c:pt idx="27">
                  <c:v>2.9891117426128488E-5</c:v>
                </c:pt>
                <c:pt idx="28">
                  <c:v>3.4926978252469709E-5</c:v>
                </c:pt>
                <c:pt idx="29">
                  <c:v>4.0548086645442183E-5</c:v>
                </c:pt>
                <c:pt idx="30">
                  <c:v>4.6001175784127213E-5</c:v>
                </c:pt>
                <c:pt idx="31">
                  <c:v>5.0762259492964645E-5</c:v>
                </c:pt>
                <c:pt idx="32">
                  <c:v>5.4582028507388358E-5</c:v>
                </c:pt>
                <c:pt idx="33">
                  <c:v>5.7194918531955352E-5</c:v>
                </c:pt>
                <c:pt idx="34">
                  <c:v>5.8400673673908443E-5</c:v>
                </c:pt>
                <c:pt idx="35">
                  <c:v>5.8109693642283133E-5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Données!$B$257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Données!$C$257:$AL$257</c:f>
              <c:numCache>
                <c:formatCode>0%</c:formatCode>
                <c:ptCount val="36"/>
                <c:pt idx="0">
                  <c:v>9.9109615510073468E-6</c:v>
                </c:pt>
                <c:pt idx="1">
                  <c:v>1.6742629023180911E-5</c:v>
                </c:pt>
                <c:pt idx="2">
                  <c:v>2.0877856358847424E-5</c:v>
                </c:pt>
                <c:pt idx="3">
                  <c:v>2.3410816054392214E-5</c:v>
                </c:pt>
                <c:pt idx="4">
                  <c:v>2.6289259717815483E-5</c:v>
                </c:pt>
                <c:pt idx="5">
                  <c:v>3.0396824516998322E-5</c:v>
                </c:pt>
                <c:pt idx="6">
                  <c:v>3.5780602660517857E-5</c:v>
                </c:pt>
                <c:pt idx="7">
                  <c:v>4.2205960666619191E-5</c:v>
                </c:pt>
                <c:pt idx="8">
                  <c:v>4.9244302223083736E-5</c:v>
                </c:pt>
                <c:pt idx="9">
                  <c:v>5.6417165416045023E-5</c:v>
                </c:pt>
                <c:pt idx="10">
                  <c:v>6.3322448698555078E-5</c:v>
                </c:pt>
                <c:pt idx="11">
                  <c:v>6.9543301615127007E-5</c:v>
                </c:pt>
                <c:pt idx="12">
                  <c:v>7.4981134405627259E-5</c:v>
                </c:pt>
                <c:pt idx="13">
                  <c:v>7.9724028577032868E-5</c:v>
                </c:pt>
                <c:pt idx="14">
                  <c:v>8.3821406958506373E-5</c:v>
                </c:pt>
                <c:pt idx="15">
                  <c:v>8.7339293624921766E-5</c:v>
                </c:pt>
                <c:pt idx="16">
                  <c:v>9.0246771026647465E-5</c:v>
                </c:pt>
                <c:pt idx="17">
                  <c:v>9.2647722393923715E-5</c:v>
                </c:pt>
                <c:pt idx="18">
                  <c:v>9.4799858850747043E-5</c:v>
                </c:pt>
                <c:pt idx="19">
                  <c:v>9.6837464647059335E-5</c:v>
                </c:pt>
                <c:pt idx="20">
                  <c:v>9.8864106597540413E-5</c:v>
                </c:pt>
                <c:pt idx="21">
                  <c:v>1.0100675186697217E-4</c:v>
                </c:pt>
                <c:pt idx="22">
                  <c:v>1.0323534587675098E-4</c:v>
                </c:pt>
                <c:pt idx="23">
                  <c:v>1.0559030536239078E-4</c:v>
                </c:pt>
                <c:pt idx="24">
                  <c:v>1.0807950385194331E-4</c:v>
                </c:pt>
                <c:pt idx="25">
                  <c:v>1.1070939709045824E-4</c:v>
                </c:pt>
                <c:pt idx="26">
                  <c:v>1.1372215342775327E-4</c:v>
                </c:pt>
                <c:pt idx="27">
                  <c:v>1.169204321773698E-4</c:v>
                </c:pt>
                <c:pt idx="28">
                  <c:v>1.2023051789533667E-4</c:v>
                </c:pt>
                <c:pt idx="29">
                  <c:v>1.2358528280098646E-4</c:v>
                </c:pt>
                <c:pt idx="30">
                  <c:v>1.2693624854653862E-4</c:v>
                </c:pt>
                <c:pt idx="31">
                  <c:v>1.3028040317708545E-4</c:v>
                </c:pt>
                <c:pt idx="32">
                  <c:v>1.3359504618049023E-4</c:v>
                </c:pt>
                <c:pt idx="33">
                  <c:v>1.3683087036331365E-4</c:v>
                </c:pt>
                <c:pt idx="34">
                  <c:v>1.3997672507182202E-4</c:v>
                </c:pt>
                <c:pt idx="35">
                  <c:v>1.4303605590848534E-4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Données!$B$258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Données!$C$258:$AL$258</c:f>
              <c:numCache>
                <c:formatCode>0%</c:formatCode>
                <c:ptCount val="36"/>
                <c:pt idx="0">
                  <c:v>7.7146912830450276E-5</c:v>
                </c:pt>
                <c:pt idx="1">
                  <c:v>1.0918568043449817E-4</c:v>
                </c:pt>
                <c:pt idx="2">
                  <c:v>8.751949102925316E-5</c:v>
                </c:pt>
                <c:pt idx="3">
                  <c:v>4.9808660732564292E-5</c:v>
                </c:pt>
                <c:pt idx="4">
                  <c:v>2.7474530710058787E-5</c:v>
                </c:pt>
                <c:pt idx="5">
                  <c:v>3.3308362661799151E-5</c:v>
                </c:pt>
                <c:pt idx="6">
                  <c:v>6.4629391794079893E-5</c:v>
                </c:pt>
                <c:pt idx="7">
                  <c:v>1.1254456316978079E-4</c:v>
                </c:pt>
                <c:pt idx="8">
                  <c:v>1.6722326821216882E-4</c:v>
                </c:pt>
                <c:pt idx="9">
                  <c:v>2.2069261053303535E-4</c:v>
                </c:pt>
                <c:pt idx="10">
                  <c:v>2.6786026445524413E-4</c:v>
                </c:pt>
                <c:pt idx="11">
                  <c:v>3.0556267854775498E-4</c:v>
                </c:pt>
                <c:pt idx="12">
                  <c:v>3.3283346099577393E-4</c:v>
                </c:pt>
                <c:pt idx="13">
                  <c:v>3.5059841487372623E-4</c:v>
                </c:pt>
                <c:pt idx="14">
                  <c:v>3.6045449167643184E-4</c:v>
                </c:pt>
                <c:pt idx="15">
                  <c:v>3.6422191555773864E-4</c:v>
                </c:pt>
                <c:pt idx="16">
                  <c:v>3.637486119945077E-4</c:v>
                </c:pt>
                <c:pt idx="17">
                  <c:v>3.6048316606129838E-4</c:v>
                </c:pt>
                <c:pt idx="18">
                  <c:v>3.5642714204242587E-4</c:v>
                </c:pt>
                <c:pt idx="19">
                  <c:v>3.5335403342107163E-4</c:v>
                </c:pt>
                <c:pt idx="20">
                  <c:v>3.5238116560765143E-4</c:v>
                </c:pt>
                <c:pt idx="21">
                  <c:v>3.5494052023254952E-4</c:v>
                </c:pt>
                <c:pt idx="22">
                  <c:v>3.6122938521843118E-4</c:v>
                </c:pt>
                <c:pt idx="23">
                  <c:v>3.7114203805921342E-4</c:v>
                </c:pt>
                <c:pt idx="24">
                  <c:v>3.8442568655994158E-4</c:v>
                </c:pt>
                <c:pt idx="25">
                  <c:v>3.9994838649715092E-4</c:v>
                </c:pt>
                <c:pt idx="26">
                  <c:v>4.1900781908488227E-4</c:v>
                </c:pt>
                <c:pt idx="27">
                  <c:v>4.41218144196176E-4</c:v>
                </c:pt>
                <c:pt idx="28">
                  <c:v>4.6565989642388672E-4</c:v>
                </c:pt>
                <c:pt idx="29">
                  <c:v>4.9142869893681329E-4</c:v>
                </c:pt>
                <c:pt idx="30">
                  <c:v>5.1780788344446549E-4</c:v>
                </c:pt>
                <c:pt idx="31">
                  <c:v>5.4428424374508566E-4</c:v>
                </c:pt>
                <c:pt idx="32">
                  <c:v>5.7065072521922389E-4</c:v>
                </c:pt>
                <c:pt idx="33">
                  <c:v>5.9665950211895691E-4</c:v>
                </c:pt>
                <c:pt idx="34">
                  <c:v>6.2215930542630637E-4</c:v>
                </c:pt>
                <c:pt idx="35">
                  <c:v>6.4710668137335503E-4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Données!$B$259</c:f>
              <c:strCache>
                <c:ptCount val="1"/>
                <c:pt idx="0">
                  <c:v>Households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Données!$C$259:$AL$259</c:f>
              <c:numCache>
                <c:formatCode>0%</c:formatCode>
                <c:ptCount val="36"/>
                <c:pt idx="0">
                  <c:v>7.8755021806875547E-5</c:v>
                </c:pt>
                <c:pt idx="1">
                  <c:v>1.5177684146923109E-3</c:v>
                </c:pt>
                <c:pt idx="2">
                  <c:v>2.620635215955236E-3</c:v>
                </c:pt>
                <c:pt idx="3">
                  <c:v>3.60866670825577E-3</c:v>
                </c:pt>
                <c:pt idx="4">
                  <c:v>4.689447995298579E-3</c:v>
                </c:pt>
                <c:pt idx="5">
                  <c:v>6.0721661980753794E-3</c:v>
                </c:pt>
                <c:pt idx="6">
                  <c:v>7.4950846815535765E-3</c:v>
                </c:pt>
                <c:pt idx="7">
                  <c:v>8.8486776953398127E-3</c:v>
                </c:pt>
                <c:pt idx="8">
                  <c:v>1.0112590115199493E-2</c:v>
                </c:pt>
                <c:pt idx="9">
                  <c:v>1.1298132291238883E-2</c:v>
                </c:pt>
                <c:pt idx="10">
                  <c:v>1.2422677574933427E-2</c:v>
                </c:pt>
                <c:pt idx="11">
                  <c:v>1.3519325343217536E-2</c:v>
                </c:pt>
                <c:pt idx="12">
                  <c:v>1.4608660851883171E-2</c:v>
                </c:pt>
                <c:pt idx="13">
                  <c:v>1.5706452199846455E-2</c:v>
                </c:pt>
                <c:pt idx="14">
                  <c:v>1.6817723690696118E-2</c:v>
                </c:pt>
                <c:pt idx="15">
                  <c:v>1.7931309877820878E-2</c:v>
                </c:pt>
                <c:pt idx="16">
                  <c:v>1.9039091311457534E-2</c:v>
                </c:pt>
                <c:pt idx="17">
                  <c:v>2.0132163502721845E-2</c:v>
                </c:pt>
                <c:pt idx="18">
                  <c:v>2.1207236482808867E-2</c:v>
                </c:pt>
                <c:pt idx="19">
                  <c:v>2.2266084134183739E-2</c:v>
                </c:pt>
                <c:pt idx="20">
                  <c:v>2.331875923658977E-2</c:v>
                </c:pt>
                <c:pt idx="21">
                  <c:v>2.4364517184003454E-2</c:v>
                </c:pt>
                <c:pt idx="22">
                  <c:v>2.5409953822153719E-2</c:v>
                </c:pt>
                <c:pt idx="23">
                  <c:v>2.6458940232260586E-2</c:v>
                </c:pt>
                <c:pt idx="24">
                  <c:v>2.7512689672841262E-2</c:v>
                </c:pt>
                <c:pt idx="25">
                  <c:v>2.8587598304449457E-2</c:v>
                </c:pt>
                <c:pt idx="26">
                  <c:v>2.9664545476287163E-2</c:v>
                </c:pt>
                <c:pt idx="27">
                  <c:v>3.074278648362716E-2</c:v>
                </c:pt>
                <c:pt idx="28">
                  <c:v>3.1820751260164482E-2</c:v>
                </c:pt>
                <c:pt idx="29">
                  <c:v>3.289572650882322E-2</c:v>
                </c:pt>
                <c:pt idx="30">
                  <c:v>3.3964283342006185E-2</c:v>
                </c:pt>
                <c:pt idx="31">
                  <c:v>3.5021414170207432E-2</c:v>
                </c:pt>
                <c:pt idx="32">
                  <c:v>3.6063972556241275E-2</c:v>
                </c:pt>
                <c:pt idx="33">
                  <c:v>3.7089402999920029E-2</c:v>
                </c:pt>
                <c:pt idx="34">
                  <c:v>3.8095448042944513E-2</c:v>
                </c:pt>
                <c:pt idx="35">
                  <c:v>3.9080051420783857E-2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Données!$B$260</c:f>
              <c:strCache>
                <c:ptCount val="1"/>
                <c:pt idx="0">
                  <c:v>Households (housing)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Données!$C$260:$AL$260</c:f>
              <c:numCache>
                <c:formatCode>0%</c:formatCode>
                <c:ptCount val="36"/>
                <c:pt idx="0">
                  <c:v>7.8754786609902538E-5</c:v>
                </c:pt>
                <c:pt idx="1">
                  <c:v>2.217564512001946E-3</c:v>
                </c:pt>
                <c:pt idx="2">
                  <c:v>3.8588147352451863E-3</c:v>
                </c:pt>
                <c:pt idx="3">
                  <c:v>5.3388196290427015E-3</c:v>
                </c:pt>
                <c:pt idx="4">
                  <c:v>6.9645295598654844E-3</c:v>
                </c:pt>
                <c:pt idx="5">
                  <c:v>9.0506113502473173E-3</c:v>
                </c:pt>
                <c:pt idx="6">
                  <c:v>1.120554693269904E-2</c:v>
                </c:pt>
                <c:pt idx="7">
                  <c:v>1.3265404379009471E-2</c:v>
                </c:pt>
                <c:pt idx="8">
                  <c:v>1.5200619732618881E-2</c:v>
                </c:pt>
                <c:pt idx="9">
                  <c:v>1.7029248564214505E-2</c:v>
                </c:pt>
                <c:pt idx="10">
                  <c:v>1.8775360048650658E-2</c:v>
                </c:pt>
                <c:pt idx="11">
                  <c:v>2.0494270730370134E-2</c:v>
                </c:pt>
                <c:pt idx="12">
                  <c:v>2.2216530512973343E-2</c:v>
                </c:pt>
                <c:pt idx="13">
                  <c:v>2.3965664923446095E-2</c:v>
                </c:pt>
                <c:pt idx="14">
                  <c:v>2.5748909514079932E-2</c:v>
                </c:pt>
                <c:pt idx="15">
                  <c:v>2.7548345948479991E-2</c:v>
                </c:pt>
                <c:pt idx="16">
                  <c:v>2.9350520060270835E-2</c:v>
                </c:pt>
                <c:pt idx="17">
                  <c:v>3.1140892068964421E-2</c:v>
                </c:pt>
                <c:pt idx="18">
                  <c:v>3.2913598483154782E-2</c:v>
                </c:pt>
                <c:pt idx="19">
                  <c:v>3.4670856546801909E-2</c:v>
                </c:pt>
                <c:pt idx="20">
                  <c:v>3.6432089924792299E-2</c:v>
                </c:pt>
                <c:pt idx="21">
                  <c:v>3.8189174661126035E-2</c:v>
                </c:pt>
                <c:pt idx="22">
                  <c:v>3.9954168823723935E-2</c:v>
                </c:pt>
                <c:pt idx="23">
                  <c:v>4.1734145833699277E-2</c:v>
                </c:pt>
                <c:pt idx="24">
                  <c:v>4.3531542617907704E-2</c:v>
                </c:pt>
                <c:pt idx="25">
                  <c:v>4.5386981571358787E-2</c:v>
                </c:pt>
                <c:pt idx="26">
                  <c:v>4.7252533459586354E-2</c:v>
                </c:pt>
                <c:pt idx="27">
                  <c:v>4.9128028972606819E-2</c:v>
                </c:pt>
                <c:pt idx="28">
                  <c:v>5.1011719337567207E-2</c:v>
                </c:pt>
                <c:pt idx="29">
                  <c:v>5.2899703961184708E-2</c:v>
                </c:pt>
                <c:pt idx="30">
                  <c:v>5.4786622480192282E-2</c:v>
                </c:pt>
                <c:pt idx="31">
                  <c:v>5.6664317439895084E-2</c:v>
                </c:pt>
                <c:pt idx="32">
                  <c:v>5.8527412341874419E-2</c:v>
                </c:pt>
                <c:pt idx="33">
                  <c:v>6.0371402021542897E-2</c:v>
                </c:pt>
                <c:pt idx="34">
                  <c:v>6.2192163329377825E-2</c:v>
                </c:pt>
                <c:pt idx="35">
                  <c:v>6.3985808772136998E-2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Données!$B$261</c:f>
              <c:strCache>
                <c:ptCount val="1"/>
                <c:pt idx="0">
                  <c:v>Households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Données!$C$261:$AL$261</c:f>
              <c:numCache>
                <c:formatCode>0%</c:formatCode>
                <c:ptCount val="36"/>
                <c:pt idx="0">
                  <c:v>7.8755021806875547E-5</c:v>
                </c:pt>
                <c:pt idx="1">
                  <c:v>1.2667068035954188E-4</c:v>
                </c:pt>
                <c:pt idx="2">
                  <c:v>1.5006419751739664E-4</c:v>
                </c:pt>
                <c:pt idx="3">
                  <c:v>1.6608489259795078E-4</c:v>
                </c:pt>
                <c:pt idx="4">
                  <c:v>1.8948638265214868E-4</c:v>
                </c:pt>
                <c:pt idx="5">
                  <c:v>2.267285422334897E-4</c:v>
                </c:pt>
                <c:pt idx="6">
                  <c:v>2.7682273654106027E-4</c:v>
                </c:pt>
                <c:pt idx="7">
                  <c:v>3.3530040097429215E-4</c:v>
                </c:pt>
                <c:pt idx="8">
                  <c:v>3.9737471037426531E-4</c:v>
                </c:pt>
                <c:pt idx="9">
                  <c:v>4.5955670661146364E-4</c:v>
                </c:pt>
                <c:pt idx="10">
                  <c:v>5.2038717856195404E-4</c:v>
                </c:pt>
                <c:pt idx="11">
                  <c:v>5.7880171428004168E-4</c:v>
                </c:pt>
                <c:pt idx="12">
                  <c:v>6.3538776248717177E-4</c:v>
                </c:pt>
                <c:pt idx="13">
                  <c:v>6.9116682724423839E-4</c:v>
                </c:pt>
                <c:pt idx="14">
                  <c:v>7.4711439735564156E-4</c:v>
                </c:pt>
                <c:pt idx="15">
                  <c:v>8.039541910880299E-4</c:v>
                </c:pt>
                <c:pt idx="16">
                  <c:v>8.6243908004002279E-4</c:v>
                </c:pt>
                <c:pt idx="17">
                  <c:v>9.2276508713218242E-4</c:v>
                </c:pt>
                <c:pt idx="18">
                  <c:v>9.8518155632310034E-4</c:v>
                </c:pt>
                <c:pt idx="19">
                  <c:v>1.049791556184454E-3</c:v>
                </c:pt>
                <c:pt idx="20">
                  <c:v>1.1161300197066737E-3</c:v>
                </c:pt>
                <c:pt idx="21">
                  <c:v>1.1849034317088503E-3</c:v>
                </c:pt>
                <c:pt idx="22">
                  <c:v>1.2555516955090607E-3</c:v>
                </c:pt>
                <c:pt idx="23">
                  <c:v>1.3277375857898566E-3</c:v>
                </c:pt>
                <c:pt idx="24">
                  <c:v>1.4012400699865424E-3</c:v>
                </c:pt>
                <c:pt idx="25">
                  <c:v>1.4744556934935815E-3</c:v>
                </c:pt>
                <c:pt idx="26">
                  <c:v>1.5493332523408565E-3</c:v>
                </c:pt>
                <c:pt idx="27">
                  <c:v>1.6253715834362303E-3</c:v>
                </c:pt>
                <c:pt idx="28">
                  <c:v>1.7022492922205146E-3</c:v>
                </c:pt>
                <c:pt idx="29">
                  <c:v>1.7798346427901901E-3</c:v>
                </c:pt>
                <c:pt idx="30">
                  <c:v>1.8581502319554577E-3</c:v>
                </c:pt>
                <c:pt idx="31">
                  <c:v>1.9372189479449631E-3</c:v>
                </c:pt>
                <c:pt idx="32">
                  <c:v>2.0172324463048064E-3</c:v>
                </c:pt>
                <c:pt idx="33">
                  <c:v>2.0983453517731121E-3</c:v>
                </c:pt>
                <c:pt idx="34">
                  <c:v>2.1807276385403807E-3</c:v>
                </c:pt>
                <c:pt idx="35">
                  <c:v>2.26457039578154E-3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value</a:t>
            </a:r>
            <a:r>
              <a:rPr lang="fr-FR" sz="2800" baseline="0"/>
              <a:t> added</a:t>
            </a:r>
          </a:p>
          <a:p>
            <a:pPr>
              <a:defRPr/>
            </a:pPr>
            <a:r>
              <a:rPr lang="fr-FR" sz="1800" i="0" baseline="0"/>
              <a:t>(% deviation from baseline</a:t>
            </a:r>
            <a:r>
              <a:rPr lang="fr-FR" baseline="0"/>
              <a:t>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7564708710766092"/>
          <c:w val="0.88919974947941849"/>
          <c:h val="0.65530544352959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Données!$B$108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Données!$C$108:$E$108</c:f>
              <c:numCache>
                <c:formatCode>0.0%</c:formatCode>
                <c:ptCount val="3"/>
                <c:pt idx="0">
                  <c:v>-3.7018350843705881E-2</c:v>
                </c:pt>
                <c:pt idx="1">
                  <c:v>-6.0278436341178847E-2</c:v>
                </c:pt>
                <c:pt idx="2">
                  <c:v>-8.4469212911121694E-2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Données!$B$109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Données!$C$109:$E$109</c:f>
              <c:numCache>
                <c:formatCode>0.0%</c:formatCode>
                <c:ptCount val="3"/>
                <c:pt idx="0">
                  <c:v>2.516289839533998E-3</c:v>
                </c:pt>
                <c:pt idx="1">
                  <c:v>3.6706882300661841E-3</c:v>
                </c:pt>
                <c:pt idx="2">
                  <c:v>4.740819136270941E-3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Données!$C$110:$E$110</c:f>
              <c:numCache>
                <c:formatCode>0.0%</c:formatCode>
                <c:ptCount val="3"/>
                <c:pt idx="0">
                  <c:v>-1.1315286126940623E-3</c:v>
                </c:pt>
                <c:pt idx="1">
                  <c:v>-2.1204390255166934E-3</c:v>
                </c:pt>
                <c:pt idx="2">
                  <c:v>-3.1847610737626608E-3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Données!$C$111:$E$111</c:f>
              <c:numCache>
                <c:formatCode>0.0%</c:formatCode>
                <c:ptCount val="3"/>
                <c:pt idx="0">
                  <c:v>-1.0178569362696665E-3</c:v>
                </c:pt>
                <c:pt idx="1">
                  <c:v>-1.7440878282835807E-3</c:v>
                </c:pt>
                <c:pt idx="2">
                  <c:v>-2.4753232892654924E-3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5"/>
          <c:order val="5"/>
          <c:tx>
            <c:strRef>
              <c:f>Données!$B$114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Données!$C$114:$E$114</c:f>
              <c:numCache>
                <c:formatCode>0.0%</c:formatCode>
                <c:ptCount val="3"/>
                <c:pt idx="0">
                  <c:v>8.1118551712588988E-3</c:v>
                </c:pt>
                <c:pt idx="1">
                  <c:v>1.1704451939285534E-2</c:v>
                </c:pt>
                <c:pt idx="2">
                  <c:v>1.4322644848780097E-2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v>Average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Données!$C$107:$E$107</c:f>
              <c:numCache>
                <c:formatCode>0.0%</c:formatCode>
                <c:ptCount val="3"/>
                <c:pt idx="0">
                  <c:v>-8.7633861812473981E-4</c:v>
                </c:pt>
                <c:pt idx="1">
                  <c:v>-1.5804104173817301E-3</c:v>
                </c:pt>
                <c:pt idx="2">
                  <c:v>-2.3311063928517974E-3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Données!$B$112</c15:sqref>
                        </c15:formulaRef>
                      </c:ext>
                    </c:extLst>
                    <c:strCache>
                      <c:ptCount val="1"/>
                      <c:pt idx="0">
                        <c:v>Oil&amp;Gas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Données!$C$106:$E$106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Données!$C$112:$E$112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0.10468260095618208</c:v>
                      </c:pt>
                      <c:pt idx="1">
                        <c:v>0.13541521125114447</c:v>
                      </c:pt>
                      <c:pt idx="2">
                        <c:v>0.16412386149030536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Données!$B$117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Données!$C$117:$E$117</c:f>
              <c:numCache>
                <c:formatCode>0.0%</c:formatCode>
                <c:ptCount val="3"/>
                <c:pt idx="0">
                  <c:v>-3.7018350843705861E-2</c:v>
                </c:pt>
                <c:pt idx="1">
                  <c:v>-6.0278436341178798E-2</c:v>
                </c:pt>
                <c:pt idx="2">
                  <c:v>-8.4469212911121749E-2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Données!$B$118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Données!$C$118:$E$118</c:f>
              <c:numCache>
                <c:formatCode>0.0%</c:formatCode>
                <c:ptCount val="3"/>
                <c:pt idx="0">
                  <c:v>2.5162898395338917E-3</c:v>
                </c:pt>
                <c:pt idx="1">
                  <c:v>3.6706882300661103E-3</c:v>
                </c:pt>
                <c:pt idx="2">
                  <c:v>4.7408191362710017E-3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Données!$B$119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Données!$C$119:$E$119</c:f>
              <c:numCache>
                <c:formatCode>0.0%</c:formatCode>
                <c:ptCount val="3"/>
                <c:pt idx="0">
                  <c:v>-1.1315286126940549E-3</c:v>
                </c:pt>
                <c:pt idx="1">
                  <c:v>-2.1204390255167294E-3</c:v>
                </c:pt>
                <c:pt idx="2">
                  <c:v>-3.1847610737626431E-3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Données!$B$120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Données!$C$120:$E$120</c:f>
              <c:numCache>
                <c:formatCode>0.0%</c:formatCode>
                <c:ptCount val="3"/>
                <c:pt idx="0">
                  <c:v>-1.0178569362696566E-3</c:v>
                </c:pt>
                <c:pt idx="1">
                  <c:v>-1.7440878282836136E-3</c:v>
                </c:pt>
                <c:pt idx="2">
                  <c:v>-2.4753232892654742E-3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Données!$B$121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Données!$C$121:$E$121</c:f>
              <c:numCache>
                <c:formatCode>0.0%</c:formatCode>
                <c:ptCount val="3"/>
                <c:pt idx="0">
                  <c:v>0.10468260095618209</c:v>
                </c:pt>
                <c:pt idx="1">
                  <c:v>0.13541521125114442</c:v>
                </c:pt>
                <c:pt idx="2">
                  <c:v>0.16412386149030533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Données!$B$122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Données!$C$122:$E$122</c:f>
              <c:numCache>
                <c:formatCode>0.0%</c:formatCode>
                <c:ptCount val="3"/>
                <c:pt idx="0">
                  <c:v>8.1118551712588971E-3</c:v>
                </c:pt>
                <c:pt idx="1">
                  <c:v>1.1704451939285487E-2</c:v>
                </c:pt>
                <c:pt idx="2">
                  <c:v>1.4322644848780097E-2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production</a:t>
            </a:r>
          </a:p>
          <a:p>
            <a:pPr>
              <a:defRPr/>
            </a:pPr>
            <a:r>
              <a:rPr lang="fr-FR" sz="1800" baseline="0"/>
              <a:t>(% deviation from baseline)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2042331569230875"/>
          <c:y val="1.25748508923028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663560631932678E-2"/>
          <c:y val="0.16258101222189938"/>
          <c:w val="0.88919974947941849"/>
          <c:h val="0.578445451385989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Données!$B$147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Données!$C$147:$E$147</c:f>
              <c:numCache>
                <c:formatCode>0.0%</c:formatCode>
                <c:ptCount val="3"/>
                <c:pt idx="0">
                  <c:v>-1.1340099485631319E-2</c:v>
                </c:pt>
                <c:pt idx="1">
                  <c:v>-1.222673897231432E-3</c:v>
                </c:pt>
                <c:pt idx="2">
                  <c:v>-2.6452096374505702E-2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D-4067-BD64-AD80378C548C}"/>
            </c:ext>
          </c:extLst>
        </c:ser>
        <c:ser>
          <c:idx val="1"/>
          <c:order val="1"/>
          <c:tx>
            <c:strRef>
              <c:f>Données!$B$148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Données!$C$148:$E$148</c:f>
              <c:numCache>
                <c:formatCode>0.0%</c:formatCode>
                <c:ptCount val="3"/>
                <c:pt idx="0">
                  <c:v>-1.0759415912861624E-3</c:v>
                </c:pt>
                <c:pt idx="1">
                  <c:v>-1.2055611778212051E-2</c:v>
                </c:pt>
                <c:pt idx="2">
                  <c:v>-2.9023236624378117E-3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Données!$B$149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Données!$C$149:$E$149</c:f>
              <c:numCache>
                <c:formatCode>0.0%</c:formatCode>
                <c:ptCount val="3"/>
                <c:pt idx="0">
                  <c:v>-1.0988213547185922E-3</c:v>
                </c:pt>
                <c:pt idx="1">
                  <c:v>-1.1698138432313509E-3</c:v>
                </c:pt>
                <c:pt idx="2">
                  <c:v>-3.1421473436615993E-3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Données!$C$150:$E$150</c:f>
              <c:numCache>
                <c:formatCode>0.0%</c:formatCode>
                <c:ptCount val="3"/>
                <c:pt idx="0">
                  <c:v>-1.1091445574766066E-3</c:v>
                </c:pt>
                <c:pt idx="1">
                  <c:v>-1.1933615134075849E-3</c:v>
                </c:pt>
                <c:pt idx="2">
                  <c:v>-2.697554856317444E-3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Données!$C$151:$E$151</c:f>
              <c:numCache>
                <c:formatCode>0.0%</c:formatCode>
                <c:ptCount val="3"/>
                <c:pt idx="0">
                  <c:v>3.4405879495959493E-3</c:v>
                </c:pt>
                <c:pt idx="1">
                  <c:v>-1.1867273073169254E-3</c:v>
                </c:pt>
                <c:pt idx="2">
                  <c:v>6.1878865182296112E-3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5"/>
          <c:order val="5"/>
          <c:tx>
            <c:strRef>
              <c:f>Données!$B$152</c:f>
              <c:strCache>
                <c:ptCount val="1"/>
                <c:pt idx="0">
                  <c:v>Renewable Oil&amp;Gas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Données!$C$152:$E$152</c:f>
              <c:numCache>
                <c:formatCode>0.0%</c:formatCode>
                <c:ptCount val="3"/>
                <c:pt idx="0">
                  <c:v>1.6292224968084341E-3</c:v>
                </c:pt>
                <c:pt idx="1">
                  <c:v>3.6155464275431995E-3</c:v>
                </c:pt>
                <c:pt idx="2">
                  <c:v>3.1221071826015396E-3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2D-4067-BD64-AD80378C548C}"/>
            </c:ext>
          </c:extLst>
        </c:ser>
        <c:ser>
          <c:idx val="7"/>
          <c:order val="6"/>
          <c:tx>
            <c:strRef>
              <c:f>Données!$B$153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Données!$C$153:$E$153</c:f>
              <c:numCache>
                <c:formatCode>0.0%</c:formatCode>
                <c:ptCount val="3"/>
                <c:pt idx="0">
                  <c:v>7.923280596797944E-3</c:v>
                </c:pt>
                <c:pt idx="1">
                  <c:v>1.7010931809618626E-3</c:v>
                </c:pt>
                <c:pt idx="2">
                  <c:v>1.3935928435651584E-2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7"/>
          <c:tx>
            <c:strRef>
              <c:f>Données!$B$146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bg1"/>
            </a:solidFill>
            <a:ln w="15875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Données!$C$146:$E$146</c:f>
              <c:numCache>
                <c:formatCode>0.0%</c:formatCode>
                <c:ptCount val="3"/>
                <c:pt idx="0">
                  <c:v>-1.1362960533994339E-3</c:v>
                </c:pt>
                <c:pt idx="1">
                  <c:v>0</c:v>
                </c:pt>
                <c:pt idx="2">
                  <c:v>-2.9327586790319233E-3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  <c:max val="4.0000000000000008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Données!$B$156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Données!$C$156:$E$156</c:f>
              <c:numCache>
                <c:formatCode>0.0%</c:formatCode>
                <c:ptCount val="3"/>
                <c:pt idx="0">
                  <c:v>-1.1340099485631305E-2</c:v>
                </c:pt>
                <c:pt idx="1">
                  <c:v>-1.8685016102263252E-2</c:v>
                </c:pt>
                <c:pt idx="2">
                  <c:v>-2.645209637450574E-2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Données!$B$157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Données!$C$157:$E$157</c:f>
              <c:numCache>
                <c:formatCode>0.0%</c:formatCode>
                <c:ptCount val="3"/>
                <c:pt idx="0">
                  <c:v>-1.0759415912862114E-3</c:v>
                </c:pt>
                <c:pt idx="1">
                  <c:v>-1.9872876805839823E-3</c:v>
                </c:pt>
                <c:pt idx="2">
                  <c:v>-2.9023236624378113E-3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Données!$B$158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Données!$C$158:$E$158</c:f>
              <c:numCache>
                <c:formatCode>0.0%</c:formatCode>
                <c:ptCount val="3"/>
                <c:pt idx="0">
                  <c:v>-1.0988213547186154E-3</c:v>
                </c:pt>
                <c:pt idx="1">
                  <c:v>-2.0859845895575546E-3</c:v>
                </c:pt>
                <c:pt idx="2">
                  <c:v>-3.1421473436615832E-3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Données!$B$159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Données!$C$159:$E$159</c:f>
              <c:numCache>
                <c:formatCode>0.0%</c:formatCode>
                <c:ptCount val="3"/>
                <c:pt idx="0">
                  <c:v>-1.1091445574765713E-3</c:v>
                </c:pt>
                <c:pt idx="1">
                  <c:v>-1.9011375986364154E-3</c:v>
                </c:pt>
                <c:pt idx="2">
                  <c:v>-2.6975548563173968E-3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Données!$B$160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Données!$C$160:$E$160</c:f>
              <c:numCache>
                <c:formatCode>0.0%</c:formatCode>
                <c:ptCount val="3"/>
                <c:pt idx="0">
                  <c:v>3.4405879495960079E-3</c:v>
                </c:pt>
                <c:pt idx="1">
                  <c:v>4.9568430827460208E-3</c:v>
                </c:pt>
                <c:pt idx="2">
                  <c:v>6.1878865182296572E-3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Données!$B$161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Données!$C$161:$E$161</c:f>
              <c:numCache>
                <c:formatCode>0.0%</c:formatCode>
                <c:ptCount val="3"/>
                <c:pt idx="0">
                  <c:v>7.9232805967979214E-3</c:v>
                </c:pt>
                <c:pt idx="1">
                  <c:v>1.1412688440961771E-2</c:v>
                </c:pt>
                <c:pt idx="2">
                  <c:v>1.3935928435651501E-2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 codeName="Graphique2">
    <tabColor rgb="FFFF0000"/>
  </sheetPr>
  <sheetViews>
    <sheetView tabSelected="1"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200-000000000000}">
  <sheetPr codeName="Graphique3"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 codeName="Graphique4"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 codeName="Graphique5"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 codeName="Graphique6"/>
  <sheetViews>
    <sheetView zoomScale="70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 codeName="Graphique7"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 codeName="Graphique8"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800-000000000000}">
  <sheetPr codeName="Graphique9"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900-000000000000}">
  <sheetPr codeName="Graphique10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A00-000000000000}">
  <sheetPr codeName="Graphique11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B00-000000000000}">
  <sheetPr codeName="Graphique12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 codeName="Graphique13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D00-000000000000}">
  <sheetPr codeName="Graphique14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E00-000000000000}">
  <sheetPr codeName="Graphique15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F00-000000000000}">
  <sheetPr codeName="Graphique16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000-000000000000}">
  <sheetPr codeName="Graphique17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100-000000000000}">
  <sheetPr codeName="Graphique18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200-000000000000}">
  <sheetPr codeName="Graphique19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300-000000000000}">
  <sheetPr codeName="Graphique20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400-000000000000}">
  <sheetPr codeName="Graphique21"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500-000000000000}">
  <sheetPr codeName="Graphique22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8012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  <cdr:relSizeAnchor xmlns:cdr="http://schemas.openxmlformats.org/drawingml/2006/chartDrawing">
    <cdr:from>
      <cdr:x>0.86541</cdr:x>
      <cdr:y>0.19309</cdr:y>
    </cdr:from>
    <cdr:to>
      <cdr:x>0.98047</cdr:x>
      <cdr:y>0.26796</cdr:y>
    </cdr:to>
    <cdr:sp macro="" textlink="">
      <cdr:nvSpPr>
        <cdr:cNvPr id="4" name="ZoneTexte 3"/>
        <cdr:cNvSpPr txBox="1"/>
      </cdr:nvSpPr>
      <cdr:spPr>
        <a:xfrm xmlns:a="http://schemas.openxmlformats.org/drawingml/2006/main">
          <a:off x="8038886" y="1170088"/>
          <a:ext cx="1068828" cy="4536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 i="0">
              <a:latin typeface="Marianne Light" panose="02000000000000000000" pitchFamily="50" charset="0"/>
            </a:rPr>
            <a:t>+500%</a:t>
          </a:r>
        </a:p>
      </cdr:txBody>
    </cdr:sp>
  </cdr:relSizeAnchor>
  <cdr:relSizeAnchor xmlns:cdr="http://schemas.openxmlformats.org/drawingml/2006/chartDrawing">
    <cdr:from>
      <cdr:x>0.78711</cdr:x>
      <cdr:y>0.67216</cdr:y>
    </cdr:from>
    <cdr:to>
      <cdr:x>0.88477</cdr:x>
      <cdr:y>0.73503</cdr:y>
    </cdr:to>
    <cdr:sp macro="" textlink="">
      <cdr:nvSpPr>
        <cdr:cNvPr id="5" name="ZoneTexte 4"/>
        <cdr:cNvSpPr txBox="1"/>
      </cdr:nvSpPr>
      <cdr:spPr>
        <a:xfrm xmlns:a="http://schemas.openxmlformats.org/drawingml/2006/main">
          <a:off x="7311571" y="4073072"/>
          <a:ext cx="907143" cy="381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>
              <a:latin typeface="Marianne Light" panose="02000000000000000000" pitchFamily="50" charset="0"/>
            </a:rPr>
            <a:t>-42%</a:t>
          </a: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4-08_17-59-18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3859138.9210000001</v>
          </cell>
          <cell r="C2">
            <v>3908385.1749999998</v>
          </cell>
          <cell r="D2">
            <v>3962581.04</v>
          </cell>
          <cell r="E2">
            <v>4020437.2089999998</v>
          </cell>
          <cell r="F2">
            <v>4081700.26</v>
          </cell>
          <cell r="G2">
            <v>4146088.4679999999</v>
          </cell>
          <cell r="H2">
            <v>4210651.1859999998</v>
          </cell>
          <cell r="I2">
            <v>4276896.6370000001</v>
          </cell>
          <cell r="J2">
            <v>4344808.807</v>
          </cell>
          <cell r="K2">
            <v>4414294.5020000003</v>
          </cell>
          <cell r="L2">
            <v>4489925.7390000001</v>
          </cell>
          <cell r="M2">
            <v>4563771.1409999998</v>
          </cell>
          <cell r="N2">
            <v>4638470.2489999998</v>
          </cell>
          <cell r="O2">
            <v>4714109.6440000003</v>
          </cell>
          <cell r="P2">
            <v>4790691.2189999996</v>
          </cell>
          <cell r="Q2">
            <v>4868219.1059999997</v>
          </cell>
          <cell r="R2">
            <v>4946706.5369999995</v>
          </cell>
          <cell r="S2">
            <v>5026195.4419999998</v>
          </cell>
          <cell r="T2">
            <v>5106727.0820000004</v>
          </cell>
          <cell r="U2">
            <v>5188345.2819999997</v>
          </cell>
          <cell r="V2">
            <v>5267596.108</v>
          </cell>
          <cell r="W2">
            <v>5350366.4519999996</v>
          </cell>
          <cell r="X2">
            <v>5434670.7869999995</v>
          </cell>
          <cell r="Y2">
            <v>5520429.443</v>
          </cell>
          <cell r="Z2">
            <v>5607634.6370000001</v>
          </cell>
          <cell r="AA2">
            <v>5686145.1179999998</v>
          </cell>
          <cell r="AB2">
            <v>5768084.2039999999</v>
          </cell>
          <cell r="AC2">
            <v>5850750.4929999998</v>
          </cell>
          <cell r="AD2">
            <v>5934234.9349999996</v>
          </cell>
          <cell r="AE2">
            <v>6018693.4189999998</v>
          </cell>
          <cell r="AF2">
            <v>6104262.8779999996</v>
          </cell>
          <cell r="AG2">
            <v>6191045.3030000003</v>
          </cell>
          <cell r="AH2">
            <v>6279101.3300000001</v>
          </cell>
          <cell r="AI2">
            <v>6368464.1969999997</v>
          </cell>
          <cell r="AJ2">
            <v>6459145.7510000002</v>
          </cell>
          <cell r="AK2">
            <v>6551144.3289999999</v>
          </cell>
          <cell r="AL2">
            <v>6641999.2970000003</v>
          </cell>
          <cell r="AM2">
            <v>6733306.5120000001</v>
          </cell>
          <cell r="AN2">
            <v>6825279.3109999998</v>
          </cell>
          <cell r="AO2">
            <v>6918055.4620000003</v>
          </cell>
          <cell r="AP2">
            <v>7011748.3399999999</v>
          </cell>
          <cell r="AQ2">
            <v>7106457.9069999997</v>
          </cell>
          <cell r="AR2">
            <v>7202258.9270000001</v>
          </cell>
          <cell r="AS2">
            <v>7299212.6189999999</v>
          </cell>
          <cell r="AT2">
            <v>7397364.5109999999</v>
          </cell>
          <cell r="AU2">
            <v>7496747.4630000005</v>
          </cell>
          <cell r="AV2">
            <v>7598157.233</v>
          </cell>
          <cell r="AW2">
            <v>7701580.5820000004</v>
          </cell>
          <cell r="AX2">
            <v>7806936.1749999998</v>
          </cell>
          <cell r="AY2">
            <v>7914074.9560000002</v>
          </cell>
          <cell r="AZ2">
            <v>8022864.8059999999</v>
          </cell>
          <cell r="BA2">
            <v>8694272.4759999998</v>
          </cell>
          <cell r="BB2">
            <v>8840634.7420000006</v>
          </cell>
          <cell r="BC2">
            <v>8989308.7599999998</v>
          </cell>
          <cell r="BD2">
            <v>9140327.6300000008</v>
          </cell>
          <cell r="BE2">
            <v>9293727.1170000006</v>
          </cell>
        </row>
        <row r="3">
          <cell r="B3">
            <v>3859456.267</v>
          </cell>
          <cell r="C3">
            <v>3908928.0649999999</v>
          </cell>
          <cell r="D3">
            <v>3963318.7030000002</v>
          </cell>
          <cell r="E3">
            <v>4021348.8029999998</v>
          </cell>
          <cell r="F3">
            <v>4082802.6409999998</v>
          </cell>
          <cell r="G3">
            <v>4147429.432</v>
          </cell>
          <cell r="H3">
            <v>4212284.6210000003</v>
          </cell>
          <cell r="I3">
            <v>4278870.5190000003</v>
          </cell>
          <cell r="J3">
            <v>4347161.068</v>
          </cell>
          <cell r="K3">
            <v>4417052.6169999996</v>
          </cell>
          <cell r="L3">
            <v>4493113.216</v>
          </cell>
          <cell r="M3">
            <v>4567405.3509999998</v>
          </cell>
          <cell r="N3">
            <v>4642562.1449999996</v>
          </cell>
          <cell r="O3">
            <v>4718670.5710000005</v>
          </cell>
          <cell r="P3">
            <v>4795733.801</v>
          </cell>
          <cell r="Q3">
            <v>4873757.1370000001</v>
          </cell>
          <cell r="R3">
            <v>4952762.1500000004</v>
          </cell>
          <cell r="S3">
            <v>5032783.9079999998</v>
          </cell>
          <cell r="T3">
            <v>5113865.108</v>
          </cell>
          <cell r="U3">
            <v>5196051.0209999997</v>
          </cell>
          <cell r="V3">
            <v>5275882.074</v>
          </cell>
          <cell r="W3">
            <v>5359258.1229999997</v>
          </cell>
          <cell r="X3">
            <v>5444189.75</v>
          </cell>
          <cell r="Y3">
            <v>5530597.3739999998</v>
          </cell>
          <cell r="Z3">
            <v>5618473.3449999997</v>
          </cell>
          <cell r="AA3">
            <v>5697650.6770000001</v>
          </cell>
          <cell r="AB3">
            <v>5780281.4270000001</v>
          </cell>
          <cell r="AC3">
            <v>5863659.8449999997</v>
          </cell>
          <cell r="AD3">
            <v>5947875.9910000004</v>
          </cell>
          <cell r="AE3">
            <v>6033085.0499999998</v>
          </cell>
          <cell r="AF3">
            <v>6119423.5379999997</v>
          </cell>
          <cell r="AG3">
            <v>6206990.9850000003</v>
          </cell>
          <cell r="AH3">
            <v>6295850.3700000001</v>
          </cell>
          <cell r="AI3">
            <v>6386034.9119999995</v>
          </cell>
          <cell r="AJ3">
            <v>6477556.5290000001</v>
          </cell>
          <cell r="AK3">
            <v>6570413.767</v>
          </cell>
          <cell r="AL3">
            <v>6662114.4179999996</v>
          </cell>
          <cell r="AM3">
            <v>6754283.1739999996</v>
          </cell>
          <cell r="AN3">
            <v>6847129.4330000002</v>
          </cell>
          <cell r="AO3">
            <v>6940786.6100000003</v>
          </cell>
          <cell r="AP3">
            <v>7035366.0559999999</v>
          </cell>
          <cell r="AQ3">
            <v>7131338.1490000002</v>
          </cell>
          <cell r="AR3">
            <v>7228873.0990000004</v>
          </cell>
          <cell r="AS3">
            <v>7327984.6890000002</v>
          </cell>
          <cell r="AT3">
            <v>7428619.0800000001</v>
          </cell>
          <cell r="AU3">
            <v>7530716.5190000003</v>
          </cell>
          <cell r="AV3">
            <v>7634464.5250000004</v>
          </cell>
          <cell r="AW3">
            <v>7739698.1279999996</v>
          </cell>
          <cell r="AX3">
            <v>7846399.6730000004</v>
          </cell>
          <cell r="AY3">
            <v>7954568.7819999997</v>
          </cell>
          <cell r="AZ3">
            <v>8064211.7139999997</v>
          </cell>
          <cell r="BA3">
            <v>8712181.8599999994</v>
          </cell>
          <cell r="BB3">
            <v>8859098.2300000004</v>
          </cell>
          <cell r="BC3">
            <v>9008308.0109999999</v>
          </cell>
          <cell r="BD3">
            <v>9159849.0710000005</v>
          </cell>
          <cell r="BE3">
            <v>9313761.7990000006</v>
          </cell>
        </row>
        <row r="4">
          <cell r="B4">
            <v>81753.842470000003</v>
          </cell>
          <cell r="C4">
            <v>82578.063840000003</v>
          </cell>
          <cell r="D4">
            <v>83450.473800000007</v>
          </cell>
          <cell r="E4">
            <v>84348.490590000001</v>
          </cell>
          <cell r="F4">
            <v>85287.3174</v>
          </cell>
          <cell r="G4">
            <v>86272.667360000007</v>
          </cell>
          <cell r="H4">
            <v>87230.646940000006</v>
          </cell>
          <cell r="I4">
            <v>88223.443599999999</v>
          </cell>
          <cell r="J4">
            <v>89250.660300000003</v>
          </cell>
          <cell r="K4">
            <v>90309.645699999994</v>
          </cell>
          <cell r="L4">
            <v>91523.209419999999</v>
          </cell>
          <cell r="M4">
            <v>92645.568849999996</v>
          </cell>
          <cell r="N4">
            <v>93783.049490000005</v>
          </cell>
          <cell r="O4">
            <v>94934.812449999998</v>
          </cell>
          <cell r="P4">
            <v>96099.282999999996</v>
          </cell>
          <cell r="Q4">
            <v>97275.057220000002</v>
          </cell>
          <cell r="R4">
            <v>98455.678599999999</v>
          </cell>
          <cell r="S4">
            <v>99646.441609999994</v>
          </cell>
          <cell r="T4">
            <v>100847.3581</v>
          </cell>
          <cell r="U4">
            <v>102058.88959999999</v>
          </cell>
          <cell r="V4">
            <v>103190.4034</v>
          </cell>
          <cell r="W4">
            <v>104415.18429999999</v>
          </cell>
          <cell r="X4">
            <v>105657.7626</v>
          </cell>
          <cell r="Y4">
            <v>106917.8827</v>
          </cell>
          <cell r="Z4">
            <v>108196.16800000001</v>
          </cell>
          <cell r="AA4">
            <v>109232.72809999999</v>
          </cell>
          <cell r="AB4">
            <v>110398.9561</v>
          </cell>
          <cell r="AC4">
            <v>111581.0929</v>
          </cell>
          <cell r="AD4">
            <v>112780.65640000001</v>
          </cell>
          <cell r="AE4">
            <v>113999.3477</v>
          </cell>
          <cell r="AF4">
            <v>115238.6048</v>
          </cell>
          <cell r="AG4">
            <v>116501.0984</v>
          </cell>
          <cell r="AH4">
            <v>117785.8268</v>
          </cell>
          <cell r="AI4">
            <v>119093.13770000001</v>
          </cell>
          <cell r="AJ4">
            <v>120423.0986</v>
          </cell>
          <cell r="AK4">
            <v>121775.57</v>
          </cell>
          <cell r="AL4">
            <v>123104.0019</v>
          </cell>
          <cell r="AM4">
            <v>124446.3077</v>
          </cell>
          <cell r="AN4">
            <v>125804.8508</v>
          </cell>
          <cell r="AO4">
            <v>127181.024</v>
          </cell>
          <cell r="AP4">
            <v>128575.76880000001</v>
          </cell>
          <cell r="AQ4">
            <v>129992.3417</v>
          </cell>
          <cell r="AR4">
            <v>131428.58960000001</v>
          </cell>
          <cell r="AS4">
            <v>132884.90530000001</v>
          </cell>
          <cell r="AT4">
            <v>134361.5613</v>
          </cell>
          <cell r="AU4">
            <v>135858.73920000001</v>
          </cell>
          <cell r="AV4">
            <v>137472.96650000001</v>
          </cell>
          <cell r="AW4">
            <v>139175.8107</v>
          </cell>
          <cell r="AX4">
            <v>140953.45360000001</v>
          </cell>
          <cell r="AY4">
            <v>142794.71729999999</v>
          </cell>
          <cell r="AZ4">
            <v>144691.4773</v>
          </cell>
          <cell r="BA4">
            <v>179121.29980000001</v>
          </cell>
          <cell r="BB4">
            <v>182052.38750000001</v>
          </cell>
          <cell r="BC4">
            <v>185032.44380000001</v>
          </cell>
          <cell r="BD4">
            <v>188062.4975</v>
          </cell>
          <cell r="BE4">
            <v>191143.62390000001</v>
          </cell>
        </row>
        <row r="5">
          <cell r="B5">
            <v>81940.970149999994</v>
          </cell>
          <cell r="C5">
            <v>82817.040940000006</v>
          </cell>
          <cell r="D5">
            <v>83744.340030000007</v>
          </cell>
          <cell r="E5">
            <v>84700.458759999994</v>
          </cell>
          <cell r="F5">
            <v>85700.952290000001</v>
          </cell>
          <cell r="G5">
            <v>86751.725309999994</v>
          </cell>
          <cell r="H5">
            <v>87779.337480000002</v>
          </cell>
          <cell r="I5">
            <v>88844.965200000006</v>
          </cell>
          <cell r="J5">
            <v>89947.921489999993</v>
          </cell>
          <cell r="K5">
            <v>91085.260630000004</v>
          </cell>
          <cell r="L5">
            <v>92380.890079999997</v>
          </cell>
          <cell r="M5">
            <v>93591.15105</v>
          </cell>
          <cell r="N5">
            <v>94818.338879999996</v>
          </cell>
          <cell r="O5">
            <v>96061.578020000001</v>
          </cell>
          <cell r="P5">
            <v>97319.298219999997</v>
          </cell>
          <cell r="Q5">
            <v>98590.130600000004</v>
          </cell>
          <cell r="R5">
            <v>99873.216199999995</v>
          </cell>
          <cell r="S5">
            <v>101168.2723</v>
          </cell>
          <cell r="T5">
            <v>102475.5527</v>
          </cell>
          <cell r="U5">
            <v>103795.7632</v>
          </cell>
          <cell r="V5">
            <v>105036.62579999999</v>
          </cell>
          <cell r="W5">
            <v>106375.0573</v>
          </cell>
          <cell r="X5">
            <v>107734.238</v>
          </cell>
          <cell r="Y5">
            <v>109114.09209999999</v>
          </cell>
          <cell r="Z5">
            <v>110515.3936</v>
          </cell>
          <cell r="AA5">
            <v>111671.6948</v>
          </cell>
          <cell r="AB5">
            <v>112961.00509999999</v>
          </cell>
          <cell r="AC5">
            <v>114269.57610000001</v>
          </cell>
          <cell r="AD5">
            <v>115598.92449999999</v>
          </cell>
          <cell r="AE5">
            <v>116950.74950000001</v>
          </cell>
          <cell r="AF5">
            <v>118326.4918</v>
          </cell>
          <cell r="AG5">
            <v>119727.2115</v>
          </cell>
          <cell r="AH5">
            <v>121153.5851</v>
          </cell>
          <cell r="AI5">
            <v>122605.95570000001</v>
          </cell>
          <cell r="AJ5">
            <v>124084.40330000001</v>
          </cell>
          <cell r="AK5">
            <v>125588.8196</v>
          </cell>
          <cell r="AL5">
            <v>127055.21090000001</v>
          </cell>
          <cell r="AM5">
            <v>128539.26669999999</v>
          </cell>
          <cell r="AN5">
            <v>130043.04210000001</v>
          </cell>
          <cell r="AO5">
            <v>131567.7066</v>
          </cell>
          <cell r="AP5">
            <v>133114.09539999999</v>
          </cell>
          <cell r="AQ5">
            <v>134744.07550000001</v>
          </cell>
          <cell r="AR5">
            <v>136445.61170000001</v>
          </cell>
          <cell r="AS5">
            <v>138208.1918</v>
          </cell>
          <cell r="AT5">
            <v>140023.75520000001</v>
          </cell>
          <cell r="AU5">
            <v>141886.6783</v>
          </cell>
          <cell r="AV5">
            <v>143799.08350000001</v>
          </cell>
          <cell r="AW5">
            <v>145753.79459999999</v>
          </cell>
          <cell r="AX5">
            <v>147749.50030000001</v>
          </cell>
          <cell r="AY5">
            <v>149785.60709999999</v>
          </cell>
          <cell r="AZ5">
            <v>151861.94200000001</v>
          </cell>
          <cell r="BA5">
            <v>179820.1868</v>
          </cell>
          <cell r="BB5">
            <v>182786.1537</v>
          </cell>
          <cell r="BC5">
            <v>185801.83230000001</v>
          </cell>
          <cell r="BD5">
            <v>188868.416</v>
          </cell>
          <cell r="BE5">
            <v>191987.14980000001</v>
          </cell>
        </row>
        <row r="6">
          <cell r="B6">
            <v>6554.3854879999999</v>
          </cell>
          <cell r="C6">
            <v>6512.5700020000004</v>
          </cell>
          <cell r="D6">
            <v>6474.0107150000003</v>
          </cell>
          <cell r="E6">
            <v>6447.3118320000003</v>
          </cell>
          <cell r="F6">
            <v>6431.6713989999998</v>
          </cell>
          <cell r="G6">
            <v>6425.0660770000004</v>
          </cell>
          <cell r="H6">
            <v>6422.2390180000002</v>
          </cell>
          <cell r="I6">
            <v>6422.8209649999999</v>
          </cell>
          <cell r="J6">
            <v>6425.9917420000002</v>
          </cell>
          <cell r="K6">
            <v>6431.1939890000003</v>
          </cell>
          <cell r="L6">
            <v>6442.8048959999996</v>
          </cell>
          <cell r="M6">
            <v>6452.8074159999996</v>
          </cell>
          <cell r="N6">
            <v>6463.206486</v>
          </cell>
          <cell r="O6">
            <v>6474.4481619999997</v>
          </cell>
          <cell r="P6">
            <v>6486.6946049999997</v>
          </cell>
          <cell r="Q6">
            <v>6499.9733029999998</v>
          </cell>
          <cell r="R6">
            <v>6514.2611939999997</v>
          </cell>
          <cell r="S6">
            <v>6529.4177440000003</v>
          </cell>
          <cell r="T6">
            <v>6545.4279230000002</v>
          </cell>
          <cell r="U6">
            <v>6562.2914739999997</v>
          </cell>
          <cell r="V6">
            <v>6576.7221300000001</v>
          </cell>
          <cell r="W6">
            <v>6594.1822819999998</v>
          </cell>
          <cell r="X6">
            <v>6613.0870510000004</v>
          </cell>
          <cell r="Y6">
            <v>6633.077475</v>
          </cell>
          <cell r="Z6">
            <v>6653.9944569999998</v>
          </cell>
          <cell r="AA6">
            <v>6666.558188</v>
          </cell>
          <cell r="AB6">
            <v>6681.7364550000002</v>
          </cell>
          <cell r="AC6">
            <v>6697.9604239999999</v>
          </cell>
          <cell r="AD6">
            <v>6715.0275080000001</v>
          </cell>
          <cell r="AE6">
            <v>6732.8486629999998</v>
          </cell>
          <cell r="AF6">
            <v>6751.3857429999998</v>
          </cell>
          <cell r="AG6">
            <v>6770.6165190000002</v>
          </cell>
          <cell r="AH6">
            <v>6790.5625280000004</v>
          </cell>
          <cell r="AI6">
            <v>6811.2111699999996</v>
          </cell>
          <cell r="AJ6">
            <v>6832.5465549999999</v>
          </cell>
          <cell r="AK6">
            <v>6854.5540330000003</v>
          </cell>
          <cell r="AL6">
            <v>6875.0572819999998</v>
          </cell>
          <cell r="AM6">
            <v>6895.7245499999999</v>
          </cell>
          <cell r="AN6">
            <v>6916.8499179999999</v>
          </cell>
          <cell r="AO6">
            <v>6938.4978929999997</v>
          </cell>
          <cell r="AP6">
            <v>6960.6766189999998</v>
          </cell>
          <cell r="AQ6">
            <v>6983.3730320000004</v>
          </cell>
          <cell r="AR6">
            <v>7006.6403140000002</v>
          </cell>
          <cell r="AS6">
            <v>7030.4765930000003</v>
          </cell>
          <cell r="AT6">
            <v>7054.8760389999998</v>
          </cell>
          <cell r="AU6">
            <v>7079.8354259999996</v>
          </cell>
          <cell r="AV6">
            <v>7105.3896379999996</v>
          </cell>
          <cell r="AW6">
            <v>7131.6989649999996</v>
          </cell>
          <cell r="AX6">
            <v>7158.8087820000001</v>
          </cell>
          <cell r="AY6">
            <v>7186.726514</v>
          </cell>
          <cell r="AZ6">
            <v>7215.4452869999996</v>
          </cell>
          <cell r="BA6">
            <v>7275.9010410000001</v>
          </cell>
          <cell r="BB6">
            <v>7319.939942</v>
          </cell>
          <cell r="BC6">
            <v>7365.0971440000003</v>
          </cell>
          <cell r="BD6">
            <v>7411.357497</v>
          </cell>
          <cell r="BE6">
            <v>7458.7240760000004</v>
          </cell>
        </row>
        <row r="7">
          <cell r="B7">
            <v>6537.1016440000003</v>
          </cell>
          <cell r="C7">
            <v>6520.7599989999999</v>
          </cell>
          <cell r="D7">
            <v>6493.7553539999999</v>
          </cell>
          <cell r="E7">
            <v>6467.4283059999998</v>
          </cell>
          <cell r="F7">
            <v>6445.4241240000001</v>
          </cell>
          <cell r="G7">
            <v>6427.8877629999997</v>
          </cell>
          <cell r="H7">
            <v>6411.6665800000001</v>
          </cell>
          <cell r="I7">
            <v>6398.1537369999996</v>
          </cell>
          <cell r="J7">
            <v>6387.4366980000004</v>
          </cell>
          <cell r="K7">
            <v>6379.3091050000003</v>
          </cell>
          <cell r="L7">
            <v>6378.1850619999996</v>
          </cell>
          <cell r="M7">
            <v>6375.8722610000004</v>
          </cell>
          <cell r="N7">
            <v>6374.2640350000001</v>
          </cell>
          <cell r="O7">
            <v>6373.5912129999997</v>
          </cell>
          <cell r="P7">
            <v>6373.8884550000002</v>
          </cell>
          <cell r="Q7">
            <v>6375.217412</v>
          </cell>
          <cell r="R7">
            <v>6377.6427000000003</v>
          </cell>
          <cell r="S7">
            <v>6381.2042289999999</v>
          </cell>
          <cell r="T7">
            <v>6385.9112439999999</v>
          </cell>
          <cell r="U7">
            <v>6391.7493960000002</v>
          </cell>
          <cell r="V7">
            <v>6395.3943239999999</v>
          </cell>
          <cell r="W7">
            <v>6402.3053049999999</v>
          </cell>
          <cell r="X7">
            <v>6410.8634480000001</v>
          </cell>
          <cell r="Y7">
            <v>6420.6987499999996</v>
          </cell>
          <cell r="Z7">
            <v>6431.6522340000001</v>
          </cell>
          <cell r="AA7">
            <v>6434.4058809999997</v>
          </cell>
          <cell r="AB7">
            <v>6439.9938279999997</v>
          </cell>
          <cell r="AC7">
            <v>6446.7811920000004</v>
          </cell>
          <cell r="AD7">
            <v>6454.5870640000003</v>
          </cell>
          <cell r="AE7">
            <v>6463.3543790000003</v>
          </cell>
          <cell r="AF7">
            <v>6473.0738289999999</v>
          </cell>
          <cell r="AG7">
            <v>6483.7533670000003</v>
          </cell>
          <cell r="AH7">
            <v>6495.4051650000001</v>
          </cell>
          <cell r="AI7">
            <v>6508.0402139999997</v>
          </cell>
          <cell r="AJ7">
            <v>6521.6667299999999</v>
          </cell>
          <cell r="AK7">
            <v>6536.2905810000002</v>
          </cell>
          <cell r="AL7">
            <v>6549.8140329999997</v>
          </cell>
          <cell r="AM7">
            <v>6563.6543030000003</v>
          </cell>
          <cell r="AN7">
            <v>6579.7272229999999</v>
          </cell>
          <cell r="AO7">
            <v>6599.2111800000002</v>
          </cell>
          <cell r="AP7">
            <v>6622.1763190000001</v>
          </cell>
          <cell r="AQ7">
            <v>6647.9640200000003</v>
          </cell>
          <cell r="AR7">
            <v>6675.4416609999998</v>
          </cell>
          <cell r="AS7">
            <v>6703.7351939999999</v>
          </cell>
          <cell r="AT7">
            <v>6732.4493359999997</v>
          </cell>
          <cell r="AU7">
            <v>6761.5424839999996</v>
          </cell>
          <cell r="AV7">
            <v>6791.3113970000004</v>
          </cell>
          <cell r="AW7">
            <v>6821.7746649999999</v>
          </cell>
          <cell r="AX7">
            <v>6853.0093960000004</v>
          </cell>
          <cell r="AY7">
            <v>6885.0666659999997</v>
          </cell>
          <cell r="AZ7">
            <v>6917.9699579999997</v>
          </cell>
          <cell r="BA7">
            <v>7529.5319959999997</v>
          </cell>
          <cell r="BB7">
            <v>7579.4214339999999</v>
          </cell>
          <cell r="BC7">
            <v>7630.342662</v>
          </cell>
          <cell r="BD7">
            <v>7682.333181</v>
          </cell>
          <cell r="BE7">
            <v>7735.4170240000003</v>
          </cell>
        </row>
        <row r="8">
          <cell r="B8">
            <v>157877.87229999999</v>
          </cell>
          <cell r="C8">
            <v>159531.3946</v>
          </cell>
          <cell r="D8">
            <v>161394.55660000001</v>
          </cell>
          <cell r="E8">
            <v>163501.01689999999</v>
          </cell>
          <cell r="F8">
            <v>165864.62040000001</v>
          </cell>
          <cell r="G8">
            <v>168476.48980000001</v>
          </cell>
          <cell r="H8">
            <v>171220.30669999999</v>
          </cell>
          <cell r="I8">
            <v>174119.78260000001</v>
          </cell>
          <cell r="J8">
            <v>177156.39629999999</v>
          </cell>
          <cell r="K8">
            <v>180309.69450000001</v>
          </cell>
          <cell r="L8">
            <v>183730.59770000001</v>
          </cell>
          <cell r="M8">
            <v>187144.65220000001</v>
          </cell>
          <cell r="N8">
            <v>190607.2139</v>
          </cell>
          <cell r="O8">
            <v>194108.2795</v>
          </cell>
          <cell r="P8">
            <v>197638.4958</v>
          </cell>
          <cell r="Q8">
            <v>201192.09510000001</v>
          </cell>
          <cell r="R8">
            <v>204767.54730000001</v>
          </cell>
          <cell r="S8">
            <v>208364.9129</v>
          </cell>
          <cell r="T8">
            <v>211986.05040000001</v>
          </cell>
          <cell r="U8">
            <v>215633.9932</v>
          </cell>
          <cell r="V8">
            <v>219182.91039999999</v>
          </cell>
          <cell r="W8">
            <v>222833.16810000001</v>
          </cell>
          <cell r="X8">
            <v>226535.67370000001</v>
          </cell>
          <cell r="Y8">
            <v>230292.6905</v>
          </cell>
          <cell r="Z8">
            <v>234107.79889999999</v>
          </cell>
          <cell r="AA8">
            <v>237605.70209999999</v>
          </cell>
          <cell r="AB8">
            <v>241180.31219999999</v>
          </cell>
          <cell r="AC8">
            <v>244767.3181</v>
          </cell>
          <cell r="AD8">
            <v>248379.20869999999</v>
          </cell>
          <cell r="AE8">
            <v>252030.1525</v>
          </cell>
          <cell r="AF8">
            <v>255731.9443</v>
          </cell>
          <cell r="AG8">
            <v>259492.9535</v>
          </cell>
          <cell r="AH8">
            <v>263318.85220000002</v>
          </cell>
          <cell r="AI8">
            <v>267212.8921</v>
          </cell>
          <cell r="AJ8">
            <v>271176.5429</v>
          </cell>
          <cell r="AK8">
            <v>275210.07980000001</v>
          </cell>
          <cell r="AL8">
            <v>279217.82740000001</v>
          </cell>
          <cell r="AM8">
            <v>283246.81359999999</v>
          </cell>
          <cell r="AN8">
            <v>287306.29310000001</v>
          </cell>
          <cell r="AO8">
            <v>291404.20449999999</v>
          </cell>
          <cell r="AP8">
            <v>295548.15889999998</v>
          </cell>
          <cell r="AQ8">
            <v>299744.68699999998</v>
          </cell>
          <cell r="AR8">
            <v>303999.6629</v>
          </cell>
          <cell r="AS8">
            <v>308317.71039999998</v>
          </cell>
          <cell r="AT8">
            <v>312702.25530000002</v>
          </cell>
          <cell r="AU8">
            <v>317155.69630000001</v>
          </cell>
          <cell r="AV8">
            <v>321761.37599999999</v>
          </cell>
          <cell r="AW8">
            <v>326545.3052</v>
          </cell>
          <cell r="AX8">
            <v>331502.22330000001</v>
          </cell>
          <cell r="AY8">
            <v>336611.74949999998</v>
          </cell>
          <cell r="AZ8">
            <v>341851.34360000002</v>
          </cell>
          <cell r="BA8">
            <v>350298.37439999997</v>
          </cell>
          <cell r="BB8">
            <v>355986.72869999998</v>
          </cell>
          <cell r="BC8">
            <v>361766.7818</v>
          </cell>
          <cell r="BD8">
            <v>367640.6189</v>
          </cell>
          <cell r="BE8">
            <v>373610.44949999999</v>
          </cell>
        </row>
        <row r="9">
          <cell r="B9">
            <v>157855.709</v>
          </cell>
          <cell r="C9">
            <v>159494.32759999999</v>
          </cell>
          <cell r="D9">
            <v>161340.56140000001</v>
          </cell>
          <cell r="E9">
            <v>163433.38430000001</v>
          </cell>
          <cell r="F9">
            <v>165790.80720000001</v>
          </cell>
          <cell r="G9">
            <v>168406.35990000001</v>
          </cell>
          <cell r="H9">
            <v>171162.2335</v>
          </cell>
          <cell r="I9">
            <v>174080.226</v>
          </cell>
          <cell r="J9">
            <v>177139.96230000001</v>
          </cell>
          <cell r="K9">
            <v>180319.38260000001</v>
          </cell>
          <cell r="L9">
            <v>183768.11470000001</v>
          </cell>
          <cell r="M9">
            <v>187210.14670000001</v>
          </cell>
          <cell r="N9">
            <v>190700.4736</v>
          </cell>
          <cell r="O9">
            <v>194229.0398</v>
          </cell>
          <cell r="P9">
            <v>197786.57769999999</v>
          </cell>
          <cell r="Q9">
            <v>201367.3959</v>
          </cell>
          <cell r="R9">
            <v>204969.2678</v>
          </cell>
          <cell r="S9">
            <v>208592.65960000001</v>
          </cell>
          <cell r="T9">
            <v>212239.91459999999</v>
          </cell>
          <cell r="U9">
            <v>215914.56849999999</v>
          </cell>
          <cell r="V9">
            <v>219491.11989999999</v>
          </cell>
          <cell r="W9">
            <v>223170.5226</v>
          </cell>
          <cell r="X9">
            <v>226903.8652</v>
          </cell>
          <cell r="Y9">
            <v>230693.57010000001</v>
          </cell>
          <cell r="Z9">
            <v>234543.3045</v>
          </cell>
          <cell r="AA9">
            <v>238077.2292</v>
          </cell>
          <cell r="AB9">
            <v>241690.29980000001</v>
          </cell>
          <cell r="AC9">
            <v>245317.82269999999</v>
          </cell>
          <cell r="AD9">
            <v>248972.02429999999</v>
          </cell>
          <cell r="AE9">
            <v>252666.8241</v>
          </cell>
          <cell r="AF9">
            <v>256413.81950000001</v>
          </cell>
          <cell r="AG9">
            <v>260221.46160000001</v>
          </cell>
          <cell r="AH9">
            <v>264095.25569999998</v>
          </cell>
          <cell r="AI9">
            <v>268038.3224</v>
          </cell>
          <cell r="AJ9">
            <v>272052.04210000002</v>
          </cell>
          <cell r="AK9">
            <v>276136.65139999997</v>
          </cell>
          <cell r="AL9">
            <v>280198.22570000001</v>
          </cell>
          <cell r="AM9">
            <v>284283.22889999999</v>
          </cell>
          <cell r="AN9">
            <v>288399.42700000003</v>
          </cell>
          <cell r="AO9">
            <v>292553.48710000003</v>
          </cell>
          <cell r="AP9">
            <v>296752.44679999998</v>
          </cell>
          <cell r="AQ9">
            <v>301053.853</v>
          </cell>
          <cell r="AR9">
            <v>305484.79550000001</v>
          </cell>
          <cell r="AS9">
            <v>310047.54889999999</v>
          </cell>
          <cell r="AT9">
            <v>314732.22159999999</v>
          </cell>
          <cell r="AU9">
            <v>319525.89299999998</v>
          </cell>
          <cell r="AV9">
            <v>324425.90649999998</v>
          </cell>
          <cell r="AW9">
            <v>329419.72029999999</v>
          </cell>
          <cell r="AX9">
            <v>334501.40710000001</v>
          </cell>
          <cell r="AY9">
            <v>339667.56920000003</v>
          </cell>
          <cell r="AZ9">
            <v>344916.47899999999</v>
          </cell>
          <cell r="BA9">
            <v>351018.65299999999</v>
          </cell>
          <cell r="BB9">
            <v>356745.55609999999</v>
          </cell>
          <cell r="BC9">
            <v>362565.28129999997</v>
          </cell>
          <cell r="BD9">
            <v>368480.17609999998</v>
          </cell>
          <cell r="BE9">
            <v>374492.70890000003</v>
          </cell>
        </row>
        <row r="10">
          <cell r="B10">
            <v>125921.13129999999</v>
          </cell>
          <cell r="C10">
            <v>128315.40609999999</v>
          </cell>
          <cell r="D10">
            <v>131009.0702</v>
          </cell>
          <cell r="E10">
            <v>133637.04790000001</v>
          </cell>
          <cell r="F10">
            <v>136130.8034</v>
          </cell>
          <cell r="G10">
            <v>138508.09359999999</v>
          </cell>
          <cell r="H10">
            <v>140689.29550000001</v>
          </cell>
          <cell r="I10">
            <v>142824.45360000001</v>
          </cell>
          <cell r="J10">
            <v>144949.4902</v>
          </cell>
          <cell r="K10">
            <v>147085.3382</v>
          </cell>
          <cell r="L10">
            <v>149455.4866</v>
          </cell>
          <cell r="M10">
            <v>151656.02770000001</v>
          </cell>
          <cell r="N10">
            <v>153872.97099999999</v>
          </cell>
          <cell r="O10">
            <v>156114.7512</v>
          </cell>
          <cell r="P10">
            <v>158384.9915</v>
          </cell>
          <cell r="Q10">
            <v>160685.8082</v>
          </cell>
          <cell r="R10">
            <v>163018.82639999999</v>
          </cell>
          <cell r="S10">
            <v>165385.55720000001</v>
          </cell>
          <cell r="T10">
            <v>167787.46599999999</v>
          </cell>
          <cell r="U10">
            <v>170225.9872</v>
          </cell>
          <cell r="V10">
            <v>172544.9313</v>
          </cell>
          <cell r="W10">
            <v>175050.02340000001</v>
          </cell>
          <cell r="X10">
            <v>177605.64360000001</v>
          </cell>
          <cell r="Y10">
            <v>180207.4682</v>
          </cell>
          <cell r="Z10">
            <v>182854.3817</v>
          </cell>
          <cell r="AA10">
            <v>185090.75510000001</v>
          </cell>
          <cell r="AB10">
            <v>187580.8921</v>
          </cell>
          <cell r="AC10">
            <v>190127.56599999999</v>
          </cell>
          <cell r="AD10">
            <v>192728.34880000001</v>
          </cell>
          <cell r="AE10">
            <v>195382.60320000001</v>
          </cell>
          <cell r="AF10">
            <v>198089.76240000001</v>
          </cell>
          <cell r="AG10">
            <v>200849.04269999999</v>
          </cell>
          <cell r="AH10">
            <v>203659.4412</v>
          </cell>
          <cell r="AI10">
            <v>206519.83720000001</v>
          </cell>
          <cell r="AJ10">
            <v>209429.09669999999</v>
          </cell>
          <cell r="AK10">
            <v>212386.15400000001</v>
          </cell>
          <cell r="AL10">
            <v>215279.26</v>
          </cell>
          <cell r="AM10">
            <v>218209.8695</v>
          </cell>
          <cell r="AN10">
            <v>221183.96239999999</v>
          </cell>
          <cell r="AO10">
            <v>224203.87169999999</v>
          </cell>
          <cell r="AP10">
            <v>227270.42420000001</v>
          </cell>
          <cell r="AQ10">
            <v>230383.7071</v>
          </cell>
          <cell r="AR10">
            <v>233543.38440000001</v>
          </cell>
          <cell r="AS10">
            <v>236748.90530000001</v>
          </cell>
          <cell r="AT10">
            <v>239999.63149999999</v>
          </cell>
          <cell r="AU10">
            <v>243294.9198</v>
          </cell>
          <cell r="AV10">
            <v>246656.7292</v>
          </cell>
          <cell r="AW10">
            <v>250083.6605</v>
          </cell>
          <cell r="AX10">
            <v>253574.58069999999</v>
          </cell>
          <cell r="AY10">
            <v>257125.12640000001</v>
          </cell>
          <cell r="AZ10">
            <v>260730.73879999999</v>
          </cell>
          <cell r="BA10">
            <v>275411.86959999998</v>
          </cell>
          <cell r="BB10">
            <v>279995.66629999998</v>
          </cell>
          <cell r="BC10">
            <v>284667.75870000001</v>
          </cell>
          <cell r="BD10">
            <v>289429.39720000001</v>
          </cell>
          <cell r="BE10">
            <v>294281.80160000001</v>
          </cell>
        </row>
        <row r="11">
          <cell r="B11">
            <v>125925.7095</v>
          </cell>
          <cell r="C11">
            <v>128327.3852</v>
          </cell>
          <cell r="D11">
            <v>131027.2047</v>
          </cell>
          <cell r="E11">
            <v>133660.3333</v>
          </cell>
          <cell r="F11">
            <v>136159.4044</v>
          </cell>
          <cell r="G11">
            <v>138543.18909999999</v>
          </cell>
          <cell r="H11">
            <v>140732.45379999999</v>
          </cell>
          <cell r="I11">
            <v>142877.2402</v>
          </cell>
          <cell r="J11">
            <v>145013.22630000001</v>
          </cell>
          <cell r="K11">
            <v>147161.05239999999</v>
          </cell>
          <cell r="L11">
            <v>149544.09839999999</v>
          </cell>
          <cell r="M11">
            <v>151758.0417</v>
          </cell>
          <cell r="N11">
            <v>153988.87400000001</v>
          </cell>
          <cell r="O11">
            <v>156244.99249999999</v>
          </cell>
          <cell r="P11">
            <v>158530.0148</v>
          </cell>
          <cell r="Q11">
            <v>160846.05429999999</v>
          </cell>
          <cell r="R11">
            <v>163194.74660000001</v>
          </cell>
          <cell r="S11">
            <v>165577.5956</v>
          </cell>
          <cell r="T11">
            <v>167996.07610000001</v>
          </cell>
          <cell r="U11">
            <v>170451.6514</v>
          </cell>
          <cell r="V11">
            <v>172787.9313</v>
          </cell>
          <cell r="W11">
            <v>175311.12100000001</v>
          </cell>
          <cell r="X11">
            <v>177885.45619999999</v>
          </cell>
          <cell r="Y11">
            <v>180506.62880000001</v>
          </cell>
          <cell r="Z11">
            <v>183173.54500000001</v>
          </cell>
          <cell r="AA11">
            <v>185429.71470000001</v>
          </cell>
          <cell r="AB11">
            <v>187940.69519999999</v>
          </cell>
          <cell r="AC11">
            <v>190508.9755</v>
          </cell>
          <cell r="AD11">
            <v>193132.1329</v>
          </cell>
          <cell r="AE11">
            <v>195809.52170000001</v>
          </cell>
          <cell r="AF11">
            <v>198540.56760000001</v>
          </cell>
          <cell r="AG11">
            <v>201324.47700000001</v>
          </cell>
          <cell r="AH11">
            <v>204160.2487</v>
          </cell>
          <cell r="AI11">
            <v>207046.76439999999</v>
          </cell>
          <cell r="AJ11">
            <v>209982.89060000001</v>
          </cell>
          <cell r="AK11">
            <v>212967.5649</v>
          </cell>
          <cell r="AL11">
            <v>215888.6329</v>
          </cell>
          <cell r="AM11">
            <v>218847.8328</v>
          </cell>
          <cell r="AN11">
            <v>221851.13440000001</v>
          </cell>
          <cell r="AO11">
            <v>224900.80609999999</v>
          </cell>
          <cell r="AP11">
            <v>227997.62779999999</v>
          </cell>
          <cell r="AQ11">
            <v>231150.17259999999</v>
          </cell>
          <cell r="AR11">
            <v>234363.9768</v>
          </cell>
          <cell r="AS11">
            <v>237638.4241</v>
          </cell>
          <cell r="AT11">
            <v>240970.22870000001</v>
          </cell>
          <cell r="AU11">
            <v>244355.7403</v>
          </cell>
          <cell r="AV11">
            <v>247802.15280000001</v>
          </cell>
          <cell r="AW11">
            <v>251298.07279999999</v>
          </cell>
          <cell r="AX11">
            <v>254841.68969999999</v>
          </cell>
          <cell r="AY11">
            <v>258432.0618</v>
          </cell>
          <cell r="AZ11">
            <v>262068.682</v>
          </cell>
          <cell r="BA11">
            <v>276935.37959999999</v>
          </cell>
          <cell r="BB11">
            <v>281600.92109999998</v>
          </cell>
          <cell r="BC11">
            <v>286356.38660000003</v>
          </cell>
          <cell r="BD11">
            <v>291203.18199999997</v>
          </cell>
          <cell r="BE11">
            <v>296142.67499999999</v>
          </cell>
        </row>
        <row r="12">
          <cell r="B12">
            <v>22134.910390000001</v>
          </cell>
          <cell r="C12">
            <v>22414.432850000001</v>
          </cell>
          <cell r="D12">
            <v>22724.52521</v>
          </cell>
          <cell r="E12">
            <v>23059.580389999999</v>
          </cell>
          <cell r="F12">
            <v>23417.53068</v>
          </cell>
          <cell r="G12">
            <v>23796.265630000002</v>
          </cell>
          <cell r="H12">
            <v>24181.356370000001</v>
          </cell>
          <cell r="I12">
            <v>24577.986239999998</v>
          </cell>
          <cell r="J12">
            <v>24986.120279999999</v>
          </cell>
          <cell r="K12">
            <v>25405.39327</v>
          </cell>
          <cell r="L12">
            <v>25857.346870000001</v>
          </cell>
          <cell r="M12">
            <v>26307.466649999998</v>
          </cell>
          <cell r="N12">
            <v>26765.06709</v>
          </cell>
          <cell r="O12">
            <v>27230.700809999998</v>
          </cell>
          <cell r="P12">
            <v>27704.460299999999</v>
          </cell>
          <cell r="Q12">
            <v>28186.381069999999</v>
          </cell>
          <cell r="R12">
            <v>28676.548439999999</v>
          </cell>
          <cell r="S12">
            <v>29175.091090000002</v>
          </cell>
          <cell r="T12">
            <v>29682.182700000001</v>
          </cell>
          <cell r="U12">
            <v>30198.01282</v>
          </cell>
          <cell r="V12">
            <v>30706.267100000001</v>
          </cell>
          <cell r="W12">
            <v>31232.621879999999</v>
          </cell>
          <cell r="X12">
            <v>31770.025320000001</v>
          </cell>
          <cell r="Y12">
            <v>32317.962729999999</v>
          </cell>
          <cell r="Z12">
            <v>32876.273029999997</v>
          </cell>
          <cell r="AA12">
            <v>33396.8848</v>
          </cell>
          <cell r="AB12">
            <v>33930.864869999998</v>
          </cell>
          <cell r="AC12">
            <v>34469.316429999999</v>
          </cell>
          <cell r="AD12">
            <v>35012.585189999998</v>
          </cell>
          <cell r="AE12">
            <v>35561.259469999997</v>
          </cell>
          <cell r="AF12">
            <v>36115.847410000002</v>
          </cell>
          <cell r="AG12">
            <v>36676.68619</v>
          </cell>
          <cell r="AH12">
            <v>37243.930469999999</v>
          </cell>
          <cell r="AI12">
            <v>37817.567239999997</v>
          </cell>
          <cell r="AJ12">
            <v>38397.454839999999</v>
          </cell>
          <cell r="AK12">
            <v>38983.365250000003</v>
          </cell>
          <cell r="AL12">
            <v>39563.240259999999</v>
          </cell>
          <cell r="AM12">
            <v>40143.018600000003</v>
          </cell>
          <cell r="AN12">
            <v>40723.651839999999</v>
          </cell>
          <cell r="AO12">
            <v>41305.69902</v>
          </cell>
          <cell r="AP12">
            <v>41889.588089999997</v>
          </cell>
          <cell r="AQ12">
            <v>42475.675819999997</v>
          </cell>
          <cell r="AR12">
            <v>43064.264999999999</v>
          </cell>
          <cell r="AS12">
            <v>43655.599540000003</v>
          </cell>
          <cell r="AT12">
            <v>44249.873950000001</v>
          </cell>
          <cell r="AU12">
            <v>44847.245080000001</v>
          </cell>
          <cell r="AV12">
            <v>45451.538410000001</v>
          </cell>
          <cell r="AW12">
            <v>46064.121379999997</v>
          </cell>
          <cell r="AX12">
            <v>46685.327140000001</v>
          </cell>
          <cell r="AY12">
            <v>47314.630859999997</v>
          </cell>
          <cell r="AZ12">
            <v>47951.269410000001</v>
          </cell>
          <cell r="BA12">
            <v>52774.763420000003</v>
          </cell>
          <cell r="BB12">
            <v>53722.473180000001</v>
          </cell>
          <cell r="BC12">
            <v>54682.407440000003</v>
          </cell>
          <cell r="BD12">
            <v>55654.485569999997</v>
          </cell>
          <cell r="BE12">
            <v>56638.647239999998</v>
          </cell>
        </row>
        <row r="13">
          <cell r="B13">
            <v>22135.300899999998</v>
          </cell>
          <cell r="C13">
            <v>22416.170549999999</v>
          </cell>
          <cell r="D13">
            <v>22727.568350000001</v>
          </cell>
          <cell r="E13">
            <v>23063.780790000001</v>
          </cell>
          <cell r="F13">
            <v>23422.904999999999</v>
          </cell>
          <cell r="G13">
            <v>23803.042689999998</v>
          </cell>
          <cell r="H13">
            <v>24189.858850000001</v>
          </cell>
          <cell r="I13">
            <v>24588.5589</v>
          </cell>
          <cell r="J13">
            <v>24999.075369999999</v>
          </cell>
          <cell r="K13">
            <v>25420.98646</v>
          </cell>
          <cell r="L13">
            <v>25875.789809999998</v>
          </cell>
          <cell r="M13">
            <v>26328.89932</v>
          </cell>
          <cell r="N13">
            <v>26789.60742</v>
          </cell>
          <cell r="O13">
            <v>27258.450430000001</v>
          </cell>
          <cell r="P13">
            <v>27735.51323</v>
          </cell>
          <cell r="Q13">
            <v>28220.826550000002</v>
          </cell>
          <cell r="R13">
            <v>28714.466990000001</v>
          </cell>
          <cell r="S13">
            <v>29216.5694</v>
          </cell>
          <cell r="T13">
            <v>29727.309969999998</v>
          </cell>
          <cell r="U13">
            <v>30246.883000000002</v>
          </cell>
          <cell r="V13">
            <v>30758.953809999999</v>
          </cell>
          <cell r="W13">
            <v>31289.24408</v>
          </cell>
          <cell r="X13">
            <v>31830.697609999999</v>
          </cell>
          <cell r="Y13">
            <v>32382.802009999999</v>
          </cell>
          <cell r="Z13">
            <v>32945.397680000002</v>
          </cell>
          <cell r="AA13">
            <v>33470.313479999997</v>
          </cell>
          <cell r="AB13">
            <v>34008.71905</v>
          </cell>
          <cell r="AC13">
            <v>34551.697769999999</v>
          </cell>
          <cell r="AD13">
            <v>35099.591099999998</v>
          </cell>
          <cell r="AE13">
            <v>35652.980530000001</v>
          </cell>
          <cell r="AF13">
            <v>36212.366779999997</v>
          </cell>
          <cell r="AG13">
            <v>36778.080950000003</v>
          </cell>
          <cell r="AH13">
            <v>37350.268949999998</v>
          </cell>
          <cell r="AI13">
            <v>37928.911229999998</v>
          </cell>
          <cell r="AJ13">
            <v>38513.860030000003</v>
          </cell>
          <cell r="AK13">
            <v>39104.8819</v>
          </cell>
          <cell r="AL13">
            <v>39689.882120000002</v>
          </cell>
          <cell r="AM13">
            <v>40274.787120000001</v>
          </cell>
          <cell r="AN13">
            <v>40860.518179999999</v>
          </cell>
          <cell r="AO13">
            <v>41447.601060000001</v>
          </cell>
          <cell r="AP13">
            <v>42036.443010000003</v>
          </cell>
          <cell r="AQ13">
            <v>42629.189810000003</v>
          </cell>
          <cell r="AR13">
            <v>43227.413820000002</v>
          </cell>
          <cell r="AS13">
            <v>43831.62141</v>
          </cell>
          <cell r="AT13">
            <v>44441.626660000002</v>
          </cell>
          <cell r="AU13">
            <v>45056.990510000003</v>
          </cell>
          <cell r="AV13">
            <v>45678.384019999998</v>
          </cell>
          <cell r="AW13">
            <v>46304.963250000001</v>
          </cell>
          <cell r="AX13">
            <v>46936.497159999999</v>
          </cell>
          <cell r="AY13">
            <v>47572.913159999996</v>
          </cell>
          <cell r="AZ13">
            <v>48214.23328</v>
          </cell>
          <cell r="BA13">
            <v>52895.144769999999</v>
          </cell>
          <cell r="BB13">
            <v>53841.176039999998</v>
          </cell>
          <cell r="BC13">
            <v>54798.63222</v>
          </cell>
          <cell r="BD13">
            <v>55767.451399999998</v>
          </cell>
          <cell r="BE13">
            <v>56747.601349999997</v>
          </cell>
        </row>
        <row r="14">
          <cell r="B14">
            <v>16338.04883</v>
          </cell>
          <cell r="C14">
            <v>16529.410769999999</v>
          </cell>
          <cell r="D14">
            <v>16747.742890000001</v>
          </cell>
          <cell r="E14">
            <v>16986.75144</v>
          </cell>
          <cell r="F14">
            <v>17244.177970000001</v>
          </cell>
          <cell r="G14">
            <v>17517.40984</v>
          </cell>
          <cell r="H14">
            <v>17791.83094</v>
          </cell>
          <cell r="I14">
            <v>18074.154269999999</v>
          </cell>
          <cell r="J14">
            <v>18363.741849999999</v>
          </cell>
          <cell r="K14">
            <v>18659.783510000001</v>
          </cell>
          <cell r="L14">
            <v>18982.93879</v>
          </cell>
          <cell r="M14">
            <v>19295.695469999999</v>
          </cell>
          <cell r="N14">
            <v>19611.341250000001</v>
          </cell>
          <cell r="O14">
            <v>19930.42339</v>
          </cell>
          <cell r="P14">
            <v>20252.991470000001</v>
          </cell>
          <cell r="Q14">
            <v>20579.100310000002</v>
          </cell>
          <cell r="R14">
            <v>20908.889299999999</v>
          </cell>
          <cell r="S14">
            <v>21242.556710000001</v>
          </cell>
          <cell r="T14">
            <v>21580.342499999999</v>
          </cell>
          <cell r="U14">
            <v>21922.503430000001</v>
          </cell>
          <cell r="V14">
            <v>22253.337210000002</v>
          </cell>
          <cell r="W14">
            <v>22600.7382</v>
          </cell>
          <cell r="X14">
            <v>22954.745599999998</v>
          </cell>
          <cell r="Y14">
            <v>23314.977070000001</v>
          </cell>
          <cell r="Z14">
            <v>23681.4804</v>
          </cell>
          <cell r="AA14">
            <v>24008.070220000001</v>
          </cell>
          <cell r="AB14">
            <v>24352.948609999999</v>
          </cell>
          <cell r="AC14">
            <v>24702.410260000001</v>
          </cell>
          <cell r="AD14">
            <v>25056.693200000002</v>
          </cell>
          <cell r="AE14">
            <v>25416.486290000001</v>
          </cell>
          <cell r="AF14">
            <v>25782.42121</v>
          </cell>
          <cell r="AG14">
            <v>26154.964520000001</v>
          </cell>
          <cell r="AH14">
            <v>26534.415059999999</v>
          </cell>
          <cell r="AI14">
            <v>26920.928220000002</v>
          </cell>
          <cell r="AJ14">
            <v>27314.552439999999</v>
          </cell>
          <cell r="AK14">
            <v>27715.264070000001</v>
          </cell>
          <cell r="AL14">
            <v>28111.66894</v>
          </cell>
          <cell r="AM14">
            <v>28511.830150000002</v>
          </cell>
          <cell r="AN14">
            <v>28916.680820000001</v>
          </cell>
          <cell r="AO14">
            <v>29326.732240000001</v>
          </cell>
          <cell r="AP14">
            <v>29742.383129999998</v>
          </cell>
          <cell r="AQ14">
            <v>30163.961650000001</v>
          </cell>
          <cell r="AR14">
            <v>30591.726030000002</v>
          </cell>
          <cell r="AS14">
            <v>31025.85914</v>
          </cell>
          <cell r="AT14">
            <v>31466.475610000001</v>
          </cell>
          <cell r="AU14">
            <v>31913.6345</v>
          </cell>
          <cell r="AV14">
            <v>32370.016729999999</v>
          </cell>
          <cell r="AW14">
            <v>32835.73702</v>
          </cell>
          <cell r="AX14">
            <v>33310.721989999998</v>
          </cell>
          <cell r="AY14">
            <v>33794.560259999998</v>
          </cell>
          <cell r="AZ14">
            <v>34286.825190000003</v>
          </cell>
          <cell r="BA14">
            <v>36300.431920000003</v>
          </cell>
          <cell r="BB14">
            <v>36916.198770000003</v>
          </cell>
          <cell r="BC14">
            <v>37543.095710000001</v>
          </cell>
          <cell r="BD14">
            <v>38181.311820000003</v>
          </cell>
          <cell r="BE14">
            <v>38831.034959999997</v>
          </cell>
        </row>
        <row r="15">
          <cell r="B15">
            <v>16338.489</v>
          </cell>
          <cell r="C15">
            <v>16531.163550000001</v>
          </cell>
          <cell r="D15">
            <v>16750.69384</v>
          </cell>
          <cell r="E15">
            <v>16990.74351</v>
          </cell>
          <cell r="F15">
            <v>17249.209900000002</v>
          </cell>
          <cell r="G15">
            <v>17523.658780000002</v>
          </cell>
          <cell r="H15">
            <v>17799.500029999999</v>
          </cell>
          <cell r="I15">
            <v>18083.445029999999</v>
          </cell>
          <cell r="J15">
            <v>18374.837049999998</v>
          </cell>
          <cell r="K15">
            <v>18672.842769999999</v>
          </cell>
          <cell r="L15">
            <v>18998.117320000001</v>
          </cell>
          <cell r="M15">
            <v>19313.104149999999</v>
          </cell>
          <cell r="N15">
            <v>19631.09535</v>
          </cell>
          <cell r="O15">
            <v>19952.63638</v>
          </cell>
          <cell r="P15">
            <v>20277.77361</v>
          </cell>
          <cell r="Q15">
            <v>20606.553820000001</v>
          </cell>
          <cell r="R15">
            <v>20939.1034</v>
          </cell>
          <cell r="S15">
            <v>21275.61721</v>
          </cell>
          <cell r="T15">
            <v>21616.33207</v>
          </cell>
          <cell r="U15">
            <v>21961.503710000001</v>
          </cell>
          <cell r="V15">
            <v>22295.401310000001</v>
          </cell>
          <cell r="W15">
            <v>22645.97262</v>
          </cell>
          <cell r="X15">
            <v>23003.241139999998</v>
          </cell>
          <cell r="Y15">
            <v>23366.826059999999</v>
          </cell>
          <cell r="Z15">
            <v>23736.778200000001</v>
          </cell>
          <cell r="AA15">
            <v>24066.803080000002</v>
          </cell>
          <cell r="AB15">
            <v>24415.247780000002</v>
          </cell>
          <cell r="AC15">
            <v>24768.37472</v>
          </cell>
          <cell r="AD15">
            <v>25126.422350000001</v>
          </cell>
          <cell r="AE15">
            <v>25490.081460000001</v>
          </cell>
          <cell r="AF15">
            <v>25859.986359999999</v>
          </cell>
          <cell r="AG15">
            <v>26236.607090000001</v>
          </cell>
          <cell r="AH15">
            <v>26620.24396</v>
          </cell>
          <cell r="AI15">
            <v>27011.0543</v>
          </cell>
          <cell r="AJ15">
            <v>27409.088360000002</v>
          </cell>
          <cell r="AK15">
            <v>27814.324339999999</v>
          </cell>
          <cell r="AL15">
            <v>28215.3298</v>
          </cell>
          <cell r="AM15">
            <v>28620.18377</v>
          </cell>
          <cell r="AN15">
            <v>29029.782439999999</v>
          </cell>
          <cell r="AO15">
            <v>29444.603869999999</v>
          </cell>
          <cell r="AP15">
            <v>29865.03657</v>
          </cell>
          <cell r="AQ15">
            <v>30292.53328</v>
          </cell>
          <cell r="AR15">
            <v>30727.999370000001</v>
          </cell>
          <cell r="AS15">
            <v>31171.701959999999</v>
          </cell>
          <cell r="AT15">
            <v>31623.555670000002</v>
          </cell>
          <cell r="AU15">
            <v>32083.36909</v>
          </cell>
          <cell r="AV15">
            <v>32552.013770000001</v>
          </cell>
          <cell r="AW15">
            <v>33028.617700000003</v>
          </cell>
          <cell r="AX15">
            <v>33513.008119999999</v>
          </cell>
          <cell r="AY15">
            <v>34005.071960000001</v>
          </cell>
          <cell r="AZ15">
            <v>34504.711170000002</v>
          </cell>
          <cell r="BA15">
            <v>36460.51715</v>
          </cell>
          <cell r="BB15">
            <v>37084.866710000002</v>
          </cell>
          <cell r="BC15">
            <v>37720.52203</v>
          </cell>
          <cell r="BD15">
            <v>38367.690739999998</v>
          </cell>
          <cell r="BE15">
            <v>39026.581709999999</v>
          </cell>
        </row>
        <row r="16">
          <cell r="B16">
            <v>87194.845090000003</v>
          </cell>
          <cell r="C16">
            <v>88280.176120000004</v>
          </cell>
          <cell r="D16">
            <v>89511.885639999993</v>
          </cell>
          <cell r="E16">
            <v>90830.760469999994</v>
          </cell>
          <cell r="F16">
            <v>92225.989860000001</v>
          </cell>
          <cell r="G16">
            <v>93686.635909999997</v>
          </cell>
          <cell r="H16">
            <v>95127.179329999999</v>
          </cell>
          <cell r="I16">
            <v>96603.940789999993</v>
          </cell>
          <cell r="J16">
            <v>98114.184309999997</v>
          </cell>
          <cell r="K16">
            <v>99654.634120000002</v>
          </cell>
          <cell r="L16">
            <v>101355.21950000001</v>
          </cell>
          <cell r="M16">
            <v>102967.0972</v>
          </cell>
          <cell r="N16">
            <v>104596.5037</v>
          </cell>
          <cell r="O16">
            <v>106245.7836</v>
          </cell>
          <cell r="P16">
            <v>107915.20050000001</v>
          </cell>
          <cell r="Q16">
            <v>109605.0312</v>
          </cell>
          <cell r="R16">
            <v>111316.09789999999</v>
          </cell>
          <cell r="S16">
            <v>113049.0943</v>
          </cell>
          <cell r="T16">
            <v>114805.0448</v>
          </cell>
          <cell r="U16">
            <v>116585.0963</v>
          </cell>
          <cell r="V16">
            <v>118291.5626</v>
          </cell>
          <cell r="W16">
            <v>120110.0108</v>
          </cell>
          <cell r="X16">
            <v>121961.3334</v>
          </cell>
          <cell r="Y16">
            <v>123844.36350000001</v>
          </cell>
          <cell r="Z16">
            <v>125759.7363</v>
          </cell>
          <cell r="AA16">
            <v>127421.8585</v>
          </cell>
          <cell r="AB16">
            <v>129229.12330000001</v>
          </cell>
          <cell r="AC16">
            <v>131065.3937</v>
          </cell>
          <cell r="AD16">
            <v>132931.22140000001</v>
          </cell>
          <cell r="AE16">
            <v>134829.1636</v>
          </cell>
          <cell r="AF16">
            <v>136761.62909999999</v>
          </cell>
          <cell r="AG16">
            <v>138730.3799</v>
          </cell>
          <cell r="AH16">
            <v>140736.6698</v>
          </cell>
          <cell r="AI16">
            <v>142781.15789999999</v>
          </cell>
          <cell r="AJ16">
            <v>144864.0618</v>
          </cell>
          <cell r="AK16">
            <v>146985.2825</v>
          </cell>
          <cell r="AL16">
            <v>149073.90969999999</v>
          </cell>
          <cell r="AM16">
            <v>151189.54139999999</v>
          </cell>
          <cell r="AN16">
            <v>153335.27859999999</v>
          </cell>
          <cell r="AO16">
            <v>155512.54380000001</v>
          </cell>
          <cell r="AP16">
            <v>157722.39430000001</v>
          </cell>
          <cell r="AQ16">
            <v>159965.57680000001</v>
          </cell>
          <cell r="AR16">
            <v>162242.8125</v>
          </cell>
          <cell r="AS16">
            <v>164554.5257</v>
          </cell>
          <cell r="AT16">
            <v>166900.91930000001</v>
          </cell>
          <cell r="AU16">
            <v>169282.0202</v>
          </cell>
          <cell r="AV16">
            <v>171705.54980000001</v>
          </cell>
          <cell r="AW16">
            <v>174171.96780000001</v>
          </cell>
          <cell r="AX16">
            <v>176683.64509999999</v>
          </cell>
          <cell r="AY16">
            <v>179240.99669999999</v>
          </cell>
          <cell r="AZ16">
            <v>181843.6207</v>
          </cell>
          <cell r="BA16">
            <v>194268.86120000001</v>
          </cell>
          <cell r="BB16">
            <v>197611.76019999999</v>
          </cell>
          <cell r="BC16">
            <v>201017.3364</v>
          </cell>
          <cell r="BD16">
            <v>204486.6298</v>
          </cell>
          <cell r="BE16">
            <v>208020.64610000001</v>
          </cell>
        </row>
        <row r="17">
          <cell r="B17">
            <v>87187.409660000005</v>
          </cell>
          <cell r="C17">
            <v>88271.966610000003</v>
          </cell>
          <cell r="D17">
            <v>89503.074829999998</v>
          </cell>
          <cell r="E17">
            <v>90821.198810000002</v>
          </cell>
          <cell r="F17">
            <v>92216.032319999998</v>
          </cell>
          <cell r="G17">
            <v>93677.16876</v>
          </cell>
          <cell r="H17">
            <v>95119.106620000006</v>
          </cell>
          <cell r="I17">
            <v>96598.153520000007</v>
          </cell>
          <cell r="J17">
            <v>98111.488920000003</v>
          </cell>
          <cell r="K17">
            <v>99655.741070000004</v>
          </cell>
          <cell r="L17">
            <v>101360.7582</v>
          </cell>
          <cell r="M17">
            <v>102977.4042</v>
          </cell>
          <cell r="N17">
            <v>104612.03170000001</v>
          </cell>
          <cell r="O17">
            <v>106266.959</v>
          </cell>
          <cell r="P17">
            <v>107942.4065</v>
          </cell>
          <cell r="Q17">
            <v>109638.5923</v>
          </cell>
          <cell r="R17">
            <v>111356.0432</v>
          </cell>
          <cell r="S17">
            <v>113095.5673</v>
          </cell>
          <cell r="T17">
            <v>114858.1694</v>
          </cell>
          <cell r="U17">
            <v>116644.9737</v>
          </cell>
          <cell r="V17">
            <v>118358.2285</v>
          </cell>
          <cell r="W17">
            <v>120183.62360000001</v>
          </cell>
          <cell r="X17">
            <v>122041.9869</v>
          </cell>
          <cell r="Y17">
            <v>123932.16650000001</v>
          </cell>
          <cell r="Z17">
            <v>125854.814</v>
          </cell>
          <cell r="AA17">
            <v>127524.1271</v>
          </cell>
          <cell r="AB17">
            <v>129339.01149999999</v>
          </cell>
          <cell r="AC17">
            <v>131183.1029</v>
          </cell>
          <cell r="AD17">
            <v>133056.9627</v>
          </cell>
          <cell r="AE17">
            <v>134963.15849999999</v>
          </cell>
          <cell r="AF17">
            <v>136904.10800000001</v>
          </cell>
          <cell r="AG17">
            <v>138881.64780000001</v>
          </cell>
          <cell r="AH17">
            <v>140896.9859</v>
          </cell>
          <cell r="AI17">
            <v>142950.77530000001</v>
          </cell>
          <cell r="AJ17">
            <v>145043.2304</v>
          </cell>
          <cell r="AK17">
            <v>147174.2481</v>
          </cell>
          <cell r="AL17">
            <v>149273.45559999999</v>
          </cell>
          <cell r="AM17">
            <v>151400.05290000001</v>
          </cell>
          <cell r="AN17">
            <v>153556.94390000001</v>
          </cell>
          <cell r="AO17">
            <v>155745.4155</v>
          </cell>
          <cell r="AP17">
            <v>157966.45929999999</v>
          </cell>
          <cell r="AQ17">
            <v>160221.87119999999</v>
          </cell>
          <cell r="AR17">
            <v>162516.40779999999</v>
          </cell>
          <cell r="AS17">
            <v>164852.60879999999</v>
          </cell>
          <cell r="AT17">
            <v>167231.28700000001</v>
          </cell>
          <cell r="AU17">
            <v>169652.38269999999</v>
          </cell>
          <cell r="AV17">
            <v>172121.90979999999</v>
          </cell>
          <cell r="AW17">
            <v>174633.86470000001</v>
          </cell>
          <cell r="AX17">
            <v>177187.35320000001</v>
          </cell>
          <cell r="AY17">
            <v>179781.59839999999</v>
          </cell>
          <cell r="AZ17">
            <v>182415.8315</v>
          </cell>
          <cell r="BA17">
            <v>195144.80350000001</v>
          </cell>
          <cell r="BB17">
            <v>198536.37779999999</v>
          </cell>
          <cell r="BC17">
            <v>201991.7243</v>
          </cell>
          <cell r="BD17">
            <v>205511.9504</v>
          </cell>
          <cell r="BE17">
            <v>209098.14439999999</v>
          </cell>
        </row>
        <row r="18">
          <cell r="B18">
            <v>29140.660380000001</v>
          </cell>
          <cell r="C18">
            <v>29509.987730000001</v>
          </cell>
          <cell r="D18">
            <v>29928.21586</v>
          </cell>
          <cell r="E18">
            <v>30376.530610000002</v>
          </cell>
          <cell r="F18">
            <v>30850.278730000002</v>
          </cell>
          <cell r="G18">
            <v>31346.134829999999</v>
          </cell>
          <cell r="H18">
            <v>31838.8799</v>
          </cell>
          <cell r="I18">
            <v>32343.797579999999</v>
          </cell>
          <cell r="J18">
            <v>32860.7569</v>
          </cell>
          <cell r="K18">
            <v>33388.924319999998</v>
          </cell>
          <cell r="L18">
            <v>33967.050159999999</v>
          </cell>
          <cell r="M18">
            <v>34523.694750000002</v>
          </cell>
          <cell r="N18">
            <v>35086.171499999997</v>
          </cell>
          <cell r="O18">
            <v>35655.657050000002</v>
          </cell>
          <cell r="P18">
            <v>36232.277569999998</v>
          </cell>
          <cell r="Q18">
            <v>36816.098299999998</v>
          </cell>
          <cell r="R18">
            <v>37407.317139999999</v>
          </cell>
          <cell r="S18">
            <v>38006.217219999999</v>
          </cell>
          <cell r="T18">
            <v>38613.167090000003</v>
          </cell>
          <cell r="U18">
            <v>39228.582179999998</v>
          </cell>
          <cell r="V18">
            <v>39823.272689999998</v>
          </cell>
          <cell r="W18">
            <v>40450.549610000002</v>
          </cell>
          <cell r="X18">
            <v>41090.024530000002</v>
          </cell>
          <cell r="Y18">
            <v>41740.937109999999</v>
          </cell>
          <cell r="Z18">
            <v>42403.397879999997</v>
          </cell>
          <cell r="AA18">
            <v>42991.732909999999</v>
          </cell>
          <cell r="AB18">
            <v>43618.535900000003</v>
          </cell>
          <cell r="AC18">
            <v>44255.089959999998</v>
          </cell>
          <cell r="AD18">
            <v>44901.312539999999</v>
          </cell>
          <cell r="AE18">
            <v>45558.065060000001</v>
          </cell>
          <cell r="AF18">
            <v>46226.203549999998</v>
          </cell>
          <cell r="AG18">
            <v>46906.367180000001</v>
          </cell>
          <cell r="AH18">
            <v>47598.958830000003</v>
          </cell>
          <cell r="AI18">
            <v>48304.160069999998</v>
          </cell>
          <cell r="AJ18">
            <v>49021.977919999998</v>
          </cell>
          <cell r="AK18">
            <v>49752.294520000003</v>
          </cell>
          <cell r="AL18">
            <v>50473.830520000003</v>
          </cell>
          <cell r="AM18">
            <v>51202.568599999999</v>
          </cell>
          <cell r="AN18">
            <v>51939.931519999998</v>
          </cell>
          <cell r="AO18">
            <v>52686.530019999998</v>
          </cell>
          <cell r="AP18">
            <v>53442.782729999999</v>
          </cell>
          <cell r="AQ18">
            <v>54209.010779999997</v>
          </cell>
          <cell r="AR18">
            <v>54985.465040000003</v>
          </cell>
          <cell r="AS18">
            <v>55772.309240000002</v>
          </cell>
          <cell r="AT18">
            <v>56569.627930000002</v>
          </cell>
          <cell r="AU18">
            <v>57377.441140000003</v>
          </cell>
          <cell r="AV18">
            <v>58200.300539999997</v>
          </cell>
          <cell r="AW18">
            <v>59038.688710000002</v>
          </cell>
          <cell r="AX18">
            <v>59893.000549999997</v>
          </cell>
          <cell r="AY18">
            <v>60762.881280000001</v>
          </cell>
          <cell r="AZ18">
            <v>61647.746209999998</v>
          </cell>
          <cell r="BA18">
            <v>65374.391609999999</v>
          </cell>
          <cell r="BB18">
            <v>66504.938649999996</v>
          </cell>
          <cell r="BC18">
            <v>67655.673490000001</v>
          </cell>
          <cell r="BD18">
            <v>68826.861879999997</v>
          </cell>
          <cell r="BE18">
            <v>70018.761929999993</v>
          </cell>
        </row>
        <row r="19">
          <cell r="B19">
            <v>29140.4892</v>
          </cell>
          <cell r="C19">
            <v>29510.541929999999</v>
          </cell>
          <cell r="D19">
            <v>29929.595529999999</v>
          </cell>
          <cell r="E19">
            <v>30378.798869999999</v>
          </cell>
          <cell r="F19">
            <v>30853.663250000001</v>
          </cell>
          <cell r="G19">
            <v>31351.04033</v>
          </cell>
          <cell r="H19">
            <v>31845.759010000002</v>
          </cell>
          <cell r="I19">
            <v>32353.099310000001</v>
          </cell>
          <cell r="J19">
            <v>32872.891530000001</v>
          </cell>
          <cell r="K19">
            <v>33404.253060000003</v>
          </cell>
          <cell r="L19">
            <v>33985.910020000003</v>
          </cell>
          <cell r="M19">
            <v>34546.330950000003</v>
          </cell>
          <cell r="N19">
            <v>35112.820910000002</v>
          </cell>
          <cell r="O19">
            <v>35686.540050000003</v>
          </cell>
          <cell r="P19">
            <v>36267.59981</v>
          </cell>
          <cell r="Q19">
            <v>36856.048699999999</v>
          </cell>
          <cell r="R19">
            <v>37452.047530000003</v>
          </cell>
          <cell r="S19">
            <v>38055.874069999998</v>
          </cell>
          <cell r="T19">
            <v>38667.890939999997</v>
          </cell>
          <cell r="U19">
            <v>39288.511919999997</v>
          </cell>
          <cell r="V19">
            <v>39888.499969999997</v>
          </cell>
          <cell r="W19">
            <v>40521.257339999996</v>
          </cell>
          <cell r="X19">
            <v>41166.369619999998</v>
          </cell>
          <cell r="Y19">
            <v>41823.081720000002</v>
          </cell>
          <cell r="Z19">
            <v>42491.512130000003</v>
          </cell>
          <cell r="AA19">
            <v>43085.803639999998</v>
          </cell>
          <cell r="AB19">
            <v>43718.812039999997</v>
          </cell>
          <cell r="AC19">
            <v>44361.762940000001</v>
          </cell>
          <cell r="AD19">
            <v>45014.576540000002</v>
          </cell>
          <cell r="AE19">
            <v>45678.117700000003</v>
          </cell>
          <cell r="AF19">
            <v>46353.245920000001</v>
          </cell>
          <cell r="AG19">
            <v>47040.608939999998</v>
          </cell>
          <cell r="AH19">
            <v>47740.609570000001</v>
          </cell>
          <cell r="AI19">
            <v>48453.429880000003</v>
          </cell>
          <cell r="AJ19">
            <v>49179.076820000002</v>
          </cell>
          <cell r="AK19">
            <v>49917.432309999997</v>
          </cell>
          <cell r="AL19">
            <v>50647.186959999999</v>
          </cell>
          <cell r="AM19">
            <v>51384.34463</v>
          </cell>
          <cell r="AN19">
            <v>52130.29391</v>
          </cell>
          <cell r="AO19">
            <v>52885.608509999998</v>
          </cell>
          <cell r="AP19">
            <v>53650.68389</v>
          </cell>
          <cell r="AQ19">
            <v>54427.6613</v>
          </cell>
          <cell r="AR19">
            <v>55218.195740000003</v>
          </cell>
          <cell r="AS19">
            <v>56022.90236</v>
          </cell>
          <cell r="AT19">
            <v>56841.730300000003</v>
          </cell>
          <cell r="AU19">
            <v>57674.358670000001</v>
          </cell>
          <cell r="AV19">
            <v>58522.367590000002</v>
          </cell>
          <cell r="AW19">
            <v>59383.946170000003</v>
          </cell>
          <cell r="AX19">
            <v>60258.681879999996</v>
          </cell>
          <cell r="AY19">
            <v>61146.27493</v>
          </cell>
          <cell r="AZ19">
            <v>62046.463539999997</v>
          </cell>
          <cell r="BA19">
            <v>65674.958790000004</v>
          </cell>
          <cell r="BB19">
            <v>66820.09246</v>
          </cell>
          <cell r="BC19">
            <v>67985.551479999995</v>
          </cell>
          <cell r="BD19">
            <v>69171.626420000001</v>
          </cell>
          <cell r="BE19">
            <v>70378.605540000004</v>
          </cell>
        </row>
        <row r="20">
          <cell r="B20">
            <v>80401.399909999993</v>
          </cell>
          <cell r="C20">
            <v>81417.631349999996</v>
          </cell>
          <cell r="D20">
            <v>82580.77824</v>
          </cell>
          <cell r="E20">
            <v>83828.958180000001</v>
          </cell>
          <cell r="F20">
            <v>85143.981020000007</v>
          </cell>
          <cell r="G20">
            <v>86515.348230000003</v>
          </cell>
          <cell r="H20">
            <v>87875.628089999998</v>
          </cell>
          <cell r="I20">
            <v>89266.724929999997</v>
          </cell>
          <cell r="J20">
            <v>90690.09835</v>
          </cell>
          <cell r="K20">
            <v>92144.716939999998</v>
          </cell>
          <cell r="L20">
            <v>93735.51728</v>
          </cell>
          <cell r="M20">
            <v>95271.635620000001</v>
          </cell>
          <cell r="N20">
            <v>96825.636599999998</v>
          </cell>
          <cell r="O20">
            <v>98402.057830000005</v>
          </cell>
          <cell r="P20">
            <v>100001.8272</v>
          </cell>
          <cell r="Q20">
            <v>101625.3655</v>
          </cell>
          <cell r="R20">
            <v>103273.2343</v>
          </cell>
          <cell r="S20">
            <v>104946.1732</v>
          </cell>
          <cell r="T20">
            <v>106645.0996</v>
          </cell>
          <cell r="U20">
            <v>108371.0264</v>
          </cell>
          <cell r="V20">
            <v>110045.4679</v>
          </cell>
          <cell r="W20">
            <v>111811.0346</v>
          </cell>
          <cell r="X20">
            <v>113613.8223</v>
          </cell>
          <cell r="Y20">
            <v>115450.8553</v>
          </cell>
          <cell r="Z20">
            <v>117321.9966</v>
          </cell>
          <cell r="AA20">
            <v>118996.9418</v>
          </cell>
          <cell r="AB20">
            <v>120776.6908</v>
          </cell>
          <cell r="AC20">
            <v>122586.36749999999</v>
          </cell>
          <cell r="AD20">
            <v>124424.2466</v>
          </cell>
          <cell r="AE20">
            <v>126291.60159999999</v>
          </cell>
          <cell r="AF20">
            <v>128189.9261</v>
          </cell>
          <cell r="AG20">
            <v>130120.3216</v>
          </cell>
          <cell r="AH20">
            <v>132083.3751</v>
          </cell>
          <cell r="AI20">
            <v>134079.17170000001</v>
          </cell>
          <cell r="AJ20">
            <v>136107.39189999999</v>
          </cell>
          <cell r="AK20">
            <v>138167.42860000001</v>
          </cell>
          <cell r="AL20">
            <v>140201.93119999999</v>
          </cell>
          <cell r="AM20">
            <v>142253.2763</v>
          </cell>
          <cell r="AN20">
            <v>144325.52660000001</v>
          </cell>
          <cell r="AO20">
            <v>146420.0876</v>
          </cell>
          <cell r="AP20">
            <v>148537.72659999999</v>
          </cell>
          <cell r="AQ20">
            <v>150678.9731</v>
          </cell>
          <cell r="AR20">
            <v>152844.2114</v>
          </cell>
          <cell r="AS20">
            <v>155033.67060000001</v>
          </cell>
          <cell r="AT20">
            <v>157247.44320000001</v>
          </cell>
          <cell r="AU20">
            <v>159485.5141</v>
          </cell>
          <cell r="AV20">
            <v>161760.4553</v>
          </cell>
          <cell r="AW20">
            <v>164073.92920000001</v>
          </cell>
          <cell r="AX20">
            <v>166427.2353</v>
          </cell>
          <cell r="AY20">
            <v>168819.40609999999</v>
          </cell>
          <cell r="AZ20">
            <v>171248.6446</v>
          </cell>
          <cell r="BA20">
            <v>183022.07269999999</v>
          </cell>
          <cell r="BB20">
            <v>186256.61790000001</v>
          </cell>
          <cell r="BC20">
            <v>189546.32399999999</v>
          </cell>
          <cell r="BD20">
            <v>192891.60990000001</v>
          </cell>
          <cell r="BE20">
            <v>196292.88219999999</v>
          </cell>
        </row>
        <row r="21">
          <cell r="B21">
            <v>80401.7497</v>
          </cell>
          <cell r="C21">
            <v>81421.496929999994</v>
          </cell>
          <cell r="D21">
            <v>82588.567569999999</v>
          </cell>
          <cell r="E21">
            <v>83840.658909999998</v>
          </cell>
          <cell r="F21">
            <v>85159.951939999999</v>
          </cell>
          <cell r="G21">
            <v>86536.464200000002</v>
          </cell>
          <cell r="H21">
            <v>87903.026679999995</v>
          </cell>
          <cell r="I21">
            <v>89301.630539999998</v>
          </cell>
          <cell r="J21">
            <v>90733.671600000001</v>
          </cell>
          <cell r="K21">
            <v>92197.985769999999</v>
          </cell>
          <cell r="L21">
            <v>93799.435729999997</v>
          </cell>
          <cell r="M21">
            <v>95346.897559999998</v>
          </cell>
          <cell r="N21">
            <v>96912.884980000003</v>
          </cell>
          <cell r="O21">
            <v>98501.872820000004</v>
          </cell>
          <cell r="P21">
            <v>100114.74129999999</v>
          </cell>
          <cell r="Q21">
            <v>101751.8685</v>
          </cell>
          <cell r="R21">
            <v>103413.7568</v>
          </cell>
          <cell r="S21">
            <v>105101.1289</v>
          </cell>
          <cell r="T21">
            <v>106814.8854</v>
          </cell>
          <cell r="U21">
            <v>108556.0352</v>
          </cell>
          <cell r="V21">
            <v>110245.9552</v>
          </cell>
          <cell r="W21">
            <v>112027.5172</v>
          </cell>
          <cell r="X21">
            <v>113846.75139999999</v>
          </cell>
          <cell r="Y21">
            <v>115700.69530000001</v>
          </cell>
          <cell r="Z21">
            <v>117589.23239999999</v>
          </cell>
          <cell r="AA21">
            <v>119281.5281</v>
          </cell>
          <cell r="AB21">
            <v>121079.29429999999</v>
          </cell>
          <cell r="AC21">
            <v>122907.5181</v>
          </cell>
          <cell r="AD21">
            <v>124764.4813</v>
          </cell>
          <cell r="AE21">
            <v>126651.46249999999</v>
          </cell>
          <cell r="AF21">
            <v>128569.9584</v>
          </cell>
          <cell r="AG21">
            <v>130521.0763</v>
          </cell>
          <cell r="AH21">
            <v>132505.3983</v>
          </cell>
          <cell r="AI21">
            <v>134523.0061</v>
          </cell>
          <cell r="AJ21">
            <v>136573.5754</v>
          </cell>
          <cell r="AK21">
            <v>138656.4938</v>
          </cell>
          <cell r="AL21">
            <v>140714.22450000001</v>
          </cell>
          <cell r="AM21">
            <v>142789.22210000001</v>
          </cell>
          <cell r="AN21">
            <v>144885.49780000001</v>
          </cell>
          <cell r="AO21">
            <v>147004.38269999999</v>
          </cell>
          <cell r="AP21">
            <v>149146.5852</v>
          </cell>
          <cell r="AQ21">
            <v>151317.7323</v>
          </cell>
          <cell r="AR21">
            <v>153522.17079999999</v>
          </cell>
          <cell r="AS21">
            <v>155761.47080000001</v>
          </cell>
          <cell r="AT21">
            <v>158035.27979999999</v>
          </cell>
          <cell r="AU21">
            <v>160342.424</v>
          </cell>
          <cell r="AV21">
            <v>162686.84899999999</v>
          </cell>
          <cell r="AW21">
            <v>165063.50750000001</v>
          </cell>
          <cell r="AX21">
            <v>167471.15659999999</v>
          </cell>
          <cell r="AY21">
            <v>169909.01439999999</v>
          </cell>
          <cell r="AZ21">
            <v>172376.4999</v>
          </cell>
          <cell r="BA21">
            <v>183905.85140000001</v>
          </cell>
          <cell r="BB21">
            <v>187177.02359999999</v>
          </cell>
          <cell r="BC21">
            <v>190503.01850000001</v>
          </cell>
          <cell r="BD21">
            <v>193884.32029999999</v>
          </cell>
          <cell r="BE21">
            <v>197321.42540000001</v>
          </cell>
        </row>
        <row r="22">
          <cell r="B22">
            <v>81288.837499999994</v>
          </cell>
          <cell r="C22">
            <v>82523.148300000001</v>
          </cell>
          <cell r="D22">
            <v>83877.922860000006</v>
          </cell>
          <cell r="E22">
            <v>85279.922439999995</v>
          </cell>
          <cell r="F22">
            <v>86720.538589999996</v>
          </cell>
          <cell r="G22">
            <v>88193.509269999995</v>
          </cell>
          <cell r="H22">
            <v>89619.212280000007</v>
          </cell>
          <cell r="I22">
            <v>91063.809229999999</v>
          </cell>
          <cell r="J22">
            <v>92527.613949999999</v>
          </cell>
          <cell r="K22">
            <v>94010.440700000006</v>
          </cell>
          <cell r="L22">
            <v>95643.805869999997</v>
          </cell>
          <cell r="M22">
            <v>97173.443530000004</v>
          </cell>
          <cell r="N22">
            <v>98718.413610000003</v>
          </cell>
          <cell r="O22">
            <v>100281.1896</v>
          </cell>
          <cell r="P22">
            <v>101862.9921</v>
          </cell>
          <cell r="Q22">
            <v>103464.86289999999</v>
          </cell>
          <cell r="R22">
            <v>105087.93520000001</v>
          </cell>
          <cell r="S22">
            <v>106733.4497</v>
          </cell>
          <cell r="T22">
            <v>108402.73119999999</v>
          </cell>
          <cell r="U22">
            <v>110097.1308</v>
          </cell>
          <cell r="V22">
            <v>111719.7537</v>
          </cell>
          <cell r="W22">
            <v>113461.7322</v>
          </cell>
          <cell r="X22">
            <v>115235.77069999999</v>
          </cell>
          <cell r="Y22">
            <v>117041.5999</v>
          </cell>
          <cell r="Z22">
            <v>118879.9246</v>
          </cell>
          <cell r="AA22">
            <v>120466.8545</v>
          </cell>
          <cell r="AB22">
            <v>122217.9157</v>
          </cell>
          <cell r="AC22">
            <v>124001.5007</v>
          </cell>
          <cell r="AD22">
            <v>125817.99589999999</v>
          </cell>
          <cell r="AE22">
            <v>127668.69960000001</v>
          </cell>
          <cell r="AF22">
            <v>129554.8786</v>
          </cell>
          <cell r="AG22">
            <v>131477.4736</v>
          </cell>
          <cell r="AH22">
            <v>133437.01620000001</v>
          </cell>
          <cell r="AI22">
            <v>135433.64600000001</v>
          </cell>
          <cell r="AJ22">
            <v>137467.1857</v>
          </cell>
          <cell r="AK22">
            <v>139537.23379999999</v>
          </cell>
          <cell r="AL22">
            <v>141573.48379999999</v>
          </cell>
          <cell r="AM22">
            <v>143639.38250000001</v>
          </cell>
          <cell r="AN22">
            <v>145736.45170000001</v>
          </cell>
          <cell r="AO22">
            <v>147865.2335</v>
          </cell>
          <cell r="AP22">
            <v>150026.00839999999</v>
          </cell>
          <cell r="AQ22">
            <v>152218.95069999999</v>
          </cell>
          <cell r="AR22">
            <v>154444.1452</v>
          </cell>
          <cell r="AS22">
            <v>156701.57130000001</v>
          </cell>
          <cell r="AT22">
            <v>158991.1072</v>
          </cell>
          <cell r="AU22">
            <v>161312.54810000001</v>
          </cell>
          <cell r="AV22">
            <v>163678.46</v>
          </cell>
          <cell r="AW22">
            <v>166087.2844</v>
          </cell>
          <cell r="AX22">
            <v>168540.17290000001</v>
          </cell>
          <cell r="AY22">
            <v>171036.41320000001</v>
          </cell>
          <cell r="AZ22">
            <v>173574.58489999999</v>
          </cell>
          <cell r="BA22">
            <v>183523.55319999999</v>
          </cell>
          <cell r="BB22">
            <v>186745.99849999999</v>
          </cell>
          <cell r="BC22">
            <v>190030.42559999999</v>
          </cell>
          <cell r="BD22">
            <v>193377.65919999999</v>
          </cell>
          <cell r="BE22">
            <v>196788.48449999999</v>
          </cell>
        </row>
        <row r="23">
          <cell r="B23">
            <v>81289.443870000003</v>
          </cell>
          <cell r="C23">
            <v>82527.319789999994</v>
          </cell>
          <cell r="D23">
            <v>83885.94167</v>
          </cell>
          <cell r="E23">
            <v>85291.767779999995</v>
          </cell>
          <cell r="F23">
            <v>86736.542119999998</v>
          </cell>
          <cell r="G23">
            <v>88214.455560000002</v>
          </cell>
          <cell r="H23">
            <v>89646.107940000002</v>
          </cell>
          <cell r="I23">
            <v>91097.753190000003</v>
          </cell>
          <cell r="J23">
            <v>92569.663790000006</v>
          </cell>
          <cell r="K23">
            <v>94061.551149999999</v>
          </cell>
          <cell r="L23">
            <v>95704.899980000002</v>
          </cell>
          <cell r="M23">
            <v>97245.181419999994</v>
          </cell>
          <cell r="N23">
            <v>98801.435689999998</v>
          </cell>
          <cell r="O23">
            <v>100376.0763</v>
          </cell>
          <cell r="P23">
            <v>101970.27680000001</v>
          </cell>
          <cell r="Q23">
            <v>103585.0359</v>
          </cell>
          <cell r="R23">
            <v>105221.442</v>
          </cell>
          <cell r="S23">
            <v>106880.7102</v>
          </cell>
          <cell r="T23">
            <v>108564.1461</v>
          </cell>
          <cell r="U23">
            <v>110273.0959</v>
          </cell>
          <cell r="V23">
            <v>111910.5009</v>
          </cell>
          <cell r="W23">
            <v>113667.825</v>
          </cell>
          <cell r="X23">
            <v>115457.65790000001</v>
          </cell>
          <cell r="Y23">
            <v>117279.7496</v>
          </cell>
          <cell r="Z23">
            <v>119134.8302</v>
          </cell>
          <cell r="AA23">
            <v>120738.38589999999</v>
          </cell>
          <cell r="AB23">
            <v>122506.8751</v>
          </cell>
          <cell r="AC23">
            <v>124308.4538</v>
          </cell>
          <cell r="AD23">
            <v>126143.5319</v>
          </cell>
          <cell r="AE23">
            <v>128013.425</v>
          </cell>
          <cell r="AF23">
            <v>129919.4139</v>
          </cell>
          <cell r="AG23">
            <v>131862.45180000001</v>
          </cell>
          <cell r="AH23">
            <v>133843.0784</v>
          </cell>
          <cell r="AI23">
            <v>135861.44010000001</v>
          </cell>
          <cell r="AJ23">
            <v>137917.3646</v>
          </cell>
          <cell r="AK23">
            <v>140010.454</v>
          </cell>
          <cell r="AL23">
            <v>142070.15179999999</v>
          </cell>
          <cell r="AM23">
            <v>144160.08410000001</v>
          </cell>
          <cell r="AN23">
            <v>146281.73980000001</v>
          </cell>
          <cell r="AO23">
            <v>148435.6146</v>
          </cell>
          <cell r="AP23">
            <v>150621.9559</v>
          </cell>
          <cell r="AQ23">
            <v>152845.32079999999</v>
          </cell>
          <cell r="AR23">
            <v>155108.97029999999</v>
          </cell>
          <cell r="AS23">
            <v>157414.03049999999</v>
          </cell>
          <cell r="AT23">
            <v>159760.13039999999</v>
          </cell>
          <cell r="AU23">
            <v>162146.2346</v>
          </cell>
          <cell r="AV23">
            <v>164577.64679999999</v>
          </cell>
          <cell r="AW23">
            <v>167047.4656</v>
          </cell>
          <cell r="AX23">
            <v>169554.69099999999</v>
          </cell>
          <cell r="AY23">
            <v>172098.55790000001</v>
          </cell>
          <cell r="AZ23">
            <v>174678.41029999999</v>
          </cell>
          <cell r="BA23">
            <v>184523.6764</v>
          </cell>
          <cell r="BB23">
            <v>187799.9662</v>
          </cell>
          <cell r="BC23">
            <v>191139.277</v>
          </cell>
          <cell r="BD23">
            <v>194542.50580000001</v>
          </cell>
          <cell r="BE23">
            <v>198010.52179999999</v>
          </cell>
        </row>
        <row r="24">
          <cell r="B24">
            <v>104802.2543</v>
          </cell>
          <cell r="C24">
            <v>105998.2218</v>
          </cell>
          <cell r="D24">
            <v>107379.7363</v>
          </cell>
          <cell r="E24">
            <v>108893.5876</v>
          </cell>
          <cell r="F24">
            <v>110517.552</v>
          </cell>
          <cell r="G24">
            <v>112235.40519999999</v>
          </cell>
          <cell r="H24">
            <v>113963.67389999999</v>
          </cell>
          <cell r="I24">
            <v>115739.9706</v>
          </cell>
          <cell r="J24">
            <v>117564.3873</v>
          </cell>
          <cell r="K24">
            <v>119434.3247</v>
          </cell>
          <cell r="L24">
            <v>121472.0134</v>
          </cell>
          <cell r="M24">
            <v>123465.9037</v>
          </cell>
          <cell r="N24">
            <v>125482.8147</v>
          </cell>
          <cell r="O24">
            <v>127527.0848</v>
          </cell>
          <cell r="P24">
            <v>129599.31050000001</v>
          </cell>
          <cell r="Q24">
            <v>131699.69839999999</v>
          </cell>
          <cell r="R24">
            <v>133828.81760000001</v>
          </cell>
          <cell r="S24">
            <v>135987.4362</v>
          </cell>
          <cell r="T24">
            <v>138176.60329999999</v>
          </cell>
          <cell r="U24">
            <v>140397.4656</v>
          </cell>
          <cell r="V24">
            <v>142557.53719999999</v>
          </cell>
          <cell r="W24">
            <v>144813.82019999999</v>
          </cell>
          <cell r="X24">
            <v>147115.76939999999</v>
          </cell>
          <cell r="Y24">
            <v>149459.7004</v>
          </cell>
          <cell r="Z24">
            <v>151844.99909999999</v>
          </cell>
          <cell r="AA24">
            <v>154000.05720000001</v>
          </cell>
          <cell r="AB24">
            <v>156247.57769999999</v>
          </cell>
          <cell r="AC24">
            <v>158522.07250000001</v>
          </cell>
          <cell r="AD24">
            <v>160824.06469999999</v>
          </cell>
          <cell r="AE24">
            <v>163156.89610000001</v>
          </cell>
          <cell r="AF24">
            <v>165523.7628</v>
          </cell>
          <cell r="AG24">
            <v>167927.0135</v>
          </cell>
          <cell r="AH24">
            <v>170368.12400000001</v>
          </cell>
          <cell r="AI24">
            <v>172847.77220000001</v>
          </cell>
          <cell r="AJ24">
            <v>175366.05679999999</v>
          </cell>
          <cell r="AK24">
            <v>177922.70050000001</v>
          </cell>
          <cell r="AL24">
            <v>180450.68150000001</v>
          </cell>
          <cell r="AM24">
            <v>182992.86499999999</v>
          </cell>
          <cell r="AN24">
            <v>185556.04209999999</v>
          </cell>
          <cell r="AO24">
            <v>188143.85550000001</v>
          </cell>
          <cell r="AP24">
            <v>190758.9774</v>
          </cell>
          <cell r="AQ24">
            <v>193403.52350000001</v>
          </cell>
          <cell r="AR24">
            <v>196079.21470000001</v>
          </cell>
          <cell r="AS24">
            <v>198787.31390000001</v>
          </cell>
          <cell r="AT24">
            <v>201528.70480000001</v>
          </cell>
          <cell r="AU24">
            <v>204303.96840000001</v>
          </cell>
          <cell r="AV24">
            <v>207129.4044</v>
          </cell>
          <cell r="AW24">
            <v>210008.15349999999</v>
          </cell>
          <cell r="AX24">
            <v>212940.04070000001</v>
          </cell>
          <cell r="AY24">
            <v>215922.03959999999</v>
          </cell>
          <cell r="AZ24">
            <v>218950.87409999999</v>
          </cell>
          <cell r="BA24">
            <v>237062.62289999999</v>
          </cell>
          <cell r="BB24">
            <v>241147.1697</v>
          </cell>
          <cell r="BC24">
            <v>245299.2776</v>
          </cell>
          <cell r="BD24">
            <v>249519.81039999999</v>
          </cell>
          <cell r="BE24">
            <v>253809.6715</v>
          </cell>
        </row>
        <row r="25">
          <cell r="B25">
            <v>104803.3293</v>
          </cell>
          <cell r="C25">
            <v>106006.6566</v>
          </cell>
          <cell r="D25">
            <v>107394.3962</v>
          </cell>
          <cell r="E25">
            <v>108913.0897</v>
          </cell>
          <cell r="F25">
            <v>110541.6308</v>
          </cell>
          <cell r="G25">
            <v>112264.9935</v>
          </cell>
          <cell r="H25">
            <v>113999.9256</v>
          </cell>
          <cell r="I25">
            <v>115784.0013</v>
          </cell>
          <cell r="J25">
            <v>117617.11629999999</v>
          </cell>
          <cell r="K25">
            <v>119496.4434</v>
          </cell>
          <cell r="L25">
            <v>121544.0863</v>
          </cell>
          <cell r="M25">
            <v>123548.2071</v>
          </cell>
          <cell r="N25">
            <v>125575.64870000001</v>
          </cell>
          <cell r="O25">
            <v>127630.7371</v>
          </cell>
          <cell r="P25">
            <v>129714.064</v>
          </cell>
          <cell r="Q25">
            <v>131825.81150000001</v>
          </cell>
          <cell r="R25">
            <v>133966.45079999999</v>
          </cell>
          <cell r="S25">
            <v>136136.79370000001</v>
          </cell>
          <cell r="T25">
            <v>138337.88219999999</v>
          </cell>
          <cell r="U25">
            <v>140570.8658</v>
          </cell>
          <cell r="V25">
            <v>142743.1594</v>
          </cell>
          <cell r="W25">
            <v>145011.9662</v>
          </cell>
          <cell r="X25">
            <v>147326.68859999999</v>
          </cell>
          <cell r="Y25">
            <v>149683.64129999999</v>
          </cell>
          <cell r="Z25">
            <v>152082.21030000001</v>
          </cell>
          <cell r="AA25">
            <v>154250.37880000001</v>
          </cell>
          <cell r="AB25">
            <v>156511.3781</v>
          </cell>
          <cell r="AC25">
            <v>158799.5815</v>
          </cell>
          <cell r="AD25">
            <v>161115.4994</v>
          </cell>
          <cell r="AE25">
            <v>163462.45929999999</v>
          </cell>
          <cell r="AF25">
            <v>165843.64569999999</v>
          </cell>
          <cell r="AG25">
            <v>168261.4166</v>
          </cell>
          <cell r="AH25">
            <v>170717.2224</v>
          </cell>
          <cell r="AI25">
            <v>173211.73499999999</v>
          </cell>
          <cell r="AJ25">
            <v>175745.04829999999</v>
          </cell>
          <cell r="AK25">
            <v>178316.88149999999</v>
          </cell>
          <cell r="AL25">
            <v>180860.21599999999</v>
          </cell>
          <cell r="AM25">
            <v>183417.8046</v>
          </cell>
          <cell r="AN25">
            <v>185996.2303</v>
          </cell>
          <cell r="AO25">
            <v>188598.9449</v>
          </cell>
          <cell r="AP25">
            <v>191228.55119999999</v>
          </cell>
          <cell r="AQ25">
            <v>193893.9417</v>
          </cell>
          <cell r="AR25">
            <v>196601.73629999999</v>
          </cell>
          <cell r="AS25">
            <v>199353.72510000001</v>
          </cell>
          <cell r="AT25">
            <v>202149.0055</v>
          </cell>
          <cell r="AU25">
            <v>204985.9376</v>
          </cell>
          <cell r="AV25">
            <v>207869.24830000001</v>
          </cell>
          <cell r="AW25">
            <v>210794.1599</v>
          </cell>
          <cell r="AX25">
            <v>213759.68309999999</v>
          </cell>
          <cell r="AY25">
            <v>216765.4123</v>
          </cell>
          <cell r="AZ25">
            <v>219811.1636</v>
          </cell>
          <cell r="BA25">
            <v>237783.5478</v>
          </cell>
          <cell r="BB25">
            <v>241895.67249999999</v>
          </cell>
          <cell r="BC25">
            <v>246074.98370000001</v>
          </cell>
          <cell r="BD25">
            <v>250322.47320000001</v>
          </cell>
          <cell r="BE25">
            <v>254639.1814</v>
          </cell>
        </row>
        <row r="26">
          <cell r="B26">
            <v>271341.75640000001</v>
          </cell>
          <cell r="C26">
            <v>274936.75439999998</v>
          </cell>
          <cell r="D26">
            <v>278817.8063</v>
          </cell>
          <cell r="E26">
            <v>282993.0331</v>
          </cell>
          <cell r="F26">
            <v>287458.11359999998</v>
          </cell>
          <cell r="G26">
            <v>292203.61310000002</v>
          </cell>
          <cell r="H26">
            <v>297115.62190000003</v>
          </cell>
          <cell r="I26">
            <v>302202.15269999998</v>
          </cell>
          <cell r="J26">
            <v>307467.38250000001</v>
          </cell>
          <cell r="K26">
            <v>312911.67019999999</v>
          </cell>
          <cell r="L26">
            <v>318715.70689999999</v>
          </cell>
          <cell r="M26">
            <v>324661.64679999999</v>
          </cell>
          <cell r="N26">
            <v>330752.53690000001</v>
          </cell>
          <cell r="O26">
            <v>336989.79090000002</v>
          </cell>
          <cell r="P26">
            <v>343372.44939999998</v>
          </cell>
          <cell r="Q26">
            <v>349898.96049999999</v>
          </cell>
          <cell r="R26">
            <v>356567.97810000001</v>
          </cell>
          <cell r="S26">
            <v>363379.01199999999</v>
          </cell>
          <cell r="T26">
            <v>370331.97100000002</v>
          </cell>
          <cell r="U26">
            <v>377426.89510000002</v>
          </cell>
          <cell r="V26">
            <v>384524.63030000002</v>
          </cell>
          <cell r="W26">
            <v>391786.30369999999</v>
          </cell>
          <cell r="X26">
            <v>399206.19010000001</v>
          </cell>
          <cell r="Y26">
            <v>406778.77299999999</v>
          </cell>
          <cell r="Z26">
            <v>414499.75550000003</v>
          </cell>
          <cell r="AA26">
            <v>421957.78779999999</v>
          </cell>
          <cell r="AB26">
            <v>429425.84720000002</v>
          </cell>
          <cell r="AC26">
            <v>436913.1312</v>
          </cell>
          <cell r="AD26">
            <v>444424.21889999998</v>
          </cell>
          <cell r="AE26">
            <v>451963.17450000002</v>
          </cell>
          <cell r="AF26">
            <v>459533.0441</v>
          </cell>
          <cell r="AG26">
            <v>467135.25229999999</v>
          </cell>
          <cell r="AH26">
            <v>474769.18239999999</v>
          </cell>
          <cell r="AI26">
            <v>482432.40629999997</v>
          </cell>
          <cell r="AJ26">
            <v>490121.08529999998</v>
          </cell>
          <cell r="AK26">
            <v>497830.48680000001</v>
          </cell>
          <cell r="AL26">
            <v>505455.3345</v>
          </cell>
          <cell r="AM26">
            <v>513004.75569999998</v>
          </cell>
          <cell r="AN26">
            <v>520485.91070000001</v>
          </cell>
          <cell r="AO26">
            <v>527904.21519999998</v>
          </cell>
          <cell r="AP26">
            <v>535264.4399</v>
          </cell>
          <cell r="AQ26">
            <v>542571.27350000001</v>
          </cell>
          <cell r="AR26">
            <v>549829.14899999998</v>
          </cell>
          <cell r="AS26">
            <v>557042.36439999996</v>
          </cell>
          <cell r="AT26">
            <v>564215.05969999998</v>
          </cell>
          <cell r="AU26">
            <v>571351.27289999998</v>
          </cell>
          <cell r="AV26">
            <v>578512.79550000001</v>
          </cell>
          <cell r="AW26">
            <v>585727.45860000001</v>
          </cell>
          <cell r="AX26">
            <v>592999.1483</v>
          </cell>
          <cell r="AY26">
            <v>600317.93189999997</v>
          </cell>
          <cell r="AZ26">
            <v>607670.34160000004</v>
          </cell>
          <cell r="BA26">
            <v>696884.66639999999</v>
          </cell>
          <cell r="BB26">
            <v>709947.75120000006</v>
          </cell>
          <cell r="BC26">
            <v>723115.34360000002</v>
          </cell>
          <cell r="BD26">
            <v>736382.24600000004</v>
          </cell>
          <cell r="BE26">
            <v>749743.90249999997</v>
          </cell>
        </row>
        <row r="27">
          <cell r="B27">
            <v>271360.20270000002</v>
          </cell>
          <cell r="C27">
            <v>274979.17389999999</v>
          </cell>
          <cell r="D27">
            <v>278881.46380000003</v>
          </cell>
          <cell r="E27">
            <v>283074.79109999997</v>
          </cell>
          <cell r="F27">
            <v>287557.64649999997</v>
          </cell>
          <cell r="G27">
            <v>292323.8505</v>
          </cell>
          <cell r="H27">
            <v>297261.12329999998</v>
          </cell>
          <cell r="I27">
            <v>302377.77510000003</v>
          </cell>
          <cell r="J27">
            <v>307677.36290000001</v>
          </cell>
          <cell r="K27">
            <v>313159.19959999999</v>
          </cell>
          <cell r="L27">
            <v>319003.07270000002</v>
          </cell>
          <cell r="M27">
            <v>324990.1997</v>
          </cell>
          <cell r="N27">
            <v>331122.97730000003</v>
          </cell>
          <cell r="O27">
            <v>337402.511</v>
          </cell>
          <cell r="P27">
            <v>343827.75550000003</v>
          </cell>
          <cell r="Q27">
            <v>350397.18109999999</v>
          </cell>
          <cell r="R27">
            <v>357109.69380000001</v>
          </cell>
          <cell r="S27">
            <v>363964.85820000002</v>
          </cell>
          <cell r="T27">
            <v>370962.7255</v>
          </cell>
          <cell r="U27">
            <v>378103.51760000002</v>
          </cell>
          <cell r="V27">
            <v>385247.99369999999</v>
          </cell>
          <cell r="W27">
            <v>392557.7366</v>
          </cell>
          <cell r="X27">
            <v>400027.11719999998</v>
          </cell>
          <cell r="Y27">
            <v>407650.63949999999</v>
          </cell>
          <cell r="Z27">
            <v>415423.98389999999</v>
          </cell>
          <cell r="AA27">
            <v>422934.77730000002</v>
          </cell>
          <cell r="AB27">
            <v>430456.48060000001</v>
          </cell>
          <cell r="AC27">
            <v>437998.27500000002</v>
          </cell>
          <cell r="AD27">
            <v>445564.57040000003</v>
          </cell>
          <cell r="AE27">
            <v>453159.19530000002</v>
          </cell>
          <cell r="AF27">
            <v>460784.94790000003</v>
          </cell>
          <cell r="AG27">
            <v>468442.95899999997</v>
          </cell>
          <cell r="AH27">
            <v>476132.41960000002</v>
          </cell>
          <cell r="AI27">
            <v>483850.71460000001</v>
          </cell>
          <cell r="AJ27">
            <v>491593.8321</v>
          </cell>
          <cell r="AK27">
            <v>499356.89049999998</v>
          </cell>
          <cell r="AL27">
            <v>507033.51899999997</v>
          </cell>
          <cell r="AM27">
            <v>514632.91159999999</v>
          </cell>
          <cell r="AN27">
            <v>522161.89240000001</v>
          </cell>
          <cell r="AO27">
            <v>529625.41280000005</v>
          </cell>
          <cell r="AP27">
            <v>537027.91020000004</v>
          </cell>
          <cell r="AQ27">
            <v>544407.18859999999</v>
          </cell>
          <cell r="AR27">
            <v>551785.48140000005</v>
          </cell>
          <cell r="AS27">
            <v>559168.12520000001</v>
          </cell>
          <cell r="AT27">
            <v>566550.14549999998</v>
          </cell>
          <cell r="AU27">
            <v>573923.29150000005</v>
          </cell>
          <cell r="AV27">
            <v>581289.81229999999</v>
          </cell>
          <cell r="AW27">
            <v>588644.55469999998</v>
          </cell>
          <cell r="AX27">
            <v>595985.95589999994</v>
          </cell>
          <cell r="AY27">
            <v>603315.41280000005</v>
          </cell>
          <cell r="AZ27">
            <v>610636.38760000002</v>
          </cell>
          <cell r="BA27">
            <v>696433.33770000003</v>
          </cell>
          <cell r="BB27">
            <v>709265.26879999996</v>
          </cell>
          <cell r="BC27">
            <v>722177.89289999998</v>
          </cell>
          <cell r="BD27">
            <v>735166.22560000001</v>
          </cell>
          <cell r="BE27">
            <v>748226.09380000003</v>
          </cell>
        </row>
        <row r="28">
          <cell r="B28">
            <v>6795.9569689999998</v>
          </cell>
          <cell r="C28">
            <v>6871.9463889999997</v>
          </cell>
          <cell r="D28">
            <v>6953.5727530000004</v>
          </cell>
          <cell r="E28">
            <v>7040.7216619999999</v>
          </cell>
          <cell r="F28">
            <v>7133.4630260000004</v>
          </cell>
          <cell r="G28">
            <v>7231.3659729999999</v>
          </cell>
          <cell r="H28">
            <v>7329.6887079999997</v>
          </cell>
          <cell r="I28">
            <v>7430.624742</v>
          </cell>
          <cell r="J28">
            <v>7534.0820940000003</v>
          </cell>
          <cell r="K28">
            <v>7639.8309639999998</v>
          </cell>
          <cell r="L28">
            <v>7754.9305160000004</v>
          </cell>
          <cell r="M28">
            <v>7866.9742749999996</v>
          </cell>
          <cell r="N28">
            <v>7979.9413480000003</v>
          </cell>
          <cell r="O28">
            <v>8094.0425969999997</v>
          </cell>
          <cell r="P28">
            <v>8209.288219</v>
          </cell>
          <cell r="Q28">
            <v>8325.6853809999993</v>
          </cell>
          <cell r="R28">
            <v>8443.2551010000006</v>
          </cell>
          <cell r="S28">
            <v>8562.0685400000002</v>
          </cell>
          <cell r="T28">
            <v>8682.1956609999997</v>
          </cell>
          <cell r="U28">
            <v>8803.7109849999997</v>
          </cell>
          <cell r="V28">
            <v>8921.2708249999996</v>
          </cell>
          <cell r="W28">
            <v>9044.0319440000003</v>
          </cell>
          <cell r="X28">
            <v>9168.9878270000008</v>
          </cell>
          <cell r="Y28">
            <v>9295.958353</v>
          </cell>
          <cell r="Z28">
            <v>9424.9336609999991</v>
          </cell>
          <cell r="AA28">
            <v>9540.2576310000004</v>
          </cell>
          <cell r="AB28">
            <v>9660.7843539999994</v>
          </cell>
          <cell r="AC28">
            <v>9782.5507400000006</v>
          </cell>
          <cell r="AD28">
            <v>9905.6340880000007</v>
          </cell>
          <cell r="AE28">
            <v>10030.28594</v>
          </cell>
          <cell r="AF28">
            <v>10156.737440000001</v>
          </cell>
          <cell r="AG28">
            <v>10285.163920000001</v>
          </cell>
          <cell r="AH28">
            <v>10415.671480000001</v>
          </cell>
          <cell r="AI28">
            <v>10548.32114</v>
          </cell>
          <cell r="AJ28">
            <v>10683.13817</v>
          </cell>
          <cell r="AK28">
            <v>10820.12457</v>
          </cell>
          <cell r="AL28">
            <v>10955.505520000001</v>
          </cell>
          <cell r="AM28">
            <v>11091.7652</v>
          </cell>
          <cell r="AN28">
            <v>11229.287619999999</v>
          </cell>
          <cell r="AO28">
            <v>11368.28995</v>
          </cell>
          <cell r="AP28">
            <v>11508.94204</v>
          </cell>
          <cell r="AQ28">
            <v>11651.391240000001</v>
          </cell>
          <cell r="AR28">
            <v>11795.74079</v>
          </cell>
          <cell r="AS28">
            <v>11942.07173</v>
          </cell>
          <cell r="AT28">
            <v>12090.439050000001</v>
          </cell>
          <cell r="AU28">
            <v>12240.87671</v>
          </cell>
          <cell r="AV28">
            <v>12394.430060000001</v>
          </cell>
          <cell r="AW28">
            <v>12551.01478</v>
          </cell>
          <cell r="AX28">
            <v>12710.5183</v>
          </cell>
          <cell r="AY28">
            <v>12872.761769999999</v>
          </cell>
          <cell r="AZ28">
            <v>13037.59641</v>
          </cell>
          <cell r="BA28">
            <v>13889.72669</v>
          </cell>
          <cell r="BB28">
            <v>14101.70952</v>
          </cell>
          <cell r="BC28">
            <v>14317.214830000001</v>
          </cell>
          <cell r="BD28">
            <v>14536.30652</v>
          </cell>
          <cell r="BE28">
            <v>14759.04989</v>
          </cell>
        </row>
        <row r="29">
          <cell r="B29">
            <v>6796.4447380000001</v>
          </cell>
          <cell r="C29">
            <v>6872.8296920000003</v>
          </cell>
          <cell r="D29">
            <v>6954.8058069999997</v>
          </cell>
          <cell r="E29">
            <v>7042.2794949999998</v>
          </cell>
          <cell r="F29">
            <v>7135.3807059999999</v>
          </cell>
          <cell r="G29">
            <v>7233.7264619999996</v>
          </cell>
          <cell r="H29">
            <v>7332.5791419999996</v>
          </cell>
          <cell r="I29">
            <v>7434.1196639999998</v>
          </cell>
          <cell r="J29">
            <v>7538.2409530000004</v>
          </cell>
          <cell r="K29">
            <v>7644.7001099999998</v>
          </cell>
          <cell r="L29">
            <v>7760.5552040000002</v>
          </cell>
          <cell r="M29">
            <v>7873.393787</v>
          </cell>
          <cell r="N29">
            <v>7987.1873649999998</v>
          </cell>
          <cell r="O29">
            <v>8102.148486</v>
          </cell>
          <cell r="P29">
            <v>8218.2892879999999</v>
          </cell>
          <cell r="Q29">
            <v>8335.6176340000002</v>
          </cell>
          <cell r="R29">
            <v>8454.1681719999997</v>
          </cell>
          <cell r="S29">
            <v>8573.9981650000009</v>
          </cell>
          <cell r="T29">
            <v>8695.1778300000005</v>
          </cell>
          <cell r="U29">
            <v>8817.7824130000008</v>
          </cell>
          <cell r="V29">
            <v>8936.4559910000007</v>
          </cell>
          <cell r="W29">
            <v>9060.3791259999998</v>
          </cell>
          <cell r="X29">
            <v>9186.5369960000007</v>
          </cell>
          <cell r="Y29">
            <v>9314.7496659999997</v>
          </cell>
          <cell r="Z29">
            <v>9445.0079179999993</v>
          </cell>
          <cell r="AA29">
            <v>9561.6068950000008</v>
          </cell>
          <cell r="AB29">
            <v>9683.4580079999996</v>
          </cell>
          <cell r="AC29">
            <v>9806.5891680000004</v>
          </cell>
          <cell r="AD29">
            <v>9931.0775190000004</v>
          </cell>
          <cell r="AE29">
            <v>10057.1749</v>
          </cell>
          <cell r="AF29">
            <v>10185.113139999999</v>
          </cell>
          <cell r="AG29">
            <v>10315.06409</v>
          </cell>
          <cell r="AH29">
            <v>10447.1391</v>
          </cell>
          <cell r="AI29">
            <v>10581.40011</v>
          </cell>
          <cell r="AJ29">
            <v>10717.87321</v>
          </cell>
          <cell r="AK29">
            <v>10856.56127</v>
          </cell>
          <cell r="AL29">
            <v>10993.62868</v>
          </cell>
          <cell r="AM29">
            <v>11131.614519999999</v>
          </cell>
          <cell r="AN29">
            <v>11270.89717</v>
          </cell>
          <cell r="AO29">
            <v>11411.686439999999</v>
          </cell>
          <cell r="AP29">
            <v>11554.14876</v>
          </cell>
          <cell r="AQ29">
            <v>11698.89244</v>
          </cell>
          <cell r="AR29">
            <v>11846.14515</v>
          </cell>
          <cell r="AS29">
            <v>11995.942010000001</v>
          </cell>
          <cell r="AT29">
            <v>12148.233389999999</v>
          </cell>
          <cell r="AU29">
            <v>12302.96018</v>
          </cell>
          <cell r="AV29">
            <v>12460.433139999999</v>
          </cell>
          <cell r="AW29">
            <v>12620.403109999999</v>
          </cell>
          <cell r="AX29">
            <v>12782.833189999999</v>
          </cell>
          <cell r="AY29">
            <v>12947.70703</v>
          </cell>
          <cell r="AZ29">
            <v>13115.01179</v>
          </cell>
          <cell r="BA29">
            <v>13924.567080000001</v>
          </cell>
          <cell r="BB29">
            <v>14138.27967</v>
          </cell>
          <cell r="BC29">
            <v>14355.5419</v>
          </cell>
          <cell r="BD29">
            <v>14576.423720000001</v>
          </cell>
          <cell r="BE29">
            <v>14800.996429999999</v>
          </cell>
        </row>
        <row r="30">
          <cell r="B30">
            <v>78183.368549999999</v>
          </cell>
          <cell r="C30">
            <v>79057.580790000007</v>
          </cell>
          <cell r="D30">
            <v>79996.642670000001</v>
          </cell>
          <cell r="E30">
            <v>80999.238079999996</v>
          </cell>
          <cell r="F30">
            <v>82066.171300000002</v>
          </cell>
          <cell r="G30">
            <v>83192.485409999994</v>
          </cell>
          <cell r="H30">
            <v>84323.628920000003</v>
          </cell>
          <cell r="I30">
            <v>85484.836850000007</v>
          </cell>
          <cell r="J30">
            <v>86675.051019999999</v>
          </cell>
          <cell r="K30">
            <v>87891.627710000001</v>
          </cell>
          <cell r="L30">
            <v>89215.778349999993</v>
          </cell>
          <cell r="M30">
            <v>90504.773929999996</v>
          </cell>
          <cell r="N30">
            <v>91804.391669999997</v>
          </cell>
          <cell r="O30">
            <v>93117.057440000004</v>
          </cell>
          <cell r="P30">
            <v>94442.888510000004</v>
          </cell>
          <cell r="Q30">
            <v>95781.967350000006</v>
          </cell>
          <cell r="R30">
            <v>97134.535770000002</v>
          </cell>
          <cell r="S30">
            <v>98501.412419999993</v>
          </cell>
          <cell r="T30">
            <v>99883.402180000005</v>
          </cell>
          <cell r="U30">
            <v>101281.3624</v>
          </cell>
          <cell r="V30">
            <v>102633.8171</v>
          </cell>
          <cell r="W30">
            <v>104046.10950000001</v>
          </cell>
          <cell r="X30">
            <v>105483.65119999999</v>
          </cell>
          <cell r="Y30">
            <v>106944.3702</v>
          </cell>
          <cell r="Z30">
            <v>108428.15300000001</v>
          </cell>
          <cell r="AA30">
            <v>109754.8854</v>
          </cell>
          <cell r="AB30">
            <v>111141.4724</v>
          </cell>
          <cell r="AC30">
            <v>112542.32090000001</v>
          </cell>
          <cell r="AD30">
            <v>113958.3202</v>
          </cell>
          <cell r="AE30">
            <v>115392.3643</v>
          </cell>
          <cell r="AF30">
            <v>116847.11229999999</v>
          </cell>
          <cell r="AG30">
            <v>118324.5811</v>
          </cell>
          <cell r="AH30">
            <v>119825.9915</v>
          </cell>
          <cell r="AI30">
            <v>121352.0454</v>
          </cell>
          <cell r="AJ30">
            <v>122903.0338</v>
          </cell>
          <cell r="AK30">
            <v>124478.97930000001</v>
          </cell>
          <cell r="AL30">
            <v>126036.4552</v>
          </cell>
          <cell r="AM30">
            <v>127604.04029999999</v>
          </cell>
          <cell r="AN30">
            <v>129186.15240000001</v>
          </cell>
          <cell r="AO30">
            <v>130785.29</v>
          </cell>
          <cell r="AP30">
            <v>132403.40710000001</v>
          </cell>
          <cell r="AQ30">
            <v>134042.19889999999</v>
          </cell>
          <cell r="AR30">
            <v>135702.853</v>
          </cell>
          <cell r="AS30">
            <v>137386.30179999999</v>
          </cell>
          <cell r="AT30">
            <v>139093.17790000001</v>
          </cell>
          <cell r="AU30">
            <v>140823.87210000001</v>
          </cell>
          <cell r="AV30">
            <v>142590.41039999999</v>
          </cell>
          <cell r="AW30">
            <v>144391.82279999999</v>
          </cell>
          <cell r="AX30">
            <v>146226.81419999999</v>
          </cell>
          <cell r="AY30">
            <v>148093.32699999999</v>
          </cell>
          <cell r="AZ30">
            <v>149989.64970000001</v>
          </cell>
          <cell r="BA30">
            <v>159792.89240000001</v>
          </cell>
          <cell r="BB30">
            <v>162231.62650000001</v>
          </cell>
          <cell r="BC30">
            <v>164710.88459999999</v>
          </cell>
          <cell r="BD30">
            <v>167231.40169999999</v>
          </cell>
          <cell r="BE30">
            <v>169793.92929999999</v>
          </cell>
        </row>
        <row r="31">
          <cell r="B31">
            <v>78188.980030000006</v>
          </cell>
          <cell r="C31">
            <v>79067.742670000007</v>
          </cell>
          <cell r="D31">
            <v>80010.828210000007</v>
          </cell>
          <cell r="E31">
            <v>81017.160010000007</v>
          </cell>
          <cell r="F31">
            <v>82088.233049999995</v>
          </cell>
          <cell r="G31">
            <v>83219.641409999997</v>
          </cell>
          <cell r="H31">
            <v>84356.881609999997</v>
          </cell>
          <cell r="I31">
            <v>85525.043810000003</v>
          </cell>
          <cell r="J31">
            <v>86722.896170000007</v>
          </cell>
          <cell r="K31">
            <v>87947.644289999997</v>
          </cell>
          <cell r="L31">
            <v>89280.486969999998</v>
          </cell>
          <cell r="M31">
            <v>90578.626520000005</v>
          </cell>
          <cell r="N31">
            <v>91887.752710000001</v>
          </cell>
          <cell r="O31">
            <v>93210.31078</v>
          </cell>
          <cell r="P31">
            <v>94546.440350000004</v>
          </cell>
          <cell r="Q31">
            <v>95896.231910000002</v>
          </cell>
          <cell r="R31">
            <v>97260.084050000005</v>
          </cell>
          <cell r="S31">
            <v>98638.655530000004</v>
          </cell>
          <cell r="T31">
            <v>100032.7542</v>
          </cell>
          <cell r="U31">
            <v>101443.24559999999</v>
          </cell>
          <cell r="V31">
            <v>102808.51330000001</v>
          </cell>
          <cell r="W31">
            <v>104234.17389999999</v>
          </cell>
          <cell r="X31">
            <v>105685.5438</v>
          </cell>
          <cell r="Y31">
            <v>107160.5529</v>
          </cell>
          <cell r="Z31">
            <v>108659.0952</v>
          </cell>
          <cell r="AA31">
            <v>110000.4958</v>
          </cell>
          <cell r="AB31">
            <v>111402.319</v>
          </cell>
          <cell r="AC31">
            <v>112818.86840000001</v>
          </cell>
          <cell r="AD31">
            <v>114251.0315</v>
          </cell>
          <cell r="AE31">
            <v>115701.7055</v>
          </cell>
          <cell r="AF31">
            <v>117173.55740000001</v>
          </cell>
          <cell r="AG31">
            <v>118668.5644</v>
          </cell>
          <cell r="AH31">
            <v>120188.00750000001</v>
          </cell>
          <cell r="AI31">
            <v>121732.599</v>
          </cell>
          <cell r="AJ31">
            <v>123302.6394</v>
          </cell>
          <cell r="AK31">
            <v>124898.1614</v>
          </cell>
          <cell r="AL31">
            <v>126475.039</v>
          </cell>
          <cell r="AM31">
            <v>128062.4825</v>
          </cell>
          <cell r="AN31">
            <v>129664.845</v>
          </cell>
          <cell r="AO31">
            <v>131284.54029999999</v>
          </cell>
          <cell r="AP31">
            <v>132923.48300000001</v>
          </cell>
          <cell r="AQ31">
            <v>134588.67139999999</v>
          </cell>
          <cell r="AR31">
            <v>136282.72459999999</v>
          </cell>
          <cell r="AS31">
            <v>138006.04680000001</v>
          </cell>
          <cell r="AT31">
            <v>139758.06690000001</v>
          </cell>
          <cell r="AU31">
            <v>141538.1048</v>
          </cell>
          <cell r="AV31">
            <v>143349.7359</v>
          </cell>
          <cell r="AW31">
            <v>145190.09349999999</v>
          </cell>
          <cell r="AX31">
            <v>147058.7531</v>
          </cell>
          <cell r="AY31">
            <v>148955.5269</v>
          </cell>
          <cell r="AZ31">
            <v>150880.26670000001</v>
          </cell>
          <cell r="BA31">
            <v>160193.71</v>
          </cell>
          <cell r="BB31">
            <v>162652.34390000001</v>
          </cell>
          <cell r="BC31">
            <v>165151.8143</v>
          </cell>
          <cell r="BD31">
            <v>167692.9258</v>
          </cell>
          <cell r="BE31">
            <v>170276.4988</v>
          </cell>
        </row>
        <row r="32">
          <cell r="B32">
            <v>15488.11679</v>
          </cell>
          <cell r="C32">
            <v>15730.554</v>
          </cell>
          <cell r="D32">
            <v>15995.98763</v>
          </cell>
          <cell r="E32">
            <v>16268.222959999999</v>
          </cell>
          <cell r="F32">
            <v>16546.055499999999</v>
          </cell>
          <cell r="G32">
            <v>16828.31738</v>
          </cell>
          <cell r="H32">
            <v>17098.188890000001</v>
          </cell>
          <cell r="I32">
            <v>17370.968710000001</v>
          </cell>
          <cell r="J32">
            <v>17646.532370000001</v>
          </cell>
          <cell r="K32">
            <v>17924.900979999999</v>
          </cell>
          <cell r="L32">
            <v>18234.03313</v>
          </cell>
          <cell r="M32">
            <v>18518.151819999999</v>
          </cell>
          <cell r="N32">
            <v>18805.367429999998</v>
          </cell>
          <cell r="O32">
            <v>19095.978899999998</v>
          </cell>
          <cell r="P32">
            <v>19390.237570000001</v>
          </cell>
          <cell r="Q32">
            <v>19688.377899999999</v>
          </cell>
          <cell r="R32">
            <v>19990.634429999998</v>
          </cell>
          <cell r="S32">
            <v>20297.250039999999</v>
          </cell>
          <cell r="T32">
            <v>20608.47378</v>
          </cell>
          <cell r="U32">
            <v>20924.558130000001</v>
          </cell>
          <cell r="V32">
            <v>21224.998810000001</v>
          </cell>
          <cell r="W32">
            <v>21551.750629999999</v>
          </cell>
          <cell r="X32">
            <v>21884.247319999999</v>
          </cell>
          <cell r="Y32">
            <v>22222.654709999999</v>
          </cell>
          <cell r="Z32">
            <v>22567.167359999999</v>
          </cell>
          <cell r="AA32">
            <v>22857.831859999998</v>
          </cell>
          <cell r="AB32">
            <v>23187.081600000001</v>
          </cell>
          <cell r="AC32">
            <v>23523.235379999998</v>
          </cell>
          <cell r="AD32">
            <v>23866.42337</v>
          </cell>
          <cell r="AE32">
            <v>24216.766039999999</v>
          </cell>
          <cell r="AF32">
            <v>24574.360390000002</v>
          </cell>
          <cell r="AG32">
            <v>24939.26872</v>
          </cell>
          <cell r="AH32">
            <v>25311.51208</v>
          </cell>
          <cell r="AI32">
            <v>25691.07188</v>
          </cell>
          <cell r="AJ32">
            <v>26077.896199999999</v>
          </cell>
          <cell r="AK32">
            <v>26471.90868</v>
          </cell>
          <cell r="AL32">
            <v>26858.2781</v>
          </cell>
          <cell r="AM32">
            <v>27251.57185</v>
          </cell>
          <cell r="AN32">
            <v>27651.794699999999</v>
          </cell>
          <cell r="AO32">
            <v>28058.909609999999</v>
          </cell>
          <cell r="AP32">
            <v>28472.862809999999</v>
          </cell>
          <cell r="AQ32">
            <v>28893.594420000001</v>
          </cell>
          <cell r="AR32">
            <v>29321.040099999998</v>
          </cell>
          <cell r="AS32">
            <v>29755.132839999998</v>
          </cell>
          <cell r="AT32">
            <v>30195.803550000001</v>
          </cell>
          <cell r="AU32">
            <v>30642.982489999999</v>
          </cell>
          <cell r="AV32">
            <v>31098.999039999999</v>
          </cell>
          <cell r="AW32">
            <v>31563.33525</v>
          </cell>
          <cell r="AX32">
            <v>32036.342830000001</v>
          </cell>
          <cell r="AY32">
            <v>32517.984380000002</v>
          </cell>
          <cell r="AZ32">
            <v>33008.019690000001</v>
          </cell>
          <cell r="BA32">
            <v>34739.093679999998</v>
          </cell>
          <cell r="BB32">
            <v>35350.257310000001</v>
          </cell>
          <cell r="BC32">
            <v>35973.748610000002</v>
          </cell>
          <cell r="BD32">
            <v>36609.742610000001</v>
          </cell>
          <cell r="BE32">
            <v>37258.403209999997</v>
          </cell>
        </row>
        <row r="33">
          <cell r="B33">
            <v>15488.50352</v>
          </cell>
          <cell r="C33">
            <v>15731.543100000001</v>
          </cell>
          <cell r="D33">
            <v>15997.623380000001</v>
          </cell>
          <cell r="E33">
            <v>16270.510060000001</v>
          </cell>
          <cell r="F33">
            <v>16549.047740000002</v>
          </cell>
          <cell r="G33">
            <v>16832.143690000001</v>
          </cell>
          <cell r="H33">
            <v>17103.029119999999</v>
          </cell>
          <cell r="I33">
            <v>17377.02995</v>
          </cell>
          <cell r="J33">
            <v>17654.019629999999</v>
          </cell>
          <cell r="K33">
            <v>17934.001110000001</v>
          </cell>
          <cell r="L33">
            <v>18244.925660000001</v>
          </cell>
          <cell r="M33">
            <v>18530.96038</v>
          </cell>
          <cell r="N33">
            <v>18820.207900000001</v>
          </cell>
          <cell r="O33">
            <v>19112.951249999998</v>
          </cell>
          <cell r="P33">
            <v>19409.430260000001</v>
          </cell>
          <cell r="Q33">
            <v>19709.870699999999</v>
          </cell>
          <cell r="R33">
            <v>20014.500739999999</v>
          </cell>
          <cell r="S33">
            <v>20323.557820000002</v>
          </cell>
          <cell r="T33">
            <v>20637.288970000001</v>
          </cell>
          <cell r="U33">
            <v>20955.947840000001</v>
          </cell>
          <cell r="V33">
            <v>21258.999619999999</v>
          </cell>
          <cell r="W33">
            <v>21588.470549999998</v>
          </cell>
          <cell r="X33">
            <v>21923.76959</v>
          </cell>
          <cell r="Y33">
            <v>22265.068729999999</v>
          </cell>
          <cell r="Z33">
            <v>22612.568899999998</v>
          </cell>
          <cell r="AA33">
            <v>22906.192899999998</v>
          </cell>
          <cell r="AB33">
            <v>23238.57115</v>
          </cell>
          <cell r="AC33">
            <v>23577.96775</v>
          </cell>
          <cell r="AD33">
            <v>23924.518919999999</v>
          </cell>
          <cell r="AE33">
            <v>24278.34892</v>
          </cell>
          <cell r="AF33">
            <v>24639.557250000002</v>
          </cell>
          <cell r="AG33">
            <v>25008.207989999999</v>
          </cell>
          <cell r="AH33">
            <v>25384.324059999999</v>
          </cell>
          <cell r="AI33">
            <v>25767.88825</v>
          </cell>
          <cell r="AJ33">
            <v>26158.849610000001</v>
          </cell>
          <cell r="AK33">
            <v>26557.132710000002</v>
          </cell>
          <cell r="AL33">
            <v>26947.853210000001</v>
          </cell>
          <cell r="AM33">
            <v>27345.625599999999</v>
          </cell>
          <cell r="AN33">
            <v>27750.452010000001</v>
          </cell>
          <cell r="AO33">
            <v>28162.289830000002</v>
          </cell>
          <cell r="AP33">
            <v>28581.08005</v>
          </cell>
          <cell r="AQ33">
            <v>29007.470130000002</v>
          </cell>
          <cell r="AR33">
            <v>29442.0085</v>
          </cell>
          <cell r="AS33">
            <v>29884.916079999999</v>
          </cell>
          <cell r="AT33">
            <v>30336.132689999999</v>
          </cell>
          <cell r="AU33">
            <v>30795.445520000001</v>
          </cell>
          <cell r="AV33">
            <v>31263.960589999999</v>
          </cell>
          <cell r="AW33">
            <v>31740.087630000002</v>
          </cell>
          <cell r="AX33">
            <v>32223.62082</v>
          </cell>
          <cell r="AY33">
            <v>32714.396700000001</v>
          </cell>
          <cell r="AZ33">
            <v>33212.28153</v>
          </cell>
          <cell r="BA33">
            <v>34943.773430000001</v>
          </cell>
          <cell r="BB33">
            <v>35566.895409999997</v>
          </cell>
          <cell r="BC33">
            <v>36202.660819999997</v>
          </cell>
          <cell r="BD33">
            <v>36851.256710000001</v>
          </cell>
          <cell r="BE33">
            <v>37512.862710000001</v>
          </cell>
        </row>
        <row r="34">
          <cell r="B34">
            <v>20693.224969999999</v>
          </cell>
          <cell r="C34">
            <v>21015.36522</v>
          </cell>
          <cell r="D34">
            <v>21379.028620000001</v>
          </cell>
          <cell r="E34">
            <v>21764.28356</v>
          </cell>
          <cell r="F34">
            <v>22167.114519999999</v>
          </cell>
          <cell r="G34">
            <v>22585.789809999998</v>
          </cell>
          <cell r="H34">
            <v>23001.100900000001</v>
          </cell>
          <cell r="I34">
            <v>23424.64287</v>
          </cell>
          <cell r="J34">
            <v>23856.57373</v>
          </cell>
          <cell r="K34">
            <v>24296.676459999999</v>
          </cell>
          <cell r="L34">
            <v>24776.63494</v>
          </cell>
          <cell r="M34">
            <v>25241.60917</v>
          </cell>
          <cell r="N34">
            <v>25711.587510000001</v>
          </cell>
          <cell r="O34">
            <v>26187.043539999999</v>
          </cell>
          <cell r="P34">
            <v>26668.178319999999</v>
          </cell>
          <cell r="Q34">
            <v>27155.269990000001</v>
          </cell>
          <cell r="R34">
            <v>27648.692859999999</v>
          </cell>
          <cell r="S34">
            <v>28148.89141</v>
          </cell>
          <cell r="T34">
            <v>28656.31928</v>
          </cell>
          <cell r="U34">
            <v>29171.413059999999</v>
          </cell>
          <cell r="V34">
            <v>29670.186679999999</v>
          </cell>
          <cell r="W34">
            <v>30194.38365</v>
          </cell>
          <cell r="X34">
            <v>30729.28803</v>
          </cell>
          <cell r="Y34">
            <v>31274.780340000001</v>
          </cell>
          <cell r="Z34">
            <v>31830.97712</v>
          </cell>
          <cell r="AA34">
            <v>32326.568449999999</v>
          </cell>
          <cell r="AB34">
            <v>32848.35701</v>
          </cell>
          <cell r="AC34">
            <v>33375.691910000001</v>
          </cell>
          <cell r="AD34">
            <v>33909.887589999998</v>
          </cell>
          <cell r="AE34">
            <v>34452.432009999997</v>
          </cell>
          <cell r="AF34">
            <v>35004.572030000003</v>
          </cell>
          <cell r="AG34">
            <v>35567.235000000001</v>
          </cell>
          <cell r="AH34">
            <v>36141.049030000002</v>
          </cell>
          <cell r="AI34">
            <v>36726.411240000001</v>
          </cell>
          <cell r="AJ34">
            <v>37323.554859999997</v>
          </cell>
          <cell r="AK34">
            <v>37932.608789999998</v>
          </cell>
          <cell r="AL34">
            <v>38535.908000000003</v>
          </cell>
          <cell r="AM34">
            <v>39145.367169999998</v>
          </cell>
          <cell r="AN34">
            <v>39762.393100000001</v>
          </cell>
          <cell r="AO34">
            <v>40388.10252</v>
          </cell>
          <cell r="AP34">
            <v>41023.488819999999</v>
          </cell>
          <cell r="AQ34">
            <v>41669.416400000002</v>
          </cell>
          <cell r="AR34">
            <v>42326.585729999999</v>
          </cell>
          <cell r="AS34">
            <v>42995.540249999998</v>
          </cell>
          <cell r="AT34">
            <v>43676.680690000001</v>
          </cell>
          <cell r="AU34">
            <v>44370.29234</v>
          </cell>
          <cell r="AV34">
            <v>45080.216229999998</v>
          </cell>
          <cell r="AW34">
            <v>45805.649599999997</v>
          </cell>
          <cell r="AX34">
            <v>46545.864079999999</v>
          </cell>
          <cell r="AY34">
            <v>47300.140119999996</v>
          </cell>
          <cell r="AZ34">
            <v>48068.128640000003</v>
          </cell>
          <cell r="BA34">
            <v>52337.766199999998</v>
          </cell>
          <cell r="BB34">
            <v>53349.739670000003</v>
          </cell>
          <cell r="BC34">
            <v>54382.347670000003</v>
          </cell>
          <cell r="BD34">
            <v>55436.091399999998</v>
          </cell>
          <cell r="BE34">
            <v>56511.49512</v>
          </cell>
        </row>
        <row r="35">
          <cell r="B35">
            <v>20693.604950000001</v>
          </cell>
          <cell r="C35">
            <v>21016.27289</v>
          </cell>
          <cell r="D35">
            <v>21380.355930000002</v>
          </cell>
          <cell r="E35">
            <v>21766.022540000002</v>
          </cell>
          <cell r="F35">
            <v>22169.425469999998</v>
          </cell>
          <cell r="G35">
            <v>22588.942640000001</v>
          </cell>
          <cell r="H35">
            <v>23005.362819999998</v>
          </cell>
          <cell r="I35">
            <v>23430.23127</v>
          </cell>
          <cell r="J35">
            <v>23863.646809999998</v>
          </cell>
          <cell r="K35">
            <v>24305.34778</v>
          </cell>
          <cell r="L35">
            <v>24787.012640000001</v>
          </cell>
          <cell r="M35">
            <v>25253.771209999999</v>
          </cell>
          <cell r="N35">
            <v>25725.626029999999</v>
          </cell>
          <cell r="O35">
            <v>26203.06567</v>
          </cell>
          <cell r="P35">
            <v>26686.305339999999</v>
          </cell>
          <cell r="Q35">
            <v>27175.63135</v>
          </cell>
          <cell r="R35">
            <v>27671.427070000002</v>
          </cell>
          <cell r="S35">
            <v>28174.131280000001</v>
          </cell>
          <cell r="T35">
            <v>28684.1944</v>
          </cell>
          <cell r="U35">
            <v>29202.049149999999</v>
          </cell>
          <cell r="V35">
            <v>29703.67036</v>
          </cell>
          <cell r="W35">
            <v>30230.858410000001</v>
          </cell>
          <cell r="X35">
            <v>30768.867890000001</v>
          </cell>
          <cell r="Y35">
            <v>31317.573939999998</v>
          </cell>
          <cell r="Z35">
            <v>31877.090400000001</v>
          </cell>
          <cell r="AA35">
            <v>32375.97019</v>
          </cell>
          <cell r="AB35">
            <v>32901.189879999998</v>
          </cell>
          <cell r="AC35">
            <v>33432.055899999999</v>
          </cell>
          <cell r="AD35">
            <v>33969.88379</v>
          </cell>
          <cell r="AE35">
            <v>34516.164320000003</v>
          </cell>
          <cell r="AF35">
            <v>35072.149360000003</v>
          </cell>
          <cell r="AG35">
            <v>35638.769979999997</v>
          </cell>
          <cell r="AH35">
            <v>36216.662389999998</v>
          </cell>
          <cell r="AI35">
            <v>36806.230069999998</v>
          </cell>
          <cell r="AJ35">
            <v>37407.711900000002</v>
          </cell>
          <cell r="AK35">
            <v>38021.24207</v>
          </cell>
          <cell r="AL35">
            <v>38629.078699999998</v>
          </cell>
          <cell r="AM35">
            <v>39243.191890000002</v>
          </cell>
          <cell r="AN35">
            <v>39864.981059999998</v>
          </cell>
          <cell r="AO35">
            <v>40495.549140000003</v>
          </cell>
          <cell r="AP35">
            <v>41135.883900000001</v>
          </cell>
          <cell r="AQ35">
            <v>41788.193879999999</v>
          </cell>
          <cell r="AR35">
            <v>42453.333270000003</v>
          </cell>
          <cell r="AS35">
            <v>43131.416740000001</v>
          </cell>
          <cell r="AT35">
            <v>43822.39546</v>
          </cell>
          <cell r="AU35">
            <v>44526.323519999998</v>
          </cell>
          <cell r="AV35">
            <v>45245.055639999999</v>
          </cell>
          <cell r="AW35">
            <v>45977.770689999998</v>
          </cell>
          <cell r="AX35">
            <v>46724.63147</v>
          </cell>
          <cell r="AY35">
            <v>47485.793230000003</v>
          </cell>
          <cell r="AZ35">
            <v>48261.369559999999</v>
          </cell>
          <cell r="BA35">
            <v>52479.261599999998</v>
          </cell>
          <cell r="BB35">
            <v>53498.937100000003</v>
          </cell>
          <cell r="BC35">
            <v>54539.476699999999</v>
          </cell>
          <cell r="BD35">
            <v>55601.42121</v>
          </cell>
          <cell r="BE35">
            <v>56685.3272</v>
          </cell>
        </row>
        <row r="36">
          <cell r="B36">
            <v>2019763.284</v>
          </cell>
          <cell r="C36">
            <v>2044806.9439999999</v>
          </cell>
          <cell r="D36">
            <v>2072544.165</v>
          </cell>
          <cell r="E36">
            <v>2102608.9989999998</v>
          </cell>
          <cell r="F36">
            <v>2134811.747</v>
          </cell>
          <cell r="G36">
            <v>2168929.4240000001</v>
          </cell>
          <cell r="H36">
            <v>2203464.702</v>
          </cell>
          <cell r="I36">
            <v>2238929.3470000001</v>
          </cell>
          <cell r="J36">
            <v>2275297.9470000002</v>
          </cell>
          <cell r="K36">
            <v>2312504.2510000002</v>
          </cell>
          <cell r="L36">
            <v>2352727.5729999999</v>
          </cell>
          <cell r="M36">
            <v>2392395.4610000001</v>
          </cell>
          <cell r="N36">
            <v>2432436.892</v>
          </cell>
          <cell r="O36">
            <v>2472906.4619999998</v>
          </cell>
          <cell r="P36">
            <v>2513807.2340000002</v>
          </cell>
          <cell r="Q36">
            <v>2555144.787</v>
          </cell>
          <cell r="R36">
            <v>2596931.9840000002</v>
          </cell>
          <cell r="S36">
            <v>2639195.1719999998</v>
          </cell>
          <cell r="T36">
            <v>2681961.5449999999</v>
          </cell>
          <cell r="U36">
            <v>2725258.5180000002</v>
          </cell>
          <cell r="V36">
            <v>2767427.9980000001</v>
          </cell>
          <cell r="W36">
            <v>2811119.0580000002</v>
          </cell>
          <cell r="X36">
            <v>2855624.0660000001</v>
          </cell>
          <cell r="Y36">
            <v>2900891.0589999999</v>
          </cell>
          <cell r="Z36">
            <v>2946912.16</v>
          </cell>
          <cell r="AA36">
            <v>2988796.7570000002</v>
          </cell>
          <cell r="AB36">
            <v>3031834.1839999999</v>
          </cell>
          <cell r="AC36">
            <v>3075171.2030000002</v>
          </cell>
          <cell r="AD36">
            <v>3118876.92</v>
          </cell>
          <cell r="AE36">
            <v>3163060.4240000001</v>
          </cell>
          <cell r="AF36">
            <v>3207816.665</v>
          </cell>
          <cell r="AG36">
            <v>3253216.003</v>
          </cell>
          <cell r="AH36">
            <v>3299302.3620000002</v>
          </cell>
          <cell r="AI36">
            <v>3346100.9569999999</v>
          </cell>
          <cell r="AJ36">
            <v>3393623.327</v>
          </cell>
          <cell r="AK36">
            <v>3441872.557</v>
          </cell>
          <cell r="AL36">
            <v>3489664.0120000001</v>
          </cell>
          <cell r="AM36">
            <v>3537640.1030000001</v>
          </cell>
          <cell r="AN36">
            <v>3585944.4849999999</v>
          </cell>
          <cell r="AO36">
            <v>3634673.463</v>
          </cell>
          <cell r="AP36">
            <v>3683907.4109999998</v>
          </cell>
          <cell r="AQ36">
            <v>3733716.2439999999</v>
          </cell>
          <cell r="AR36">
            <v>3784153.91</v>
          </cell>
          <cell r="AS36">
            <v>3835262.898</v>
          </cell>
          <cell r="AT36">
            <v>3887074.2459999998</v>
          </cell>
          <cell r="AU36">
            <v>3939609.6919999998</v>
          </cell>
          <cell r="AV36">
            <v>3993268.2769999998</v>
          </cell>
          <cell r="AW36">
            <v>4048043.2850000001</v>
          </cell>
          <cell r="AX36">
            <v>4103863.6809999999</v>
          </cell>
          <cell r="AY36">
            <v>4160633.4449999998</v>
          </cell>
          <cell r="AZ36">
            <v>4218278.6459999997</v>
          </cell>
          <cell r="BA36">
            <v>4542533.9309999999</v>
          </cell>
          <cell r="BB36">
            <v>4617958.6519999998</v>
          </cell>
          <cell r="BC36">
            <v>4694587.21</v>
          </cell>
          <cell r="BD36">
            <v>4772441.5109999999</v>
          </cell>
          <cell r="BE36">
            <v>4851545.0520000001</v>
          </cell>
        </row>
        <row r="37">
          <cell r="B37">
            <v>2019916.0160000001</v>
          </cell>
          <cell r="C37">
            <v>2045152.9140000001</v>
          </cell>
          <cell r="D37">
            <v>2073036.5</v>
          </cell>
          <cell r="E37">
            <v>2103219.6069999998</v>
          </cell>
          <cell r="F37">
            <v>2135547.7689999999</v>
          </cell>
          <cell r="G37">
            <v>2169826.1719999998</v>
          </cell>
          <cell r="H37">
            <v>2204555.9670000002</v>
          </cell>
          <cell r="I37">
            <v>2240241.1179999998</v>
          </cell>
          <cell r="J37">
            <v>2276847.7799999998</v>
          </cell>
          <cell r="K37">
            <v>2314302.7930000001</v>
          </cell>
          <cell r="L37">
            <v>2354783.2779999999</v>
          </cell>
          <cell r="M37">
            <v>2394713.92</v>
          </cell>
          <cell r="N37">
            <v>2435022.659</v>
          </cell>
          <cell r="O37">
            <v>2475765.466</v>
          </cell>
          <cell r="P37">
            <v>2516946.87</v>
          </cell>
          <cell r="Q37">
            <v>2558573.1370000001</v>
          </cell>
          <cell r="R37">
            <v>2600660.6009999998</v>
          </cell>
          <cell r="S37">
            <v>2643233.2719999999</v>
          </cell>
          <cell r="T37">
            <v>2686318.78</v>
          </cell>
          <cell r="U37">
            <v>2729945.1260000002</v>
          </cell>
          <cell r="V37">
            <v>2772451.2749999999</v>
          </cell>
          <cell r="W37">
            <v>2816492.71</v>
          </cell>
          <cell r="X37">
            <v>2861359.9670000002</v>
          </cell>
          <cell r="Y37">
            <v>2907000.915</v>
          </cell>
          <cell r="Z37">
            <v>2953407.5520000001</v>
          </cell>
          <cell r="AA37">
            <v>2995675.8849999998</v>
          </cell>
          <cell r="AB37">
            <v>3039109.5720000002</v>
          </cell>
          <cell r="AC37">
            <v>3082853.0090000001</v>
          </cell>
          <cell r="AD37">
            <v>3126974.767</v>
          </cell>
          <cell r="AE37">
            <v>3171583.568</v>
          </cell>
          <cell r="AF37">
            <v>3216774.1919999998</v>
          </cell>
          <cell r="AG37">
            <v>3262615.9679999999</v>
          </cell>
          <cell r="AH37">
            <v>3309153.7519999999</v>
          </cell>
          <cell r="AI37">
            <v>3356412.92</v>
          </cell>
          <cell r="AJ37">
            <v>3404405.1949999998</v>
          </cell>
          <cell r="AK37">
            <v>3453133.8870000001</v>
          </cell>
          <cell r="AL37">
            <v>3501399.622</v>
          </cell>
          <cell r="AM37">
            <v>3549856.1770000001</v>
          </cell>
          <cell r="AN37">
            <v>3598642.2540000002</v>
          </cell>
          <cell r="AO37">
            <v>3647849.4029999999</v>
          </cell>
          <cell r="AP37">
            <v>3697556.7629999998</v>
          </cell>
          <cell r="AQ37">
            <v>3748023.8739999998</v>
          </cell>
          <cell r="AR37">
            <v>3799347.2510000002</v>
          </cell>
          <cell r="AS37">
            <v>3851533.0819999999</v>
          </cell>
          <cell r="AT37">
            <v>3904552.04</v>
          </cell>
          <cell r="AU37">
            <v>3958375.1940000001</v>
          </cell>
          <cell r="AV37">
            <v>4013097.3489999999</v>
          </cell>
          <cell r="AW37">
            <v>4068657.8250000002</v>
          </cell>
          <cell r="AX37">
            <v>4125052.0070000002</v>
          </cell>
          <cell r="AY37">
            <v>4182283.642</v>
          </cell>
          <cell r="AZ37">
            <v>4240358.3260000004</v>
          </cell>
          <cell r="BA37">
            <v>4550279.9239999996</v>
          </cell>
          <cell r="BB37">
            <v>4626018.0379999997</v>
          </cell>
          <cell r="BC37">
            <v>4702960.2850000001</v>
          </cell>
          <cell r="BD37">
            <v>4781131.4129999997</v>
          </cell>
          <cell r="BE37">
            <v>4860557.57</v>
          </cell>
        </row>
        <row r="38">
          <cell r="B38">
            <v>540974.46420000005</v>
          </cell>
          <cell r="C38">
            <v>548898.60649999999</v>
          </cell>
          <cell r="D38">
            <v>557504.57889999996</v>
          </cell>
          <cell r="E38">
            <v>566380.78960000002</v>
          </cell>
          <cell r="F38">
            <v>575522.5895</v>
          </cell>
          <cell r="G38">
            <v>584917.37809999997</v>
          </cell>
          <cell r="H38">
            <v>594038.62710000004</v>
          </cell>
          <cell r="I38">
            <v>603329.55570000003</v>
          </cell>
          <cell r="J38">
            <v>612787.49840000004</v>
          </cell>
          <cell r="K38">
            <v>622407.58310000005</v>
          </cell>
          <cell r="L38">
            <v>633078.70970000001</v>
          </cell>
          <cell r="M38">
            <v>643093.80830000003</v>
          </cell>
          <cell r="N38">
            <v>653244.07929999998</v>
          </cell>
          <cell r="O38">
            <v>663535.94779999997</v>
          </cell>
          <cell r="P38">
            <v>673971.24780000001</v>
          </cell>
          <cell r="Q38">
            <v>684552.30180000002</v>
          </cell>
          <cell r="R38">
            <v>695282.30169999995</v>
          </cell>
          <cell r="S38">
            <v>706165.09010000003</v>
          </cell>
          <cell r="T38">
            <v>717204.67850000004</v>
          </cell>
          <cell r="U38">
            <v>728404.99890000001</v>
          </cell>
          <cell r="V38">
            <v>739103.52709999995</v>
          </cell>
          <cell r="W38">
            <v>750575.59210000001</v>
          </cell>
          <cell r="X38">
            <v>762233.50679999997</v>
          </cell>
          <cell r="Y38">
            <v>774075.33900000004</v>
          </cell>
          <cell r="Z38">
            <v>786102.98919999995</v>
          </cell>
          <cell r="AA38">
            <v>796387.42099999997</v>
          </cell>
          <cell r="AB38">
            <v>807698.20869999996</v>
          </cell>
          <cell r="AC38">
            <v>819145.51089999999</v>
          </cell>
          <cell r="AD38">
            <v>830734.98400000005</v>
          </cell>
          <cell r="AE38">
            <v>842477.01910000003</v>
          </cell>
          <cell r="AF38">
            <v>854380.95689999999</v>
          </cell>
          <cell r="AG38">
            <v>866454.05969999998</v>
          </cell>
          <cell r="AH38">
            <v>878701.58539999998</v>
          </cell>
          <cell r="AI38">
            <v>891127.27890000003</v>
          </cell>
          <cell r="AJ38">
            <v>903733.87490000005</v>
          </cell>
          <cell r="AK38">
            <v>916523.52949999995</v>
          </cell>
          <cell r="AL38">
            <v>929028.26529999997</v>
          </cell>
          <cell r="AM38">
            <v>941671.31570000004</v>
          </cell>
          <cell r="AN38">
            <v>954464.42279999994</v>
          </cell>
          <cell r="AO38">
            <v>967415.93079999997</v>
          </cell>
          <cell r="AP38">
            <v>980533.49269999994</v>
          </cell>
          <cell r="AQ38">
            <v>993824.14450000005</v>
          </cell>
          <cell r="AR38">
            <v>1007293.9840000001</v>
          </cell>
          <cell r="AS38">
            <v>1020948.1409999999</v>
          </cell>
          <cell r="AT38">
            <v>1034790.848</v>
          </cell>
          <cell r="AU38">
            <v>1048825.6170000001</v>
          </cell>
          <cell r="AV38">
            <v>1063111.2420000001</v>
          </cell>
          <cell r="AW38">
            <v>1077613.0789999999</v>
          </cell>
          <cell r="AX38">
            <v>1092328.1669999999</v>
          </cell>
          <cell r="AY38">
            <v>1107253.203</v>
          </cell>
          <cell r="AZ38">
            <v>1122386.7949999999</v>
          </cell>
          <cell r="BA38">
            <v>1233911.6610000001</v>
          </cell>
          <cell r="BB38">
            <v>1255059.872</v>
          </cell>
          <cell r="BC38">
            <v>1276567.656</v>
          </cell>
          <cell r="BD38">
            <v>1298441.4480000001</v>
          </cell>
          <cell r="BE38">
            <v>1320687.8959999999</v>
          </cell>
        </row>
        <row r="39">
          <cell r="B39">
            <v>540979.77839999995</v>
          </cell>
          <cell r="C39">
            <v>548916.37239999999</v>
          </cell>
          <cell r="D39">
            <v>557530.94790000003</v>
          </cell>
          <cell r="E39">
            <v>566413.46889999998</v>
          </cell>
          <cell r="F39">
            <v>575561.65830000001</v>
          </cell>
          <cell r="G39">
            <v>584964.75179999997</v>
          </cell>
          <cell r="H39">
            <v>594095.96239999996</v>
          </cell>
          <cell r="I39">
            <v>603398.01320000004</v>
          </cell>
          <cell r="J39">
            <v>612867.74860000005</v>
          </cell>
          <cell r="K39">
            <v>622499.92859999998</v>
          </cell>
          <cell r="L39">
            <v>633183.34829999995</v>
          </cell>
          <cell r="M39">
            <v>643210.79410000006</v>
          </cell>
          <cell r="N39">
            <v>653373.55660000001</v>
          </cell>
          <cell r="O39">
            <v>663678.18570000003</v>
          </cell>
          <cell r="P39">
            <v>674126.62349999999</v>
          </cell>
          <cell r="Q39">
            <v>684721.2341</v>
          </cell>
          <cell r="R39">
            <v>695465.28729999997</v>
          </cell>
          <cell r="S39">
            <v>706362.61769999994</v>
          </cell>
          <cell r="T39">
            <v>717417.24010000005</v>
          </cell>
          <cell r="U39">
            <v>728633.09239999996</v>
          </cell>
          <cell r="V39">
            <v>739347.50679999997</v>
          </cell>
          <cell r="W39">
            <v>750836.05359999998</v>
          </cell>
          <cell r="X39">
            <v>762510.96710000001</v>
          </cell>
          <cell r="Y39">
            <v>774370.28670000006</v>
          </cell>
          <cell r="Z39">
            <v>786415.89</v>
          </cell>
          <cell r="AA39">
            <v>796718.15590000001</v>
          </cell>
          <cell r="AB39">
            <v>808047.23490000004</v>
          </cell>
          <cell r="AC39">
            <v>819513.16709999996</v>
          </cell>
          <cell r="AD39">
            <v>831121.57860000001</v>
          </cell>
          <cell r="AE39">
            <v>842882.84730000002</v>
          </cell>
          <cell r="AF39">
            <v>854806.31319999998</v>
          </cell>
          <cell r="AG39">
            <v>866899.22290000005</v>
          </cell>
          <cell r="AH39">
            <v>879166.85030000005</v>
          </cell>
          <cell r="AI39">
            <v>891612.9547</v>
          </cell>
          <cell r="AJ39">
            <v>904240.28529999999</v>
          </cell>
          <cell r="AK39">
            <v>917051.01300000004</v>
          </cell>
          <cell r="AL39">
            <v>929576.73679999996</v>
          </cell>
          <cell r="AM39">
            <v>942240.86459999997</v>
          </cell>
          <cell r="AN39">
            <v>955054.79969999997</v>
          </cell>
          <cell r="AO39">
            <v>968026.59290000005</v>
          </cell>
          <cell r="AP39">
            <v>981163.84860000003</v>
          </cell>
          <cell r="AQ39">
            <v>994482.73840000003</v>
          </cell>
          <cell r="AR39">
            <v>1007990.7929999999</v>
          </cell>
          <cell r="AS39">
            <v>1021690.686</v>
          </cell>
          <cell r="AT39">
            <v>1035583.42</v>
          </cell>
          <cell r="AU39">
            <v>1049670.189</v>
          </cell>
          <cell r="AV39">
            <v>1063995.71</v>
          </cell>
          <cell r="AW39">
            <v>1078524.3</v>
          </cell>
          <cell r="AX39">
            <v>1093258.0589999999</v>
          </cell>
          <cell r="AY39">
            <v>1108199.4950000001</v>
          </cell>
          <cell r="AZ39">
            <v>1123351.105</v>
          </cell>
          <cell r="BA39">
            <v>1234252.1529999999</v>
          </cell>
          <cell r="BB39">
            <v>1255414.557</v>
          </cell>
          <cell r="BC39">
            <v>1276936.693</v>
          </cell>
          <cell r="BD39">
            <v>1298825.179</v>
          </cell>
          <cell r="BE39">
            <v>1321086.8219999999</v>
          </cell>
        </row>
        <row r="40">
          <cell r="B40">
            <v>4225.7564469999998</v>
          </cell>
          <cell r="C40">
            <v>4271.3365960000001</v>
          </cell>
          <cell r="D40">
            <v>4322.9012540000003</v>
          </cell>
          <cell r="E40">
            <v>4379.9274480000004</v>
          </cell>
          <cell r="F40">
            <v>4441.9635179999996</v>
          </cell>
          <cell r="G40">
            <v>4508.3504059999996</v>
          </cell>
          <cell r="H40">
            <v>4575.6841880000002</v>
          </cell>
          <cell r="I40">
            <v>4645.1648409999998</v>
          </cell>
          <cell r="J40">
            <v>4716.694133</v>
          </cell>
          <cell r="K40">
            <v>4790.0733810000002</v>
          </cell>
          <cell r="L40">
            <v>4869.9480439999998</v>
          </cell>
          <cell r="M40">
            <v>4948.2147990000003</v>
          </cell>
          <cell r="N40">
            <v>5027.2404550000001</v>
          </cell>
          <cell r="O40">
            <v>5107.263449</v>
          </cell>
          <cell r="P40">
            <v>5188.3162679999996</v>
          </cell>
          <cell r="Q40">
            <v>5270.4086139999999</v>
          </cell>
          <cell r="R40">
            <v>5353.5673200000001</v>
          </cell>
          <cell r="S40">
            <v>5437.829232</v>
          </cell>
          <cell r="T40">
            <v>5523.2429780000002</v>
          </cell>
          <cell r="U40">
            <v>5609.862873</v>
          </cell>
          <cell r="V40">
            <v>5694.1382400000002</v>
          </cell>
          <cell r="W40">
            <v>5782.0651660000003</v>
          </cell>
          <cell r="X40">
            <v>5871.8492539999997</v>
          </cell>
          <cell r="Y40">
            <v>5963.3017170000003</v>
          </cell>
          <cell r="Z40">
            <v>6056.4021510000002</v>
          </cell>
          <cell r="AA40">
            <v>6140.7049539999998</v>
          </cell>
          <cell r="AB40">
            <v>6228.4610409999996</v>
          </cell>
          <cell r="AC40">
            <v>6317.4730330000002</v>
          </cell>
          <cell r="AD40">
            <v>6407.6992620000001</v>
          </cell>
          <cell r="AE40">
            <v>6499.2698979999996</v>
          </cell>
          <cell r="AF40">
            <v>6592.3192209999997</v>
          </cell>
          <cell r="AG40">
            <v>6686.9465399999999</v>
          </cell>
          <cell r="AH40">
            <v>6783.2135500000004</v>
          </cell>
          <cell r="AI40">
            <v>6881.1474479999997</v>
          </cell>
          <cell r="AJ40">
            <v>6980.7492300000004</v>
          </cell>
          <cell r="AK40">
            <v>7082.0020590000004</v>
          </cell>
          <cell r="AL40">
            <v>7182.3129669999998</v>
          </cell>
          <cell r="AM40">
            <v>7283.2737729999999</v>
          </cell>
          <cell r="AN40">
            <v>7385.1882519999999</v>
          </cell>
          <cell r="AO40">
            <v>7488.1968109999998</v>
          </cell>
          <cell r="AP40">
            <v>7592.3956150000004</v>
          </cell>
          <cell r="AQ40">
            <v>7697.8582050000005</v>
          </cell>
          <cell r="AR40">
            <v>7804.6426080000001</v>
          </cell>
          <cell r="AS40">
            <v>7912.7894390000001</v>
          </cell>
          <cell r="AT40">
            <v>8022.3240599999999</v>
          </cell>
          <cell r="AU40">
            <v>8133.2596409999996</v>
          </cell>
          <cell r="AV40">
            <v>8246.1781780000001</v>
          </cell>
          <cell r="AW40">
            <v>8361.2324540000009</v>
          </cell>
          <cell r="AX40">
            <v>8478.4659699999993</v>
          </cell>
          <cell r="AY40">
            <v>8597.8009839999995</v>
          </cell>
          <cell r="AZ40">
            <v>8719.1273590000001</v>
          </cell>
          <cell r="BA40">
            <v>9299.3698519999998</v>
          </cell>
          <cell r="BB40">
            <v>9457.0824250000005</v>
          </cell>
          <cell r="BC40">
            <v>9617.4964099999997</v>
          </cell>
          <cell r="BD40">
            <v>9780.6466670000009</v>
          </cell>
          <cell r="BE40">
            <v>9946.5684729999994</v>
          </cell>
        </row>
        <row r="41">
          <cell r="B41">
            <v>4225.683086</v>
          </cell>
          <cell r="C41">
            <v>4271.2441689999996</v>
          </cell>
          <cell r="D41">
            <v>4322.834965</v>
          </cell>
          <cell r="E41">
            <v>4379.8985380000004</v>
          </cell>
          <cell r="F41">
            <v>4441.9908850000002</v>
          </cell>
          <cell r="G41">
            <v>4508.4709249999996</v>
          </cell>
          <cell r="H41">
            <v>4575.9507610000001</v>
          </cell>
          <cell r="I41">
            <v>4645.6334079999997</v>
          </cell>
          <cell r="J41">
            <v>4717.4152629999999</v>
          </cell>
          <cell r="K41">
            <v>4791.0897859999995</v>
          </cell>
          <cell r="L41">
            <v>4871.2972659999996</v>
          </cell>
          <cell r="M41">
            <v>4949.9214789999996</v>
          </cell>
          <cell r="N41">
            <v>5029.3278229999996</v>
          </cell>
          <cell r="O41">
            <v>5109.7531140000001</v>
          </cell>
          <cell r="P41">
            <v>5191.2291590000004</v>
          </cell>
          <cell r="Q41">
            <v>5273.7656800000004</v>
          </cell>
          <cell r="R41">
            <v>5357.3857989999997</v>
          </cell>
          <cell r="S41">
            <v>5442.1281300000001</v>
          </cell>
          <cell r="T41">
            <v>5528.0419069999998</v>
          </cell>
          <cell r="U41">
            <v>5615.1818389999999</v>
          </cell>
          <cell r="V41">
            <v>5699.9925059999996</v>
          </cell>
          <cell r="W41">
            <v>5788.4786990000002</v>
          </cell>
          <cell r="X41">
            <v>5878.8437690000001</v>
          </cell>
          <cell r="Y41">
            <v>5970.8989819999997</v>
          </cell>
          <cell r="Z41">
            <v>6064.624366</v>
          </cell>
          <cell r="AA41">
            <v>6149.5550359999997</v>
          </cell>
          <cell r="AB41">
            <v>6237.9669979999999</v>
          </cell>
          <cell r="AC41">
            <v>6327.6581759999999</v>
          </cell>
          <cell r="AD41">
            <v>6418.5865759999997</v>
          </cell>
          <cell r="AE41">
            <v>6510.8823389999998</v>
          </cell>
          <cell r="AF41">
            <v>6604.6798799999997</v>
          </cell>
          <cell r="AG41">
            <v>6700.0797270000003</v>
          </cell>
          <cell r="AH41">
            <v>6797.1432949999999</v>
          </cell>
          <cell r="AI41">
            <v>6895.8977379999997</v>
          </cell>
          <cell r="AJ41">
            <v>6996.3440149999997</v>
          </cell>
          <cell r="AK41">
            <v>7098.4652770000002</v>
          </cell>
          <cell r="AL41">
            <v>7199.6693130000003</v>
          </cell>
          <cell r="AM41">
            <v>7301.546593</v>
          </cell>
          <cell r="AN41">
            <v>7404.4083890000002</v>
          </cell>
          <cell r="AO41">
            <v>7508.3975410000003</v>
          </cell>
          <cell r="AP41">
            <v>7613.6054240000003</v>
          </cell>
          <cell r="AQ41">
            <v>7720.3345140000001</v>
          </cell>
          <cell r="AR41">
            <v>7828.841633</v>
          </cell>
          <cell r="AS41">
            <v>7939.2183510000004</v>
          </cell>
          <cell r="AT41">
            <v>8051.4498919999996</v>
          </cell>
          <cell r="AU41">
            <v>8165.4825849999997</v>
          </cell>
          <cell r="AV41">
            <v>8281.4979160000003</v>
          </cell>
          <cell r="AW41">
            <v>8399.3060700000005</v>
          </cell>
          <cell r="AX41">
            <v>8518.8491290000002</v>
          </cell>
          <cell r="AY41">
            <v>8640.0929770000002</v>
          </cell>
          <cell r="AZ41">
            <v>8763.0119300000006</v>
          </cell>
          <cell r="BA41">
            <v>9336.7969190000003</v>
          </cell>
          <cell r="BB41">
            <v>9496.1710920000005</v>
          </cell>
          <cell r="BC41">
            <v>9658.2496090000004</v>
          </cell>
          <cell r="BD41">
            <v>9823.0714029999999</v>
          </cell>
          <cell r="BE41">
            <v>9990.6764860000003</v>
          </cell>
        </row>
        <row r="42">
          <cell r="B42">
            <v>35486.546260000003</v>
          </cell>
          <cell r="C42">
            <v>35768.505859999997</v>
          </cell>
          <cell r="D42">
            <v>36035.482969999997</v>
          </cell>
          <cell r="E42">
            <v>36332.283949999997</v>
          </cell>
          <cell r="F42">
            <v>36672.571129999997</v>
          </cell>
          <cell r="G42">
            <v>37054.553879999999</v>
          </cell>
          <cell r="H42">
            <v>37450.829089999999</v>
          </cell>
          <cell r="I42">
            <v>37869.90511</v>
          </cell>
          <cell r="J42">
            <v>38308.038059999999</v>
          </cell>
          <cell r="K42">
            <v>38761.673110000003</v>
          </cell>
          <cell r="L42">
            <v>39264.715960000001</v>
          </cell>
          <cell r="M42">
            <v>39751.788</v>
          </cell>
          <cell r="N42">
            <v>40245.179120000001</v>
          </cell>
          <cell r="O42">
            <v>40745.973590000001</v>
          </cell>
          <cell r="P42">
            <v>41253.961909999998</v>
          </cell>
          <cell r="Q42">
            <v>41768.846729999997</v>
          </cell>
          <cell r="R42">
            <v>42290.561670000003</v>
          </cell>
          <cell r="S42">
            <v>42818.92987</v>
          </cell>
          <cell r="T42">
            <v>43353.906990000003</v>
          </cell>
          <cell r="U42">
            <v>43895.513120000003</v>
          </cell>
          <cell r="V42">
            <v>44416.741349999997</v>
          </cell>
          <cell r="W42">
            <v>44964.853640000001</v>
          </cell>
          <cell r="X42">
            <v>45522.37055</v>
          </cell>
          <cell r="Y42">
            <v>46087.937919999997</v>
          </cell>
          <cell r="Z42">
            <v>46661.356970000001</v>
          </cell>
          <cell r="AA42">
            <v>47164.519699999997</v>
          </cell>
          <cell r="AB42">
            <v>47696.572619999999</v>
          </cell>
          <cell r="AC42">
            <v>48233.883099999999</v>
          </cell>
          <cell r="AD42">
            <v>48775.67598</v>
          </cell>
          <cell r="AE42">
            <v>49322.538800000002</v>
          </cell>
          <cell r="AF42">
            <v>49875.207520000004</v>
          </cell>
          <cell r="AG42">
            <v>50434.292419999998</v>
          </cell>
          <cell r="AH42">
            <v>51000.336739999999</v>
          </cell>
          <cell r="AI42">
            <v>51573.743739999998</v>
          </cell>
          <cell r="AJ42">
            <v>52154.807820000002</v>
          </cell>
          <cell r="AK42">
            <v>52743.73904</v>
          </cell>
          <cell r="AL42">
            <v>53321.472990000002</v>
          </cell>
          <cell r="AM42">
            <v>53902.2258</v>
          </cell>
          <cell r="AN42">
            <v>54487.845840000002</v>
          </cell>
          <cell r="AO42">
            <v>55079.137190000001</v>
          </cell>
          <cell r="AP42">
            <v>55676.670760000001</v>
          </cell>
          <cell r="AQ42">
            <v>56280.86075</v>
          </cell>
          <cell r="AR42">
            <v>56892.143779999999</v>
          </cell>
          <cell r="AS42">
            <v>57510.857730000003</v>
          </cell>
          <cell r="AT42">
            <v>58137.265769999998</v>
          </cell>
          <cell r="AU42">
            <v>58771.567949999997</v>
          </cell>
          <cell r="AV42">
            <v>59412.960899999998</v>
          </cell>
          <cell r="AW42">
            <v>60061.482960000001</v>
          </cell>
          <cell r="AX42">
            <v>60718.322169999999</v>
          </cell>
          <cell r="AY42">
            <v>61384.345759999997</v>
          </cell>
          <cell r="AZ42">
            <v>62060.077469999997</v>
          </cell>
          <cell r="BA42">
            <v>67926.883799999996</v>
          </cell>
          <cell r="BB42">
            <v>68915.504950000002</v>
          </cell>
          <cell r="BC42">
            <v>69920.264439999999</v>
          </cell>
          <cell r="BD42">
            <v>70941.557520000002</v>
          </cell>
          <cell r="BE42">
            <v>71979.801760000002</v>
          </cell>
        </row>
        <row r="43">
          <cell r="B43">
            <v>35480.154569999999</v>
          </cell>
          <cell r="C43">
            <v>35749.020559999997</v>
          </cell>
          <cell r="D43">
            <v>36006.944340000002</v>
          </cell>
          <cell r="E43">
            <v>36296.421750000001</v>
          </cell>
          <cell r="F43">
            <v>36629.341670000002</v>
          </cell>
          <cell r="G43">
            <v>37002.616150000002</v>
          </cell>
          <cell r="H43">
            <v>37389.758099999999</v>
          </cell>
          <cell r="I43">
            <v>37799.675349999998</v>
          </cell>
          <cell r="J43">
            <v>38228.743130000003</v>
          </cell>
          <cell r="K43">
            <v>38673.435259999998</v>
          </cell>
          <cell r="L43">
            <v>39167.6109</v>
          </cell>
          <cell r="M43">
            <v>39645.776680000003</v>
          </cell>
          <cell r="N43">
            <v>40130.228360000001</v>
          </cell>
          <cell r="O43">
            <v>40622.016759999999</v>
          </cell>
          <cell r="P43">
            <v>41120.932410000001</v>
          </cell>
          <cell r="Q43">
            <v>41626.749640000002</v>
          </cell>
          <cell r="R43">
            <v>42139.342810000002</v>
          </cell>
          <cell r="S43">
            <v>42658.65756</v>
          </cell>
          <cell r="T43">
            <v>43184.679909999999</v>
          </cell>
          <cell r="U43">
            <v>43717.418949999999</v>
          </cell>
          <cell r="V43">
            <v>44229.872360000001</v>
          </cell>
          <cell r="W43">
            <v>44769.20291</v>
          </cell>
          <cell r="X43">
            <v>45317.899060000003</v>
          </cell>
          <cell r="Y43">
            <v>45874.579709999998</v>
          </cell>
          <cell r="Z43">
            <v>46439.030250000003</v>
          </cell>
          <cell r="AA43">
            <v>46933.26756</v>
          </cell>
          <cell r="AB43">
            <v>47456.36722</v>
          </cell>
          <cell r="AC43">
            <v>47984.664429999997</v>
          </cell>
          <cell r="AD43">
            <v>48517.3802</v>
          </cell>
          <cell r="AE43">
            <v>49055.109270000001</v>
          </cell>
          <cell r="AF43">
            <v>49598.600530000003</v>
          </cell>
          <cell r="AG43">
            <v>50148.518100000001</v>
          </cell>
          <cell r="AH43">
            <v>50705.39645</v>
          </cell>
          <cell r="AI43">
            <v>51269.643680000001</v>
          </cell>
          <cell r="AJ43">
            <v>51841.55977</v>
          </cell>
          <cell r="AK43">
            <v>52421.359259999997</v>
          </cell>
          <cell r="AL43">
            <v>52990.3891</v>
          </cell>
          <cell r="AM43">
            <v>53562.624219999998</v>
          </cell>
          <cell r="AN43">
            <v>54140.588170000003</v>
          </cell>
          <cell r="AO43">
            <v>54725.529640000001</v>
          </cell>
          <cell r="AP43">
            <v>55317.954729999998</v>
          </cell>
          <cell r="AQ43">
            <v>55916.046009999998</v>
          </cell>
          <cell r="AR43">
            <v>56520.041369999999</v>
          </cell>
          <cell r="AS43">
            <v>57130.463629999998</v>
          </cell>
          <cell r="AT43">
            <v>57747.99192</v>
          </cell>
          <cell r="AU43">
            <v>58373.348530000003</v>
          </cell>
          <cell r="AV43">
            <v>59008.858410000001</v>
          </cell>
          <cell r="AW43">
            <v>59653.726990000003</v>
          </cell>
          <cell r="AX43">
            <v>60308.103080000001</v>
          </cell>
          <cell r="AY43">
            <v>60972.094729999997</v>
          </cell>
          <cell r="AZ43">
            <v>61645.736749999996</v>
          </cell>
          <cell r="BA43">
            <v>67946.043550000002</v>
          </cell>
          <cell r="BB43">
            <v>68930.646030000004</v>
          </cell>
          <cell r="BC43">
            <v>69931.037639999995</v>
          </cell>
          <cell r="BD43">
            <v>70947.610119999998</v>
          </cell>
          <cell r="BE43">
            <v>71980.767460000003</v>
          </cell>
        </row>
        <row r="44">
          <cell r="B44">
            <v>3932.1136710000001</v>
          </cell>
          <cell r="C44">
            <v>3954.38832</v>
          </cell>
          <cell r="D44">
            <v>3974.2769499999999</v>
          </cell>
          <cell r="E44">
            <v>3999.015124</v>
          </cell>
          <cell r="F44">
            <v>4030.380482</v>
          </cell>
          <cell r="G44">
            <v>4067.8207510000002</v>
          </cell>
          <cell r="H44">
            <v>4108.172998</v>
          </cell>
          <cell r="I44">
            <v>4151.8055370000002</v>
          </cell>
          <cell r="J44">
            <v>4197.9777110000005</v>
          </cell>
          <cell r="K44">
            <v>4246.1106470000004</v>
          </cell>
          <cell r="L44">
            <v>4299.3265410000004</v>
          </cell>
          <cell r="M44">
            <v>4351.2278710000001</v>
          </cell>
          <cell r="N44">
            <v>4403.9775950000003</v>
          </cell>
          <cell r="O44">
            <v>4457.5560079999996</v>
          </cell>
          <cell r="P44">
            <v>4511.8854179999998</v>
          </cell>
          <cell r="Q44">
            <v>4566.9043540000002</v>
          </cell>
          <cell r="R44">
            <v>4622.5821150000002</v>
          </cell>
          <cell r="S44">
            <v>4678.8870960000004</v>
          </cell>
          <cell r="T44">
            <v>4735.8044049999999</v>
          </cell>
          <cell r="U44">
            <v>4793.3266100000001</v>
          </cell>
          <cell r="V44">
            <v>4848.8310279999996</v>
          </cell>
          <cell r="W44">
            <v>4906.8743940000004</v>
          </cell>
          <cell r="X44">
            <v>4965.6998400000002</v>
          </cell>
          <cell r="Y44">
            <v>5025.2264590000004</v>
          </cell>
          <cell r="Z44">
            <v>5085.446903</v>
          </cell>
          <cell r="AA44">
            <v>5138.7962319999997</v>
          </cell>
          <cell r="AB44">
            <v>5194.8579520000003</v>
          </cell>
          <cell r="AC44">
            <v>5251.1621240000004</v>
          </cell>
          <cell r="AD44">
            <v>5307.7025569999996</v>
          </cell>
          <cell r="AE44">
            <v>5364.5684369999999</v>
          </cell>
          <cell r="AF44">
            <v>5421.8543129999998</v>
          </cell>
          <cell r="AG44">
            <v>5479.6392079999996</v>
          </cell>
          <cell r="AH44">
            <v>5537.991419</v>
          </cell>
          <cell r="AI44">
            <v>5596.9628780000003</v>
          </cell>
          <cell r="AJ44">
            <v>5656.5931119999996</v>
          </cell>
          <cell r="AK44">
            <v>5716.912163</v>
          </cell>
          <cell r="AL44">
            <v>5776.0888539999996</v>
          </cell>
          <cell r="AM44">
            <v>5835.5068670000001</v>
          </cell>
          <cell r="AN44">
            <v>5895.305179</v>
          </cell>
          <cell r="AO44">
            <v>5955.5590849999999</v>
          </cell>
          <cell r="AP44">
            <v>6016.3327939999999</v>
          </cell>
          <cell r="AQ44">
            <v>6077.6804069999998</v>
          </cell>
          <cell r="AR44">
            <v>6139.6569769999996</v>
          </cell>
          <cell r="AS44">
            <v>6202.3064290000002</v>
          </cell>
          <cell r="AT44">
            <v>6265.6638290000001</v>
          </cell>
          <cell r="AU44">
            <v>6329.7564229999998</v>
          </cell>
          <cell r="AV44">
            <v>6394.4858919999997</v>
          </cell>
          <cell r="AW44">
            <v>6459.8431399999999</v>
          </cell>
          <cell r="AX44">
            <v>6525.9372350000003</v>
          </cell>
          <cell r="AY44">
            <v>6592.8466349999999</v>
          </cell>
          <cell r="AZ44">
            <v>6660.6192499999997</v>
          </cell>
          <cell r="BA44">
            <v>7347.7758219999996</v>
          </cell>
          <cell r="BB44">
            <v>7449.9415129999998</v>
          </cell>
          <cell r="BC44">
            <v>7553.7110700000003</v>
          </cell>
          <cell r="BD44">
            <v>7659.1339539999999</v>
          </cell>
          <cell r="BE44">
            <v>7766.2621429999999</v>
          </cell>
        </row>
        <row r="45">
          <cell r="B45">
            <v>3931.4410440000001</v>
          </cell>
          <cell r="C45">
            <v>3953.4378259999999</v>
          </cell>
          <cell r="D45">
            <v>3973.1231400000001</v>
          </cell>
          <cell r="E45">
            <v>3997.664346</v>
          </cell>
          <cell r="F45">
            <v>4028.8179620000001</v>
          </cell>
          <cell r="G45">
            <v>4066.0240250000002</v>
          </cell>
          <cell r="H45">
            <v>4106.1246529999999</v>
          </cell>
          <cell r="I45">
            <v>4149.4946769999997</v>
          </cell>
          <cell r="J45">
            <v>4195.3966799999998</v>
          </cell>
          <cell r="K45">
            <v>4243.2535360000002</v>
          </cell>
          <cell r="L45">
            <v>4296.1858629999997</v>
          </cell>
          <cell r="M45">
            <v>4347.7924830000002</v>
          </cell>
          <cell r="N45">
            <v>4400.2426850000002</v>
          </cell>
          <cell r="O45">
            <v>4453.5181519999996</v>
          </cell>
          <cell r="P45">
            <v>4507.542066</v>
          </cell>
          <cell r="Q45">
            <v>4562.253933</v>
          </cell>
          <cell r="R45">
            <v>4617.614106</v>
          </cell>
          <cell r="S45">
            <v>4673.5982009999998</v>
          </cell>
          <cell r="T45">
            <v>4730.1916730000003</v>
          </cell>
          <cell r="U45">
            <v>4787.3860379999996</v>
          </cell>
          <cell r="V45">
            <v>4842.560477</v>
          </cell>
          <cell r="W45">
            <v>4900.2650839999997</v>
          </cell>
          <cell r="X45">
            <v>4958.7425039999998</v>
          </cell>
          <cell r="Y45">
            <v>5017.9107309999999</v>
          </cell>
          <cell r="Z45">
            <v>5077.7613000000001</v>
          </cell>
          <cell r="AA45">
            <v>5130.740041</v>
          </cell>
          <cell r="AB45">
            <v>5186.4216130000004</v>
          </cell>
          <cell r="AC45">
            <v>5242.3330340000002</v>
          </cell>
          <cell r="AD45">
            <v>5298.4675010000001</v>
          </cell>
          <cell r="AE45">
            <v>5354.9140189999998</v>
          </cell>
          <cell r="AF45">
            <v>5411.7670230000003</v>
          </cell>
          <cell r="AG45">
            <v>5469.1082269999997</v>
          </cell>
          <cell r="AH45">
            <v>5527.0036270000001</v>
          </cell>
          <cell r="AI45">
            <v>5585.504586</v>
          </cell>
          <cell r="AJ45">
            <v>5644.6502229999996</v>
          </cell>
          <cell r="AK45">
            <v>5704.4700890000004</v>
          </cell>
          <cell r="AL45">
            <v>5763.1632689999997</v>
          </cell>
          <cell r="AM45">
            <v>5822.0902990000004</v>
          </cell>
          <cell r="AN45">
            <v>5881.3902669999998</v>
          </cell>
          <cell r="AO45">
            <v>5941.1401580000002</v>
          </cell>
          <cell r="AP45">
            <v>6001.4029829999999</v>
          </cell>
          <cell r="AQ45">
            <v>6062.0390429999998</v>
          </cell>
          <cell r="AR45">
            <v>6123.1516570000003</v>
          </cell>
          <cell r="AS45">
            <v>6184.8531510000003</v>
          </cell>
          <cell r="AT45">
            <v>6247.2288639999997</v>
          </cell>
          <cell r="AU45">
            <v>6310.3383229999999</v>
          </cell>
          <cell r="AV45">
            <v>6374.386982</v>
          </cell>
          <cell r="AW45">
            <v>6439.2812709999998</v>
          </cell>
          <cell r="AX45">
            <v>6505.0306469999996</v>
          </cell>
          <cell r="AY45">
            <v>6571.6440750000002</v>
          </cell>
          <cell r="AZ45">
            <v>6639.1267429999998</v>
          </cell>
          <cell r="BA45">
            <v>7331.8069230000001</v>
          </cell>
          <cell r="BB45">
            <v>7432.871486</v>
          </cell>
          <cell r="BC45">
            <v>7535.4863310000001</v>
          </cell>
          <cell r="BD45">
            <v>7639.6964379999999</v>
          </cell>
          <cell r="BE45">
            <v>7745.5498040000002</v>
          </cell>
        </row>
        <row r="46">
          <cell r="B46">
            <v>400.63627430000003</v>
          </cell>
          <cell r="C46">
            <v>405.0043508</v>
          </cell>
          <cell r="D46">
            <v>409.23307990000001</v>
          </cell>
          <cell r="E46">
            <v>413.5364174</v>
          </cell>
          <cell r="F46">
            <v>418.04985799999997</v>
          </cell>
          <cell r="G46">
            <v>422.81797590000002</v>
          </cell>
          <cell r="H46">
            <v>427.55953040000003</v>
          </cell>
          <cell r="I46">
            <v>432.44259570000003</v>
          </cell>
          <cell r="J46">
            <v>437.47653380000003</v>
          </cell>
          <cell r="K46">
            <v>442.6490627</v>
          </cell>
          <cell r="L46">
            <v>448.42814529999998</v>
          </cell>
          <cell r="M46">
            <v>453.98332429999999</v>
          </cell>
          <cell r="N46">
            <v>459.57533899999999</v>
          </cell>
          <cell r="O46">
            <v>465.2385013</v>
          </cell>
          <cell r="P46">
            <v>470.9791252</v>
          </cell>
          <cell r="Q46">
            <v>476.79767399999997</v>
          </cell>
          <cell r="R46">
            <v>482.69677050000001</v>
          </cell>
          <cell r="S46">
            <v>488.67475080000003</v>
          </cell>
          <cell r="T46">
            <v>494.73167599999999</v>
          </cell>
          <cell r="U46">
            <v>500.86851050000001</v>
          </cell>
          <cell r="V46">
            <v>506.73364750000002</v>
          </cell>
          <cell r="W46">
            <v>512.93136070000003</v>
          </cell>
          <cell r="X46">
            <v>519.26352139999995</v>
          </cell>
          <cell r="Y46">
            <v>525.70245309999996</v>
          </cell>
          <cell r="Z46">
            <v>532.24202869999999</v>
          </cell>
          <cell r="AA46">
            <v>537.86688249999997</v>
          </cell>
          <cell r="AB46">
            <v>543.82533079999996</v>
          </cell>
          <cell r="AC46">
            <v>549.8756151</v>
          </cell>
          <cell r="AD46">
            <v>555.9986457</v>
          </cell>
          <cell r="AE46">
            <v>562.19776030000003</v>
          </cell>
          <cell r="AF46">
            <v>568.47975910000002</v>
          </cell>
          <cell r="AG46">
            <v>574.8502714</v>
          </cell>
          <cell r="AH46">
            <v>581.31526599999995</v>
          </cell>
          <cell r="AI46">
            <v>587.87928160000001</v>
          </cell>
          <cell r="AJ46">
            <v>594.54572229999997</v>
          </cell>
          <cell r="AK46">
            <v>601.31704390000004</v>
          </cell>
          <cell r="AL46">
            <v>607.94436929999995</v>
          </cell>
          <cell r="AM46">
            <v>614.60257460000003</v>
          </cell>
          <cell r="AN46">
            <v>621.32600620000005</v>
          </cell>
          <cell r="AO46">
            <v>628.12834559999999</v>
          </cell>
          <cell r="AP46">
            <v>635.01749150000001</v>
          </cell>
          <cell r="AQ46">
            <v>641.99753469999996</v>
          </cell>
          <cell r="AR46">
            <v>649.07338400000003</v>
          </cell>
          <cell r="AS46">
            <v>656.24850419999996</v>
          </cell>
          <cell r="AT46">
            <v>663.52546689999997</v>
          </cell>
          <cell r="AU46">
            <v>670.90616020000004</v>
          </cell>
          <cell r="AV46">
            <v>678.35901230000002</v>
          </cell>
          <cell r="AW46">
            <v>685.89008230000002</v>
          </cell>
          <cell r="AX46">
            <v>693.52211829999999</v>
          </cell>
          <cell r="AY46">
            <v>701.27383469999995</v>
          </cell>
          <cell r="AZ46">
            <v>709.15755460000003</v>
          </cell>
          <cell r="BA46">
            <v>765.24011380000002</v>
          </cell>
          <cell r="BB46">
            <v>776.48617630000001</v>
          </cell>
          <cell r="BC46">
            <v>787.92153589999998</v>
          </cell>
          <cell r="BD46">
            <v>799.54989030000002</v>
          </cell>
          <cell r="BE46">
            <v>811.37528320000001</v>
          </cell>
        </row>
        <row r="47">
          <cell r="B47">
            <v>400.51789639999998</v>
          </cell>
          <cell r="C47">
            <v>404.50341259999999</v>
          </cell>
          <cell r="D47">
            <v>408.46028389999998</v>
          </cell>
          <cell r="E47">
            <v>412.55625859999998</v>
          </cell>
          <cell r="F47">
            <v>416.8751742</v>
          </cell>
          <cell r="G47">
            <v>421.41476940000001</v>
          </cell>
          <cell r="H47">
            <v>425.94758039999999</v>
          </cell>
          <cell r="I47">
            <v>430.65470870000001</v>
          </cell>
          <cell r="J47">
            <v>435.54051390000001</v>
          </cell>
          <cell r="K47">
            <v>440.58426559999998</v>
          </cell>
          <cell r="L47">
            <v>446.24558180000002</v>
          </cell>
          <cell r="M47">
            <v>451.686982</v>
          </cell>
          <cell r="N47">
            <v>457.1663274</v>
          </cell>
          <cell r="O47">
            <v>462.71569740000001</v>
          </cell>
          <cell r="P47">
            <v>468.3407492</v>
          </cell>
          <cell r="Q47">
            <v>474.04328320000002</v>
          </cell>
          <cell r="R47">
            <v>479.82405399999999</v>
          </cell>
          <cell r="S47">
            <v>485.68335569999999</v>
          </cell>
          <cell r="T47">
            <v>491.62129900000002</v>
          </cell>
          <cell r="U47">
            <v>497.63801999999998</v>
          </cell>
          <cell r="V47">
            <v>503.38168469999999</v>
          </cell>
          <cell r="W47">
            <v>509.45354079999998</v>
          </cell>
          <cell r="X47">
            <v>515.65457049999998</v>
          </cell>
          <cell r="Y47">
            <v>521.95645320000006</v>
          </cell>
          <cell r="Z47">
            <v>528.35283079999999</v>
          </cell>
          <cell r="AA47">
            <v>533.83205810000004</v>
          </cell>
          <cell r="AB47">
            <v>539.64036529999998</v>
          </cell>
          <cell r="AC47">
            <v>545.53581910000003</v>
          </cell>
          <cell r="AD47">
            <v>551.49960699999997</v>
          </cell>
          <cell r="AE47">
            <v>557.53557109999997</v>
          </cell>
          <cell r="AF47">
            <v>563.65113129999997</v>
          </cell>
          <cell r="AG47">
            <v>569.85345429999995</v>
          </cell>
          <cell r="AH47">
            <v>576.14860769999996</v>
          </cell>
          <cell r="AI47">
            <v>582.54141879999997</v>
          </cell>
          <cell r="AJ47">
            <v>589.03555459999995</v>
          </cell>
          <cell r="AK47">
            <v>595.63368800000001</v>
          </cell>
          <cell r="AL47">
            <v>602.09681599999999</v>
          </cell>
          <cell r="AM47">
            <v>608.59473409999998</v>
          </cell>
          <cell r="AN47">
            <v>615.16265399999997</v>
          </cell>
          <cell r="AO47">
            <v>621.81555130000004</v>
          </cell>
          <cell r="AP47">
            <v>628.56099670000003</v>
          </cell>
          <cell r="AQ47">
            <v>635.35702030000004</v>
          </cell>
          <cell r="AR47">
            <v>642.19550389999995</v>
          </cell>
          <cell r="AS47">
            <v>649.07899090000001</v>
          </cell>
          <cell r="AT47">
            <v>656.02339410000002</v>
          </cell>
          <cell r="AU47">
            <v>663.05179950000002</v>
          </cell>
          <cell r="AV47">
            <v>670.20755220000001</v>
          </cell>
          <cell r="AW47">
            <v>677.49150139999995</v>
          </cell>
          <cell r="AX47">
            <v>684.91046489999997</v>
          </cell>
          <cell r="AY47">
            <v>692.46796489999997</v>
          </cell>
          <cell r="AZ47">
            <v>700.16470389999995</v>
          </cell>
          <cell r="BA47">
            <v>768.46091969999998</v>
          </cell>
          <cell r="BB47">
            <v>779.74758099999997</v>
          </cell>
          <cell r="BC47">
            <v>791.22139240000001</v>
          </cell>
          <cell r="BD47">
            <v>802.88681480000002</v>
          </cell>
          <cell r="BE47">
            <v>814.74811299999999</v>
          </cell>
        </row>
        <row r="48">
          <cell r="B48">
            <v>562.42889820000005</v>
          </cell>
          <cell r="C48">
            <v>568.56097509999995</v>
          </cell>
          <cell r="D48">
            <v>574.4974307</v>
          </cell>
          <cell r="E48">
            <v>580.53862460000005</v>
          </cell>
          <cell r="F48">
            <v>586.87476930000003</v>
          </cell>
          <cell r="G48">
            <v>593.56843990000004</v>
          </cell>
          <cell r="H48">
            <v>600.22482000000002</v>
          </cell>
          <cell r="I48">
            <v>607.07985829999996</v>
          </cell>
          <cell r="J48">
            <v>614.14669790000005</v>
          </cell>
          <cell r="K48">
            <v>621.40809669999999</v>
          </cell>
          <cell r="L48">
            <v>629.52099920000001</v>
          </cell>
          <cell r="M48">
            <v>637.31957709999995</v>
          </cell>
          <cell r="N48">
            <v>645.16986640000005</v>
          </cell>
          <cell r="O48">
            <v>653.12003549999997</v>
          </cell>
          <cell r="P48">
            <v>661.17894820000004</v>
          </cell>
          <cell r="Q48">
            <v>669.34725500000002</v>
          </cell>
          <cell r="R48">
            <v>677.62863789999994</v>
          </cell>
          <cell r="S48">
            <v>686.02076079999995</v>
          </cell>
          <cell r="T48">
            <v>694.52370970000004</v>
          </cell>
          <cell r="U48">
            <v>703.13883840000005</v>
          </cell>
          <cell r="V48">
            <v>711.3725475</v>
          </cell>
          <cell r="W48">
            <v>720.07314020000001</v>
          </cell>
          <cell r="X48">
            <v>728.96247540000002</v>
          </cell>
          <cell r="Y48">
            <v>738.00170000000003</v>
          </cell>
          <cell r="Z48">
            <v>747.18221240000003</v>
          </cell>
          <cell r="AA48">
            <v>755.07860249999999</v>
          </cell>
          <cell r="AB48">
            <v>763.44330560000003</v>
          </cell>
          <cell r="AC48">
            <v>771.93693189999999</v>
          </cell>
          <cell r="AD48">
            <v>780.53268209999999</v>
          </cell>
          <cell r="AE48">
            <v>789.23524210000005</v>
          </cell>
          <cell r="AF48">
            <v>798.0541581</v>
          </cell>
          <cell r="AG48">
            <v>806.99733279999998</v>
          </cell>
          <cell r="AH48">
            <v>816.07314550000001</v>
          </cell>
          <cell r="AI48">
            <v>825.28796780000005</v>
          </cell>
          <cell r="AJ48">
            <v>834.64657839999995</v>
          </cell>
          <cell r="AK48">
            <v>844.15242499999999</v>
          </cell>
          <cell r="AL48">
            <v>853.45612400000005</v>
          </cell>
          <cell r="AM48">
            <v>862.80317360000004</v>
          </cell>
          <cell r="AN48">
            <v>872.24179019999997</v>
          </cell>
          <cell r="AO48">
            <v>881.79118080000001</v>
          </cell>
          <cell r="AP48">
            <v>891.46243360000005</v>
          </cell>
          <cell r="AQ48">
            <v>901.26129179999998</v>
          </cell>
          <cell r="AR48">
            <v>911.19464630000004</v>
          </cell>
          <cell r="AS48">
            <v>921.26736119999998</v>
          </cell>
          <cell r="AT48">
            <v>931.48304640000003</v>
          </cell>
          <cell r="AU48">
            <v>941.84435289999999</v>
          </cell>
          <cell r="AV48">
            <v>952.30695860000003</v>
          </cell>
          <cell r="AW48">
            <v>962.87936969999998</v>
          </cell>
          <cell r="AX48">
            <v>973.59352090000004</v>
          </cell>
          <cell r="AY48">
            <v>984.47568420000005</v>
          </cell>
          <cell r="AZ48">
            <v>995.54315899999995</v>
          </cell>
          <cell r="BA48">
            <v>1074.2740530000001</v>
          </cell>
          <cell r="BB48">
            <v>1090.0617159999999</v>
          </cell>
          <cell r="BC48">
            <v>1106.1151219999999</v>
          </cell>
          <cell r="BD48">
            <v>1122.4394609999999</v>
          </cell>
          <cell r="BE48">
            <v>1139.0404109999999</v>
          </cell>
        </row>
        <row r="49">
          <cell r="B49">
            <v>562.26271469999995</v>
          </cell>
          <cell r="C49">
            <v>567.85773840000002</v>
          </cell>
          <cell r="D49">
            <v>573.41254939999999</v>
          </cell>
          <cell r="E49">
            <v>579.16263919999994</v>
          </cell>
          <cell r="F49">
            <v>585.2257022</v>
          </cell>
          <cell r="G49">
            <v>591.5985637</v>
          </cell>
          <cell r="H49">
            <v>597.96190139999999</v>
          </cell>
          <cell r="I49">
            <v>604.5699525</v>
          </cell>
          <cell r="J49">
            <v>611.42883730000005</v>
          </cell>
          <cell r="K49">
            <v>618.50945349999995</v>
          </cell>
          <cell r="L49">
            <v>626.45703109999999</v>
          </cell>
          <cell r="M49">
            <v>634.09588180000003</v>
          </cell>
          <cell r="N49">
            <v>641.78800160000003</v>
          </cell>
          <cell r="O49">
            <v>649.57842449999998</v>
          </cell>
          <cell r="P49">
            <v>657.4750927</v>
          </cell>
          <cell r="Q49">
            <v>665.48053340000001</v>
          </cell>
          <cell r="R49">
            <v>673.59580579999999</v>
          </cell>
          <cell r="S49">
            <v>681.82132309999997</v>
          </cell>
          <cell r="T49">
            <v>690.15724069999999</v>
          </cell>
          <cell r="U49">
            <v>698.60374920000004</v>
          </cell>
          <cell r="V49">
            <v>706.66693080000005</v>
          </cell>
          <cell r="W49">
            <v>715.19084029999999</v>
          </cell>
          <cell r="X49">
            <v>723.89608880000003</v>
          </cell>
          <cell r="Y49">
            <v>732.74291849999997</v>
          </cell>
          <cell r="Z49">
            <v>741.72240399999998</v>
          </cell>
          <cell r="AA49">
            <v>749.41435799999999</v>
          </cell>
          <cell r="AB49">
            <v>757.56828719999999</v>
          </cell>
          <cell r="AC49">
            <v>765.84455620000006</v>
          </cell>
          <cell r="AD49">
            <v>774.21675519999997</v>
          </cell>
          <cell r="AE49">
            <v>782.69027830000005</v>
          </cell>
          <cell r="AF49">
            <v>791.27554110000005</v>
          </cell>
          <cell r="AG49">
            <v>799.98260519999997</v>
          </cell>
          <cell r="AH49">
            <v>808.81998820000001</v>
          </cell>
          <cell r="AI49">
            <v>817.79446689999997</v>
          </cell>
          <cell r="AJ49">
            <v>826.91118919999997</v>
          </cell>
          <cell r="AK49">
            <v>836.17390739999996</v>
          </cell>
          <cell r="AL49">
            <v>845.24709959999996</v>
          </cell>
          <cell r="AM49">
            <v>854.36913159999995</v>
          </cell>
          <cell r="AN49">
            <v>863.58943490000001</v>
          </cell>
          <cell r="AO49">
            <v>872.92903279999996</v>
          </cell>
          <cell r="AP49">
            <v>882.3985533</v>
          </cell>
          <cell r="AQ49">
            <v>891.93907750000005</v>
          </cell>
          <cell r="AR49">
            <v>901.53920860000005</v>
          </cell>
          <cell r="AS49">
            <v>911.20251740000003</v>
          </cell>
          <cell r="AT49">
            <v>920.95134280000002</v>
          </cell>
          <cell r="AU49">
            <v>930.81809350000003</v>
          </cell>
          <cell r="AV49">
            <v>940.86361959999999</v>
          </cell>
          <cell r="AW49">
            <v>951.08911290000003</v>
          </cell>
          <cell r="AX49">
            <v>961.50414439999997</v>
          </cell>
          <cell r="AY49">
            <v>972.11365909999995</v>
          </cell>
          <cell r="AZ49">
            <v>982.91864290000001</v>
          </cell>
          <cell r="BA49">
            <v>1078.7955460000001</v>
          </cell>
          <cell r="BB49">
            <v>1094.640204</v>
          </cell>
          <cell r="BC49">
            <v>1110.7475899999999</v>
          </cell>
          <cell r="BD49">
            <v>1127.123967</v>
          </cell>
          <cell r="BE49">
            <v>1143.775322</v>
          </cell>
        </row>
        <row r="50">
          <cell r="B50">
            <v>46376.424559999999</v>
          </cell>
          <cell r="C50">
            <v>46777.904739999998</v>
          </cell>
          <cell r="D50">
            <v>47106.308420000001</v>
          </cell>
          <cell r="E50">
            <v>47427.049780000001</v>
          </cell>
          <cell r="F50">
            <v>47771.122430000003</v>
          </cell>
          <cell r="G50">
            <v>48148.031280000003</v>
          </cell>
          <cell r="H50">
            <v>48533.136079999997</v>
          </cell>
          <cell r="I50">
            <v>48935.870470000002</v>
          </cell>
          <cell r="J50">
            <v>49354.792439999997</v>
          </cell>
          <cell r="K50">
            <v>49787.358390000001</v>
          </cell>
          <cell r="L50">
            <v>50272.998579999999</v>
          </cell>
          <cell r="M50">
            <v>50743.30775</v>
          </cell>
          <cell r="N50">
            <v>51216.004099999998</v>
          </cell>
          <cell r="O50">
            <v>51694.317750000002</v>
          </cell>
          <cell r="P50">
            <v>52179.063219999996</v>
          </cell>
          <cell r="Q50">
            <v>52670.470829999998</v>
          </cell>
          <cell r="R50">
            <v>53168.910320000003</v>
          </cell>
          <cell r="S50">
            <v>53674.420680000003</v>
          </cell>
          <cell r="T50">
            <v>54187.129180000004</v>
          </cell>
          <cell r="U50">
            <v>54707.262150000002</v>
          </cell>
          <cell r="V50">
            <v>55204.71847</v>
          </cell>
          <cell r="W50">
            <v>55729.177060000002</v>
          </cell>
          <cell r="X50">
            <v>56267.255790000003</v>
          </cell>
          <cell r="Y50">
            <v>56816.567949999997</v>
          </cell>
          <cell r="Z50">
            <v>57376.607680000001</v>
          </cell>
          <cell r="AA50">
            <v>57860.080099999999</v>
          </cell>
          <cell r="AB50">
            <v>58367.153899999998</v>
          </cell>
          <cell r="AC50">
            <v>58883.706890000001</v>
          </cell>
          <cell r="AD50">
            <v>59408.872539999997</v>
          </cell>
          <cell r="AE50">
            <v>59943.500489999999</v>
          </cell>
          <cell r="AF50">
            <v>60488.646739999996</v>
          </cell>
          <cell r="AG50">
            <v>61045.158430000003</v>
          </cell>
          <cell r="AH50">
            <v>61613.770360000002</v>
          </cell>
          <cell r="AI50">
            <v>62194.998549999997</v>
          </cell>
          <cell r="AJ50">
            <v>62789.160179999999</v>
          </cell>
          <cell r="AK50">
            <v>63396.408360000001</v>
          </cell>
          <cell r="AL50">
            <v>63995.266060000002</v>
          </cell>
          <cell r="AM50">
            <v>64598.715270000001</v>
          </cell>
          <cell r="AN50">
            <v>65210.237959999999</v>
          </cell>
          <cell r="AO50">
            <v>65831.375279999993</v>
          </cell>
          <cell r="AP50">
            <v>66463.012300000002</v>
          </cell>
          <cell r="AQ50">
            <v>67105.622799999997</v>
          </cell>
          <cell r="AR50">
            <v>67759.650630000004</v>
          </cell>
          <cell r="AS50">
            <v>68425.397589999993</v>
          </cell>
          <cell r="AT50">
            <v>69103.04797</v>
          </cell>
          <cell r="AU50">
            <v>69792.692850000007</v>
          </cell>
          <cell r="AV50">
            <v>70490.932499999995</v>
          </cell>
          <cell r="AW50">
            <v>71198.209010000006</v>
          </cell>
          <cell r="AX50">
            <v>71917.403829999996</v>
          </cell>
          <cell r="AY50">
            <v>72651.17671</v>
          </cell>
          <cell r="AZ50">
            <v>73401.298089999997</v>
          </cell>
          <cell r="BA50">
            <v>75081.2601</v>
          </cell>
          <cell r="BB50">
            <v>76031.318859999999</v>
          </cell>
          <cell r="BC50">
            <v>76999.102410000007</v>
          </cell>
          <cell r="BD50">
            <v>77984.709340000001</v>
          </cell>
          <cell r="BE50">
            <v>78988.25331</v>
          </cell>
        </row>
        <row r="51">
          <cell r="B51">
            <v>46372.045899999997</v>
          </cell>
          <cell r="C51">
            <v>46716.973299999998</v>
          </cell>
          <cell r="D51">
            <v>47008.825060000003</v>
          </cell>
          <cell r="E51">
            <v>47303.446000000004</v>
          </cell>
          <cell r="F51">
            <v>47622.280120000003</v>
          </cell>
          <cell r="G51">
            <v>47967.886050000001</v>
          </cell>
          <cell r="H51">
            <v>48318.258620000001</v>
          </cell>
          <cell r="I51">
            <v>48684.867180000001</v>
          </cell>
          <cell r="J51">
            <v>49067.456619999997</v>
          </cell>
          <cell r="K51">
            <v>49464.05502</v>
          </cell>
          <cell r="L51">
            <v>49914.219250000002</v>
          </cell>
          <cell r="M51">
            <v>50349.200279999997</v>
          </cell>
          <cell r="N51">
            <v>50786.537380000002</v>
          </cell>
          <cell r="O51">
            <v>51229.254150000001</v>
          </cell>
          <cell r="P51">
            <v>51678.151160000001</v>
          </cell>
          <cell r="Q51">
            <v>52133.823779999999</v>
          </cell>
          <cell r="R51">
            <v>52596.765769999998</v>
          </cell>
          <cell r="S51">
            <v>53067.346290000001</v>
          </cell>
          <cell r="T51">
            <v>53545.828580000001</v>
          </cell>
          <cell r="U51">
            <v>54032.414579999997</v>
          </cell>
          <cell r="V51">
            <v>54496.894419999997</v>
          </cell>
          <cell r="W51">
            <v>54988.773029999997</v>
          </cell>
          <cell r="X51">
            <v>55494.510009999998</v>
          </cell>
          <cell r="Y51">
            <v>56011.628900000003</v>
          </cell>
          <cell r="Z51">
            <v>56539.594279999998</v>
          </cell>
          <cell r="AA51">
            <v>56991.158289999999</v>
          </cell>
          <cell r="AB51">
            <v>57466.628620000003</v>
          </cell>
          <cell r="AC51">
            <v>57951.837740000003</v>
          </cell>
          <cell r="AD51">
            <v>58445.941200000001</v>
          </cell>
          <cell r="AE51">
            <v>58949.853000000003</v>
          </cell>
          <cell r="AF51">
            <v>59464.72047</v>
          </cell>
          <cell r="AG51">
            <v>59991.562760000001</v>
          </cell>
          <cell r="AH51">
            <v>60531.184589999997</v>
          </cell>
          <cell r="AI51">
            <v>61084.168299999998</v>
          </cell>
          <cell r="AJ51">
            <v>61650.896000000001</v>
          </cell>
          <cell r="AK51">
            <v>62231.585299999999</v>
          </cell>
          <cell r="AL51">
            <v>62805.482400000001</v>
          </cell>
          <cell r="AM51">
            <v>63385.3632</v>
          </cell>
          <cell r="AN51">
            <v>63978.030700000003</v>
          </cell>
          <cell r="AO51">
            <v>64587.297579999999</v>
          </cell>
          <cell r="AP51">
            <v>65214.007859999998</v>
          </cell>
          <cell r="AQ51">
            <v>65853.167239999995</v>
          </cell>
          <cell r="AR51">
            <v>66501.888349999994</v>
          </cell>
          <cell r="AS51">
            <v>67159.43922</v>
          </cell>
          <cell r="AT51">
            <v>67827.09259</v>
          </cell>
          <cell r="AU51">
            <v>68507.048939999993</v>
          </cell>
          <cell r="AV51">
            <v>69203.258189999993</v>
          </cell>
          <cell r="AW51">
            <v>69916.007610000001</v>
          </cell>
          <cell r="AX51">
            <v>70645.752280000001</v>
          </cell>
          <cell r="AY51">
            <v>71392.589720000004</v>
          </cell>
          <cell r="AZ51">
            <v>72156.346780000007</v>
          </cell>
          <cell r="BA51">
            <v>76493.494720000002</v>
          </cell>
          <cell r="BB51">
            <v>77489.911290000004</v>
          </cell>
          <cell r="BC51">
            <v>78504.211280000003</v>
          </cell>
          <cell r="BD51">
            <v>79536.728640000001</v>
          </cell>
          <cell r="BE51">
            <v>80587.747329999998</v>
          </cell>
        </row>
        <row r="52">
          <cell r="B52">
            <v>924.27562999999998</v>
          </cell>
          <cell r="C52">
            <v>932.27707359999999</v>
          </cell>
          <cell r="D52">
            <v>938.82211280000001</v>
          </cell>
          <cell r="E52">
            <v>945.21444310000004</v>
          </cell>
          <cell r="F52">
            <v>952.07176270000002</v>
          </cell>
          <cell r="G52">
            <v>959.5835032</v>
          </cell>
          <cell r="H52">
            <v>967.25858760000006</v>
          </cell>
          <cell r="I52">
            <v>975.28502760000003</v>
          </cell>
          <cell r="J52">
            <v>983.63408370000002</v>
          </cell>
          <cell r="K52">
            <v>992.25506229999996</v>
          </cell>
          <cell r="L52">
            <v>1001.933803</v>
          </cell>
          <cell r="M52">
            <v>1011.306999</v>
          </cell>
          <cell r="N52">
            <v>1020.727771</v>
          </cell>
          <cell r="O52">
            <v>1030.260495</v>
          </cell>
          <cell r="P52">
            <v>1039.9214039999999</v>
          </cell>
          <cell r="Q52">
            <v>1049.7150879999999</v>
          </cell>
          <cell r="R52">
            <v>1059.648917</v>
          </cell>
          <cell r="S52">
            <v>1069.7236680000001</v>
          </cell>
          <cell r="T52">
            <v>1079.9418760000001</v>
          </cell>
          <cell r="U52">
            <v>1090.308053</v>
          </cell>
          <cell r="V52">
            <v>1100.2222879999999</v>
          </cell>
          <cell r="W52">
            <v>1110.6746740000001</v>
          </cell>
          <cell r="X52">
            <v>1121.398508</v>
          </cell>
          <cell r="Y52">
            <v>1132.3462219999999</v>
          </cell>
          <cell r="Z52">
            <v>1143.5077349999999</v>
          </cell>
          <cell r="AA52">
            <v>1153.143272</v>
          </cell>
          <cell r="AB52">
            <v>1163.249182</v>
          </cell>
          <cell r="AC52">
            <v>1173.544011</v>
          </cell>
          <cell r="AD52">
            <v>1184.0104879999999</v>
          </cell>
          <cell r="AE52">
            <v>1194.6655479999999</v>
          </cell>
          <cell r="AF52">
            <v>1205.5302369999999</v>
          </cell>
          <cell r="AG52">
            <v>1216.6214359999999</v>
          </cell>
          <cell r="AH52">
            <v>1227.953792</v>
          </cell>
          <cell r="AI52">
            <v>1239.5375879999999</v>
          </cell>
          <cell r="AJ52">
            <v>1251.379146</v>
          </cell>
          <cell r="AK52">
            <v>1263.4815169999999</v>
          </cell>
          <cell r="AL52">
            <v>1275.416667</v>
          </cell>
          <cell r="AM52">
            <v>1287.443325</v>
          </cell>
          <cell r="AN52">
            <v>1299.630887</v>
          </cell>
          <cell r="AO52">
            <v>1312.0100660000001</v>
          </cell>
          <cell r="AP52">
            <v>1324.5985029999999</v>
          </cell>
          <cell r="AQ52">
            <v>1337.4056399999999</v>
          </cell>
          <cell r="AR52">
            <v>1350.440323</v>
          </cell>
          <cell r="AS52">
            <v>1363.7085669999999</v>
          </cell>
          <cell r="AT52">
            <v>1377.2140440000001</v>
          </cell>
          <cell r="AU52">
            <v>1390.9585689999999</v>
          </cell>
          <cell r="AV52">
            <v>1404.8743870000001</v>
          </cell>
          <cell r="AW52">
            <v>1418.970309</v>
          </cell>
          <cell r="AX52">
            <v>1433.3037609999999</v>
          </cell>
          <cell r="AY52">
            <v>1447.9277509999999</v>
          </cell>
          <cell r="AZ52">
            <v>1462.877565</v>
          </cell>
          <cell r="BA52">
            <v>1496.358972</v>
          </cell>
          <cell r="BB52">
            <v>1515.29351</v>
          </cell>
          <cell r="BC52">
            <v>1534.5813000000001</v>
          </cell>
          <cell r="BD52">
            <v>1554.2243080000001</v>
          </cell>
          <cell r="BE52">
            <v>1574.224798</v>
          </cell>
        </row>
        <row r="53">
          <cell r="B53">
            <v>924.18836399999998</v>
          </cell>
          <cell r="C53">
            <v>931.06271849999996</v>
          </cell>
          <cell r="D53">
            <v>936.87928320000003</v>
          </cell>
          <cell r="E53">
            <v>942.75103709999996</v>
          </cell>
          <cell r="F53">
            <v>949.10535619999996</v>
          </cell>
          <cell r="G53">
            <v>955.9932341</v>
          </cell>
          <cell r="H53">
            <v>962.97611010000003</v>
          </cell>
          <cell r="I53">
            <v>970.28256729999998</v>
          </cell>
          <cell r="J53">
            <v>977.90752120000002</v>
          </cell>
          <cell r="K53">
            <v>985.81167140000002</v>
          </cell>
          <cell r="L53">
            <v>994.78338140000005</v>
          </cell>
          <cell r="M53">
            <v>1003.452492</v>
          </cell>
          <cell r="N53">
            <v>1012.168559</v>
          </cell>
          <cell r="O53">
            <v>1020.991842</v>
          </cell>
          <cell r="P53">
            <v>1029.9382969999999</v>
          </cell>
          <cell r="Q53">
            <v>1039.0197880000001</v>
          </cell>
          <cell r="R53">
            <v>1048.246157</v>
          </cell>
          <cell r="S53">
            <v>1057.624761</v>
          </cell>
          <cell r="T53">
            <v>1067.1608450000001</v>
          </cell>
          <cell r="U53">
            <v>1076.858436</v>
          </cell>
          <cell r="V53">
            <v>1086.115454</v>
          </cell>
          <cell r="W53">
            <v>1095.9185259999999</v>
          </cell>
          <cell r="X53">
            <v>1105.997793</v>
          </cell>
          <cell r="Y53">
            <v>1116.3039000000001</v>
          </cell>
          <cell r="Z53">
            <v>1126.8261749999999</v>
          </cell>
          <cell r="AA53">
            <v>1135.825783</v>
          </cell>
          <cell r="AB53">
            <v>1145.3018400000001</v>
          </cell>
          <cell r="AC53">
            <v>1154.9719889999999</v>
          </cell>
          <cell r="AD53">
            <v>1164.8194020000001</v>
          </cell>
          <cell r="AE53">
            <v>1174.8622929999999</v>
          </cell>
          <cell r="AF53">
            <v>1185.1235300000001</v>
          </cell>
          <cell r="AG53">
            <v>1195.623423</v>
          </cell>
          <cell r="AH53">
            <v>1206.3780099999999</v>
          </cell>
          <cell r="AI53">
            <v>1217.3988979999999</v>
          </cell>
          <cell r="AJ53">
            <v>1228.6937009999999</v>
          </cell>
          <cell r="AK53">
            <v>1240.2667570000001</v>
          </cell>
          <cell r="AL53">
            <v>1251.704446</v>
          </cell>
          <cell r="AM53">
            <v>1263.261389</v>
          </cell>
          <cell r="AN53">
            <v>1275.073169</v>
          </cell>
          <cell r="AO53">
            <v>1287.215772</v>
          </cell>
          <cell r="AP53">
            <v>1299.7060200000001</v>
          </cell>
          <cell r="AQ53">
            <v>1312.444377</v>
          </cell>
          <cell r="AR53">
            <v>1325.373298</v>
          </cell>
          <cell r="AS53">
            <v>1338.478194</v>
          </cell>
          <cell r="AT53">
            <v>1351.7844319999999</v>
          </cell>
          <cell r="AU53">
            <v>1365.335867</v>
          </cell>
          <cell r="AV53">
            <v>1379.211219</v>
          </cell>
          <cell r="AW53">
            <v>1393.416215</v>
          </cell>
          <cell r="AX53">
            <v>1407.959924</v>
          </cell>
          <cell r="AY53">
            <v>1422.8442889999999</v>
          </cell>
          <cell r="AZ53">
            <v>1438.0658599999999</v>
          </cell>
          <cell r="BA53">
            <v>1524.50461</v>
          </cell>
          <cell r="BB53">
            <v>1544.3630519999999</v>
          </cell>
          <cell r="BC53">
            <v>1564.577908</v>
          </cell>
          <cell r="BD53">
            <v>1585.1558339999999</v>
          </cell>
          <cell r="BE53">
            <v>1606.1024890000001</v>
          </cell>
        </row>
        <row r="54">
          <cell r="B54">
            <v>1343.127757</v>
          </cell>
          <cell r="C54">
            <v>1354.7551980000001</v>
          </cell>
          <cell r="D54">
            <v>1364.2662399999999</v>
          </cell>
          <cell r="E54">
            <v>1373.55537</v>
          </cell>
          <cell r="F54">
            <v>1383.520207</v>
          </cell>
          <cell r="G54">
            <v>1394.4360280000001</v>
          </cell>
          <cell r="H54">
            <v>1405.589215</v>
          </cell>
          <cell r="I54">
            <v>1417.25298</v>
          </cell>
          <cell r="J54">
            <v>1429.3855610000001</v>
          </cell>
          <cell r="K54">
            <v>1441.913292</v>
          </cell>
          <cell r="L54">
            <v>1455.978128</v>
          </cell>
          <cell r="M54">
            <v>1469.598956</v>
          </cell>
          <cell r="N54">
            <v>1483.28892</v>
          </cell>
          <cell r="O54">
            <v>1497.1415689999999</v>
          </cell>
          <cell r="P54">
            <v>1511.1804930000001</v>
          </cell>
          <cell r="Q54">
            <v>1525.412362</v>
          </cell>
          <cell r="R54">
            <v>1539.847884</v>
          </cell>
          <cell r="S54">
            <v>1554.4881889999999</v>
          </cell>
          <cell r="T54">
            <v>1569.336963</v>
          </cell>
          <cell r="U54">
            <v>1584.4007590000001</v>
          </cell>
          <cell r="V54">
            <v>1598.807808</v>
          </cell>
          <cell r="W54">
            <v>1613.9968799999999</v>
          </cell>
          <cell r="X54">
            <v>1629.580412</v>
          </cell>
          <cell r="Y54">
            <v>1645.48928</v>
          </cell>
          <cell r="Z54">
            <v>1661.708834</v>
          </cell>
          <cell r="AA54">
            <v>1675.7108880000001</v>
          </cell>
          <cell r="AB54">
            <v>1690.396473</v>
          </cell>
          <cell r="AC54">
            <v>1705.3565880000001</v>
          </cell>
          <cell r="AD54">
            <v>1720.5661379999999</v>
          </cell>
          <cell r="AE54">
            <v>1736.04973</v>
          </cell>
          <cell r="AF54">
            <v>1751.837947</v>
          </cell>
          <cell r="AG54">
            <v>1767.955324</v>
          </cell>
          <cell r="AH54">
            <v>1784.423141</v>
          </cell>
          <cell r="AI54">
            <v>1801.2563419999999</v>
          </cell>
          <cell r="AJ54">
            <v>1818.464115</v>
          </cell>
          <cell r="AK54">
            <v>1836.050894</v>
          </cell>
          <cell r="AL54">
            <v>1853.394671</v>
          </cell>
          <cell r="AM54">
            <v>1870.8714259999999</v>
          </cell>
          <cell r="AN54">
            <v>1888.5820000000001</v>
          </cell>
          <cell r="AO54">
            <v>1906.571027</v>
          </cell>
          <cell r="AP54">
            <v>1924.864141</v>
          </cell>
          <cell r="AQ54">
            <v>1943.4750630000001</v>
          </cell>
          <cell r="AR54">
            <v>1962.4166459999999</v>
          </cell>
          <cell r="AS54">
            <v>1981.697633</v>
          </cell>
          <cell r="AT54">
            <v>2001.3233600000001</v>
          </cell>
          <cell r="AU54">
            <v>2021.296464</v>
          </cell>
          <cell r="AV54">
            <v>2041.5184859999999</v>
          </cell>
          <cell r="AW54">
            <v>2062.0022279999998</v>
          </cell>
          <cell r="AX54">
            <v>2082.8311410000001</v>
          </cell>
          <cell r="AY54">
            <v>2104.0822560000001</v>
          </cell>
          <cell r="AZ54">
            <v>2125.8068469999998</v>
          </cell>
          <cell r="BA54">
            <v>2174.460955</v>
          </cell>
          <cell r="BB54">
            <v>2201.9760190000002</v>
          </cell>
          <cell r="BC54">
            <v>2230.0044189999999</v>
          </cell>
          <cell r="BD54">
            <v>2258.5490089999998</v>
          </cell>
          <cell r="BE54">
            <v>2287.613081</v>
          </cell>
        </row>
        <row r="55">
          <cell r="B55">
            <v>1343.000945</v>
          </cell>
          <cell r="C55">
            <v>1352.9905369999999</v>
          </cell>
          <cell r="D55">
            <v>1361.442982</v>
          </cell>
          <cell r="E55">
            <v>1369.975627</v>
          </cell>
          <cell r="F55">
            <v>1379.2095200000001</v>
          </cell>
          <cell r="G55">
            <v>1389.218764</v>
          </cell>
          <cell r="H55">
            <v>1399.3660560000001</v>
          </cell>
          <cell r="I55">
            <v>1409.983565</v>
          </cell>
          <cell r="J55">
            <v>1421.0639040000001</v>
          </cell>
          <cell r="K55">
            <v>1432.5499620000001</v>
          </cell>
          <cell r="L55">
            <v>1445.587364</v>
          </cell>
          <cell r="M55">
            <v>1458.1850380000001</v>
          </cell>
          <cell r="N55">
            <v>1470.850948</v>
          </cell>
          <cell r="O55">
            <v>1483.67266</v>
          </cell>
          <cell r="P55">
            <v>1496.673362</v>
          </cell>
          <cell r="Q55">
            <v>1509.8702940000001</v>
          </cell>
          <cell r="R55">
            <v>1523.2777579999999</v>
          </cell>
          <cell r="S55">
            <v>1536.906444</v>
          </cell>
          <cell r="T55">
            <v>1550.763978</v>
          </cell>
          <cell r="U55">
            <v>1564.8562059999999</v>
          </cell>
          <cell r="V55">
            <v>1578.3082079999999</v>
          </cell>
          <cell r="W55">
            <v>1592.5537179999999</v>
          </cell>
          <cell r="X55">
            <v>1607.2005859999999</v>
          </cell>
          <cell r="Y55">
            <v>1622.177091</v>
          </cell>
          <cell r="Z55">
            <v>1637.467725</v>
          </cell>
          <cell r="AA55">
            <v>1650.5456670000001</v>
          </cell>
          <cell r="AB55">
            <v>1664.315969</v>
          </cell>
          <cell r="AC55">
            <v>1678.3683209999999</v>
          </cell>
          <cell r="AD55">
            <v>1692.6782659999999</v>
          </cell>
          <cell r="AE55">
            <v>1707.2722739999999</v>
          </cell>
          <cell r="AF55">
            <v>1722.1835739999999</v>
          </cell>
          <cell r="AG55">
            <v>1737.4416819999999</v>
          </cell>
          <cell r="AH55">
            <v>1753.0699050000001</v>
          </cell>
          <cell r="AI55">
            <v>1769.085106</v>
          </cell>
          <cell r="AJ55">
            <v>1785.498353</v>
          </cell>
          <cell r="AK55">
            <v>1802.3159470000001</v>
          </cell>
          <cell r="AL55">
            <v>1818.9368300000001</v>
          </cell>
          <cell r="AM55">
            <v>1835.73101</v>
          </cell>
          <cell r="AN55">
            <v>1852.8955100000001</v>
          </cell>
          <cell r="AO55">
            <v>1870.540753</v>
          </cell>
          <cell r="AP55">
            <v>1888.6911809999999</v>
          </cell>
          <cell r="AQ55">
            <v>1907.2021540000001</v>
          </cell>
          <cell r="AR55">
            <v>1925.990047</v>
          </cell>
          <cell r="AS55">
            <v>1945.0336629999999</v>
          </cell>
          <cell r="AT55">
            <v>1964.369862</v>
          </cell>
          <cell r="AU55">
            <v>1984.062373</v>
          </cell>
          <cell r="AV55">
            <v>2004.2255909999999</v>
          </cell>
          <cell r="AW55">
            <v>2024.8678359999999</v>
          </cell>
          <cell r="AX55">
            <v>2046.002289</v>
          </cell>
          <cell r="AY55">
            <v>2067.6317720000002</v>
          </cell>
          <cell r="AZ55">
            <v>2089.7512710000001</v>
          </cell>
          <cell r="BA55">
            <v>2215.3612950000002</v>
          </cell>
          <cell r="BB55">
            <v>2244.2189480000002</v>
          </cell>
          <cell r="BC55">
            <v>2273.5945299999998</v>
          </cell>
          <cell r="BD55">
            <v>2303.4977130000002</v>
          </cell>
          <cell r="BE55">
            <v>2333.9367219999999</v>
          </cell>
        </row>
        <row r="56">
          <cell r="B56">
            <v>1220.239176</v>
          </cell>
          <cell r="C56">
            <v>1230.802772</v>
          </cell>
          <cell r="D56">
            <v>1239.443608</v>
          </cell>
          <cell r="E56">
            <v>1247.8828349999999</v>
          </cell>
          <cell r="F56">
            <v>1256.9359460000001</v>
          </cell>
          <cell r="G56">
            <v>1266.8530310000001</v>
          </cell>
          <cell r="H56">
            <v>1276.985764</v>
          </cell>
          <cell r="I56">
            <v>1287.582361</v>
          </cell>
          <cell r="J56">
            <v>1298.6048800000001</v>
          </cell>
          <cell r="K56">
            <v>1309.986394</v>
          </cell>
          <cell r="L56">
            <v>1322.764377</v>
          </cell>
          <cell r="M56">
            <v>1335.1389770000001</v>
          </cell>
          <cell r="N56">
            <v>1347.5763870000001</v>
          </cell>
          <cell r="O56">
            <v>1360.161597</v>
          </cell>
          <cell r="P56">
            <v>1372.916039</v>
          </cell>
          <cell r="Q56">
            <v>1385.8457719999999</v>
          </cell>
          <cell r="R56">
            <v>1398.9605260000001</v>
          </cell>
          <cell r="S56">
            <v>1412.2613260000001</v>
          </cell>
          <cell r="T56">
            <v>1425.7515209999999</v>
          </cell>
          <cell r="U56">
            <v>1439.437066</v>
          </cell>
          <cell r="V56">
            <v>1452.5259510000001</v>
          </cell>
          <cell r="W56">
            <v>1466.3253090000001</v>
          </cell>
          <cell r="X56">
            <v>1480.4830360000001</v>
          </cell>
          <cell r="Y56">
            <v>1494.9363330000001</v>
          </cell>
          <cell r="Z56">
            <v>1509.671889</v>
          </cell>
          <cell r="AA56">
            <v>1522.3928350000001</v>
          </cell>
          <cell r="AB56">
            <v>1535.7347709999999</v>
          </cell>
          <cell r="AC56">
            <v>1549.3261210000001</v>
          </cell>
          <cell r="AD56">
            <v>1563.1440829999999</v>
          </cell>
          <cell r="AE56">
            <v>1577.2110150000001</v>
          </cell>
          <cell r="AF56">
            <v>1591.554699</v>
          </cell>
          <cell r="AG56">
            <v>1606.1974270000001</v>
          </cell>
          <cell r="AH56">
            <v>1621.1585319999999</v>
          </cell>
          <cell r="AI56">
            <v>1636.451591</v>
          </cell>
          <cell r="AJ56">
            <v>1652.0849499999999</v>
          </cell>
          <cell r="AK56">
            <v>1668.0626380000001</v>
          </cell>
          <cell r="AL56">
            <v>1683.8195579999999</v>
          </cell>
          <cell r="AM56">
            <v>1699.697289</v>
          </cell>
          <cell r="AN56">
            <v>1715.787446</v>
          </cell>
          <cell r="AO56">
            <v>1732.1305789999999</v>
          </cell>
          <cell r="AP56">
            <v>1748.7499760000001</v>
          </cell>
          <cell r="AQ56">
            <v>1765.6581040000001</v>
          </cell>
          <cell r="AR56">
            <v>1782.86664</v>
          </cell>
          <cell r="AS56">
            <v>1800.3835260000001</v>
          </cell>
          <cell r="AT56">
            <v>1818.21361</v>
          </cell>
          <cell r="AU56">
            <v>1836.3592880000001</v>
          </cell>
          <cell r="AV56">
            <v>1854.7311099999999</v>
          </cell>
          <cell r="AW56">
            <v>1873.3407050000001</v>
          </cell>
          <cell r="AX56">
            <v>1892.2638910000001</v>
          </cell>
          <cell r="AY56">
            <v>1911.570649</v>
          </cell>
          <cell r="AZ56">
            <v>1931.3075630000001</v>
          </cell>
          <cell r="BA56">
            <v>1975.510096</v>
          </cell>
          <cell r="BB56">
            <v>2000.5076879999999</v>
          </cell>
          <cell r="BC56">
            <v>2025.9716470000001</v>
          </cell>
          <cell r="BD56">
            <v>2051.9045689999998</v>
          </cell>
          <cell r="BE56">
            <v>2078.309444</v>
          </cell>
        </row>
        <row r="57">
          <cell r="B57">
            <v>1220.1239660000001</v>
          </cell>
          <cell r="C57">
            <v>1229.1995669999999</v>
          </cell>
          <cell r="D57">
            <v>1236.8786620000001</v>
          </cell>
          <cell r="E57">
            <v>1244.6306179999999</v>
          </cell>
          <cell r="F57">
            <v>1253.0196619999999</v>
          </cell>
          <cell r="G57">
            <v>1262.1131170000001</v>
          </cell>
          <cell r="H57">
            <v>1271.331989</v>
          </cell>
          <cell r="I57">
            <v>1280.978057</v>
          </cell>
          <cell r="J57">
            <v>1291.044607</v>
          </cell>
          <cell r="K57">
            <v>1301.479756</v>
          </cell>
          <cell r="L57">
            <v>1313.3243090000001</v>
          </cell>
          <cell r="M57">
            <v>1324.769368</v>
          </cell>
          <cell r="N57">
            <v>1336.276419</v>
          </cell>
          <cell r="O57">
            <v>1347.925017</v>
          </cell>
          <cell r="P57">
            <v>1359.736228</v>
          </cell>
          <cell r="Q57">
            <v>1371.725715</v>
          </cell>
          <cell r="R57">
            <v>1383.9064719999999</v>
          </cell>
          <cell r="S57">
            <v>1396.288211</v>
          </cell>
          <cell r="T57">
            <v>1408.8778589999999</v>
          </cell>
          <cell r="U57">
            <v>1421.680728</v>
          </cell>
          <cell r="V57">
            <v>1433.9019479999999</v>
          </cell>
          <cell r="W57">
            <v>1446.844075</v>
          </cell>
          <cell r="X57">
            <v>1460.1508369999999</v>
          </cell>
          <cell r="Y57">
            <v>1473.757077</v>
          </cell>
          <cell r="Z57">
            <v>1487.6487050000001</v>
          </cell>
          <cell r="AA57">
            <v>1499.5300890000001</v>
          </cell>
          <cell r="AB57">
            <v>1512.0404860000001</v>
          </cell>
          <cell r="AC57">
            <v>1524.807127</v>
          </cell>
          <cell r="AD57">
            <v>1537.8077940000001</v>
          </cell>
          <cell r="AE57">
            <v>1551.0665329999999</v>
          </cell>
          <cell r="AF57">
            <v>1564.613533</v>
          </cell>
          <cell r="AG57">
            <v>1578.4756110000001</v>
          </cell>
          <cell r="AH57">
            <v>1592.673939</v>
          </cell>
          <cell r="AI57">
            <v>1607.2238400000001</v>
          </cell>
          <cell r="AJ57">
            <v>1622.135368</v>
          </cell>
          <cell r="AK57">
            <v>1637.414248</v>
          </cell>
          <cell r="AL57">
            <v>1652.514414</v>
          </cell>
          <cell r="AM57">
            <v>1667.7720220000001</v>
          </cell>
          <cell r="AN57">
            <v>1683.366068</v>
          </cell>
          <cell r="AO57">
            <v>1699.3968709999999</v>
          </cell>
          <cell r="AP57">
            <v>1715.8866379999999</v>
          </cell>
          <cell r="AQ57">
            <v>1732.7039609999999</v>
          </cell>
          <cell r="AR57">
            <v>1749.7728689999999</v>
          </cell>
          <cell r="AS57">
            <v>1767.0741009999999</v>
          </cell>
          <cell r="AT57">
            <v>1784.6411479999999</v>
          </cell>
          <cell r="AU57">
            <v>1802.5319059999999</v>
          </cell>
          <cell r="AV57">
            <v>1820.8503040000001</v>
          </cell>
          <cell r="AW57">
            <v>1839.6039000000001</v>
          </cell>
          <cell r="AX57">
            <v>1858.80467</v>
          </cell>
          <cell r="AY57">
            <v>1878.4551779999999</v>
          </cell>
          <cell r="AZ57">
            <v>1898.550868</v>
          </cell>
          <cell r="BA57">
            <v>2012.6682860000001</v>
          </cell>
          <cell r="BB57">
            <v>2038.8856270000001</v>
          </cell>
          <cell r="BC57">
            <v>2065.5735100000002</v>
          </cell>
          <cell r="BD57">
            <v>2092.740722</v>
          </cell>
          <cell r="BE57">
            <v>2120.3947330000001</v>
          </cell>
        </row>
        <row r="58">
          <cell r="B58">
            <v>2401.4094129999999</v>
          </cell>
          <cell r="C58">
            <v>2422.194641</v>
          </cell>
          <cell r="D58">
            <v>2439.199627</v>
          </cell>
          <cell r="E58">
            <v>2455.8078529999998</v>
          </cell>
          <cell r="F58">
            <v>2473.62419</v>
          </cell>
          <cell r="G58">
            <v>2493.1408110000002</v>
          </cell>
          <cell r="H58">
            <v>2513.081823</v>
          </cell>
          <cell r="I58">
            <v>2533.9357089999999</v>
          </cell>
          <cell r="J58">
            <v>2555.6278000000002</v>
          </cell>
          <cell r="K58">
            <v>2578.026386</v>
          </cell>
          <cell r="L58">
            <v>2603.1731949999999</v>
          </cell>
          <cell r="M58">
            <v>2627.5261529999998</v>
          </cell>
          <cell r="N58">
            <v>2652.0027209999998</v>
          </cell>
          <cell r="O58">
            <v>2676.7701569999999</v>
          </cell>
          <cell r="P58">
            <v>2701.8706379999999</v>
          </cell>
          <cell r="Q58">
            <v>2727.316088</v>
          </cell>
          <cell r="R58">
            <v>2753.1256549999998</v>
          </cell>
          <cell r="S58">
            <v>2779.3013569999998</v>
          </cell>
          <cell r="T58">
            <v>2805.849784</v>
          </cell>
          <cell r="U58">
            <v>2832.7826559999999</v>
          </cell>
          <cell r="V58">
            <v>2858.5413130000002</v>
          </cell>
          <cell r="W58">
            <v>2885.6981679999999</v>
          </cell>
          <cell r="X58">
            <v>2913.5602840000001</v>
          </cell>
          <cell r="Y58">
            <v>2942.0040760000002</v>
          </cell>
          <cell r="Z58">
            <v>2971.0033490000001</v>
          </cell>
          <cell r="AA58">
            <v>2996.03791</v>
          </cell>
          <cell r="AB58">
            <v>3022.2945679999998</v>
          </cell>
          <cell r="AC58">
            <v>3049.0420650000001</v>
          </cell>
          <cell r="AD58">
            <v>3076.2355320000001</v>
          </cell>
          <cell r="AE58">
            <v>3103.918964</v>
          </cell>
          <cell r="AF58">
            <v>3132.1470420000001</v>
          </cell>
          <cell r="AG58">
            <v>3160.9636310000001</v>
          </cell>
          <cell r="AH58">
            <v>3190.4067789999999</v>
          </cell>
          <cell r="AI58">
            <v>3220.5032059999999</v>
          </cell>
          <cell r="AJ58">
            <v>3251.2693359999998</v>
          </cell>
          <cell r="AK58">
            <v>3282.7130980000002</v>
          </cell>
          <cell r="AL58">
            <v>3313.7223939999999</v>
          </cell>
          <cell r="AM58">
            <v>3344.969443</v>
          </cell>
          <cell r="AN58">
            <v>3376.6345419999998</v>
          </cell>
          <cell r="AO58">
            <v>3408.797493</v>
          </cell>
          <cell r="AP58">
            <v>3441.5041270000002</v>
          </cell>
          <cell r="AQ58">
            <v>3474.7789760000001</v>
          </cell>
          <cell r="AR58">
            <v>3508.645023</v>
          </cell>
          <cell r="AS58">
            <v>3543.117894</v>
          </cell>
          <cell r="AT58">
            <v>3578.2071340000002</v>
          </cell>
          <cell r="AU58">
            <v>3613.9174579999999</v>
          </cell>
          <cell r="AV58">
            <v>3650.0728260000001</v>
          </cell>
          <cell r="AW58">
            <v>3686.6961289999999</v>
          </cell>
          <cell r="AX58">
            <v>3723.9365699999998</v>
          </cell>
          <cell r="AY58">
            <v>3761.9318750000002</v>
          </cell>
          <cell r="AZ58">
            <v>3800.773717</v>
          </cell>
          <cell r="BA58">
            <v>3887.7633970000002</v>
          </cell>
          <cell r="BB58">
            <v>3936.9581450000001</v>
          </cell>
          <cell r="BC58">
            <v>3987.0706960000002</v>
          </cell>
          <cell r="BD58">
            <v>4038.1061549999999</v>
          </cell>
          <cell r="BE58">
            <v>4090.0704070000002</v>
          </cell>
        </row>
        <row r="59">
          <cell r="B59">
            <v>2401.182683</v>
          </cell>
          <cell r="C59">
            <v>2419.0395659999999</v>
          </cell>
          <cell r="D59">
            <v>2434.151867</v>
          </cell>
          <cell r="E59">
            <v>2449.4075579999999</v>
          </cell>
          <cell r="F59">
            <v>2465.9170250000002</v>
          </cell>
          <cell r="G59">
            <v>2483.8127570000001</v>
          </cell>
          <cell r="H59">
            <v>2501.9553080000001</v>
          </cell>
          <cell r="I59">
            <v>2520.938572</v>
          </cell>
          <cell r="J59">
            <v>2540.7493380000001</v>
          </cell>
          <cell r="K59">
            <v>2561.2854969999999</v>
          </cell>
          <cell r="L59">
            <v>2584.595335</v>
          </cell>
          <cell r="M59">
            <v>2607.1189760000002</v>
          </cell>
          <cell r="N59">
            <v>2629.7646159999999</v>
          </cell>
          <cell r="O59">
            <v>2652.688819</v>
          </cell>
          <cell r="P59">
            <v>2675.933039</v>
          </cell>
          <cell r="Q59">
            <v>2699.5281060000002</v>
          </cell>
          <cell r="R59">
            <v>2723.4995859999999</v>
          </cell>
          <cell r="S59">
            <v>2747.8665940000001</v>
          </cell>
          <cell r="T59">
            <v>2772.6427629999998</v>
          </cell>
          <cell r="U59">
            <v>2797.8385469999998</v>
          </cell>
          <cell r="V59">
            <v>2821.8896580000001</v>
          </cell>
          <cell r="W59">
            <v>2847.3594979999998</v>
          </cell>
          <cell r="X59">
            <v>2873.546934</v>
          </cell>
          <cell r="Y59">
            <v>2900.3237340000001</v>
          </cell>
          <cell r="Z59">
            <v>2927.6621730000002</v>
          </cell>
          <cell r="AA59">
            <v>2951.0444940000002</v>
          </cell>
          <cell r="AB59">
            <v>2975.6646999999998</v>
          </cell>
          <cell r="AC59">
            <v>3000.7891880000002</v>
          </cell>
          <cell r="AD59">
            <v>3026.374233</v>
          </cell>
          <cell r="AE59">
            <v>3052.4671600000001</v>
          </cell>
          <cell r="AF59">
            <v>3079.1273799999999</v>
          </cell>
          <cell r="AG59">
            <v>3106.4076650000002</v>
          </cell>
          <cell r="AH59">
            <v>3134.3496839999998</v>
          </cell>
          <cell r="AI59">
            <v>3162.9835910000002</v>
          </cell>
          <cell r="AJ59">
            <v>3192.3291720000002</v>
          </cell>
          <cell r="AK59">
            <v>3222.3976950000001</v>
          </cell>
          <cell r="AL59">
            <v>3252.114513</v>
          </cell>
          <cell r="AM59">
            <v>3282.1411720000001</v>
          </cell>
          <cell r="AN59">
            <v>3312.8299339999999</v>
          </cell>
          <cell r="AO59">
            <v>3344.3782259999998</v>
          </cell>
          <cell r="AP59">
            <v>3376.829749</v>
          </cell>
          <cell r="AQ59">
            <v>3409.9258970000001</v>
          </cell>
          <cell r="AR59">
            <v>3443.5171580000001</v>
          </cell>
          <cell r="AS59">
            <v>3477.5656300000001</v>
          </cell>
          <cell r="AT59">
            <v>3512.137217</v>
          </cell>
          <cell r="AU59">
            <v>3547.3458620000001</v>
          </cell>
          <cell r="AV59">
            <v>3583.3960940000002</v>
          </cell>
          <cell r="AW59">
            <v>3620.302788</v>
          </cell>
          <cell r="AX59">
            <v>3658.0895089999999</v>
          </cell>
          <cell r="AY59">
            <v>3696.7613059999999</v>
          </cell>
          <cell r="AZ59">
            <v>3736.3092139999999</v>
          </cell>
          <cell r="BA59">
            <v>3960.8899540000002</v>
          </cell>
          <cell r="BB59">
            <v>4012.4851440000002</v>
          </cell>
          <cell r="BC59">
            <v>4065.006351</v>
          </cell>
          <cell r="BD59">
            <v>4118.470867</v>
          </cell>
          <cell r="BE59">
            <v>4172.8933950000001</v>
          </cell>
        </row>
        <row r="60">
          <cell r="B60">
            <v>873.00404070000002</v>
          </cell>
          <cell r="C60">
            <v>880.56162670000003</v>
          </cell>
          <cell r="D60">
            <v>886.74359830000003</v>
          </cell>
          <cell r="E60">
            <v>892.78133200000002</v>
          </cell>
          <cell r="F60">
            <v>899.25826110000003</v>
          </cell>
          <cell r="G60">
            <v>906.3533089</v>
          </cell>
          <cell r="H60">
            <v>913.60263970000005</v>
          </cell>
          <cell r="I60">
            <v>921.18383549999999</v>
          </cell>
          <cell r="J60">
            <v>929.06975120000004</v>
          </cell>
          <cell r="K60">
            <v>937.21250529999998</v>
          </cell>
          <cell r="L60">
            <v>946.35434510000005</v>
          </cell>
          <cell r="M60">
            <v>955.2075893</v>
          </cell>
          <cell r="N60">
            <v>964.10577030000002</v>
          </cell>
          <cell r="O60">
            <v>973.10969309999996</v>
          </cell>
          <cell r="P60">
            <v>982.23469060000002</v>
          </cell>
          <cell r="Q60">
            <v>991.48509809999996</v>
          </cell>
          <cell r="R60">
            <v>1000.867876</v>
          </cell>
          <cell r="S60">
            <v>1010.3837579999999</v>
          </cell>
          <cell r="T60">
            <v>1020.03514</v>
          </cell>
          <cell r="U60">
            <v>1029.8262830000001</v>
          </cell>
          <cell r="V60">
            <v>1039.1905529999999</v>
          </cell>
          <cell r="W60">
            <v>1049.063122</v>
          </cell>
          <cell r="X60">
            <v>1059.1920809999999</v>
          </cell>
          <cell r="Y60">
            <v>1069.532502</v>
          </cell>
          <cell r="Z60">
            <v>1080.0748619999999</v>
          </cell>
          <cell r="AA60">
            <v>1089.1758950000001</v>
          </cell>
          <cell r="AB60">
            <v>1098.7212079999999</v>
          </cell>
          <cell r="AC60">
            <v>1108.4449589999999</v>
          </cell>
          <cell r="AD60">
            <v>1118.330839</v>
          </cell>
          <cell r="AE60">
            <v>1128.394839</v>
          </cell>
          <cell r="AF60">
            <v>1138.6568400000001</v>
          </cell>
          <cell r="AG60">
            <v>1149.1327859999999</v>
          </cell>
          <cell r="AH60">
            <v>1159.8365120000001</v>
          </cell>
          <cell r="AI60">
            <v>1170.7777289999999</v>
          </cell>
          <cell r="AJ60">
            <v>1181.9624100000001</v>
          </cell>
          <cell r="AK60">
            <v>1193.3934360000001</v>
          </cell>
          <cell r="AL60">
            <v>1204.6665170000001</v>
          </cell>
          <cell r="AM60">
            <v>1216.02603</v>
          </cell>
          <cell r="AN60">
            <v>1227.537521</v>
          </cell>
          <cell r="AO60">
            <v>1239.23</v>
          </cell>
          <cell r="AP60">
            <v>1251.1201289999999</v>
          </cell>
          <cell r="AQ60">
            <v>1263.216827</v>
          </cell>
          <cell r="AR60">
            <v>1275.5284469999999</v>
          </cell>
          <cell r="AS60">
            <v>1288.0606720000001</v>
          </cell>
          <cell r="AT60">
            <v>1300.816971</v>
          </cell>
          <cell r="AU60">
            <v>1313.7990569999999</v>
          </cell>
          <cell r="AV60">
            <v>1326.942935</v>
          </cell>
          <cell r="AW60">
            <v>1340.2569249999999</v>
          </cell>
          <cell r="AX60">
            <v>1353.7952680000001</v>
          </cell>
          <cell r="AY60">
            <v>1367.6080340000001</v>
          </cell>
          <cell r="AZ60">
            <v>1381.7285489999999</v>
          </cell>
          <cell r="BA60">
            <v>1413.3526690000001</v>
          </cell>
          <cell r="BB60">
            <v>1431.2368670000001</v>
          </cell>
          <cell r="BC60">
            <v>1449.4547210000001</v>
          </cell>
          <cell r="BD60">
            <v>1468.008088</v>
          </cell>
          <cell r="BE60">
            <v>1486.8991080000001</v>
          </cell>
        </row>
        <row r="61">
          <cell r="B61">
            <v>872.92161550000003</v>
          </cell>
          <cell r="C61">
            <v>879.4146346</v>
          </cell>
          <cell r="D61">
            <v>884.9085417</v>
          </cell>
          <cell r="E61">
            <v>890.4545766</v>
          </cell>
          <cell r="F61">
            <v>896.4564077</v>
          </cell>
          <cell r="G61">
            <v>902.96220000000005</v>
          </cell>
          <cell r="H61">
            <v>909.55772049999996</v>
          </cell>
          <cell r="I61">
            <v>916.45887259999995</v>
          </cell>
          <cell r="J61">
            <v>923.6608536</v>
          </cell>
          <cell r="K61">
            <v>931.12654339999995</v>
          </cell>
          <cell r="L61">
            <v>939.60057300000005</v>
          </cell>
          <cell r="M61">
            <v>947.78878940000004</v>
          </cell>
          <cell r="N61">
            <v>956.02135710000005</v>
          </cell>
          <cell r="O61">
            <v>964.3551933</v>
          </cell>
          <cell r="P61">
            <v>972.80536840000002</v>
          </cell>
          <cell r="Q61">
            <v>981.38308940000002</v>
          </cell>
          <cell r="R61">
            <v>990.09765149999998</v>
          </cell>
          <cell r="S61">
            <v>998.95600349999995</v>
          </cell>
          <cell r="T61">
            <v>1007.9631010000001</v>
          </cell>
          <cell r="U61">
            <v>1017.122745</v>
          </cell>
          <cell r="V61">
            <v>1025.866256</v>
          </cell>
          <cell r="W61">
            <v>1035.12553</v>
          </cell>
          <cell r="X61">
            <v>1044.6456780000001</v>
          </cell>
          <cell r="Y61">
            <v>1054.3800819999999</v>
          </cell>
          <cell r="Z61">
            <v>1064.318665</v>
          </cell>
          <cell r="AA61">
            <v>1072.8190440000001</v>
          </cell>
          <cell r="AB61">
            <v>1081.7694429999999</v>
          </cell>
          <cell r="AC61">
            <v>1090.9031689999999</v>
          </cell>
          <cell r="AD61">
            <v>1100.204324</v>
          </cell>
          <cell r="AE61">
            <v>1109.690114</v>
          </cell>
          <cell r="AF61">
            <v>1119.3821370000001</v>
          </cell>
          <cell r="AG61">
            <v>1129.2995780000001</v>
          </cell>
          <cell r="AH61">
            <v>1139.4575850000001</v>
          </cell>
          <cell r="AI61">
            <v>1149.8671200000001</v>
          </cell>
          <cell r="AJ61">
            <v>1160.535376</v>
          </cell>
          <cell r="AK61">
            <v>1171.4664499999999</v>
          </cell>
          <cell r="AL61">
            <v>1182.269665</v>
          </cell>
          <cell r="AM61">
            <v>1193.1855190000001</v>
          </cell>
          <cell r="AN61">
            <v>1204.342073</v>
          </cell>
          <cell r="AO61">
            <v>1215.8110999999999</v>
          </cell>
          <cell r="AP61">
            <v>1227.608487</v>
          </cell>
          <cell r="AQ61">
            <v>1239.6402189999999</v>
          </cell>
          <cell r="AR61">
            <v>1251.851944</v>
          </cell>
          <cell r="AS61">
            <v>1264.229883</v>
          </cell>
          <cell r="AT61">
            <v>1276.7979949999999</v>
          </cell>
          <cell r="AU61">
            <v>1289.597702</v>
          </cell>
          <cell r="AV61">
            <v>1302.703358</v>
          </cell>
          <cell r="AW61">
            <v>1316.1203720000001</v>
          </cell>
          <cell r="AX61">
            <v>1329.8573100000001</v>
          </cell>
          <cell r="AY61">
            <v>1343.916007</v>
          </cell>
          <cell r="AZ61">
            <v>1358.2932040000001</v>
          </cell>
          <cell r="BA61">
            <v>1439.937007</v>
          </cell>
          <cell r="BB61">
            <v>1458.6938580000001</v>
          </cell>
          <cell r="BC61">
            <v>1477.7873520000001</v>
          </cell>
          <cell r="BD61">
            <v>1497.223776</v>
          </cell>
          <cell r="BE61">
            <v>1517.008474</v>
          </cell>
        </row>
        <row r="62">
          <cell r="B62">
            <v>6720.5171790000004</v>
          </cell>
          <cell r="C62">
            <v>6778.6966199999997</v>
          </cell>
          <cell r="D62">
            <v>6826.2863729999999</v>
          </cell>
          <cell r="E62">
            <v>6872.7657609999997</v>
          </cell>
          <cell r="F62">
            <v>6922.6261409999997</v>
          </cell>
          <cell r="G62">
            <v>6977.2448919999997</v>
          </cell>
          <cell r="H62">
            <v>7033.0513369999999</v>
          </cell>
          <cell r="I62">
            <v>7091.4125290000002</v>
          </cell>
          <cell r="J62">
            <v>7152.1195010000001</v>
          </cell>
          <cell r="K62">
            <v>7214.8036540000003</v>
          </cell>
          <cell r="L62">
            <v>7285.1789200000003</v>
          </cell>
          <cell r="M62">
            <v>7353.3325329999998</v>
          </cell>
          <cell r="N62">
            <v>7421.832077</v>
          </cell>
          <cell r="O62">
            <v>7491.1456369999996</v>
          </cell>
          <cell r="P62">
            <v>7561.3912479999999</v>
          </cell>
          <cell r="Q62">
            <v>7632.6022849999999</v>
          </cell>
          <cell r="R62">
            <v>7704.8323270000001</v>
          </cell>
          <cell r="S62">
            <v>7778.0870279999999</v>
          </cell>
          <cell r="T62">
            <v>7852.3848269999999</v>
          </cell>
          <cell r="U62">
            <v>7927.7585239999999</v>
          </cell>
          <cell r="V62">
            <v>7999.8460940000004</v>
          </cell>
          <cell r="W62">
            <v>8075.8466259999996</v>
          </cell>
          <cell r="X62">
            <v>8153.8208850000001</v>
          </cell>
          <cell r="Y62">
            <v>8233.4230079999998</v>
          </cell>
          <cell r="Z62">
            <v>8314.5796859999991</v>
          </cell>
          <cell r="AA62">
            <v>8384.6408169999995</v>
          </cell>
          <cell r="AB62">
            <v>8458.1220790000007</v>
          </cell>
          <cell r="AC62">
            <v>8532.9769909999995</v>
          </cell>
          <cell r="AD62">
            <v>8609.0799850000003</v>
          </cell>
          <cell r="AE62">
            <v>8686.5541840000005</v>
          </cell>
          <cell r="AF62">
            <v>8765.5526150000005</v>
          </cell>
          <cell r="AG62">
            <v>8846.1980370000001</v>
          </cell>
          <cell r="AH62">
            <v>8928.5969349999996</v>
          </cell>
          <cell r="AI62">
            <v>9012.8240839999999</v>
          </cell>
          <cell r="AJ62">
            <v>9098.9254490000003</v>
          </cell>
          <cell r="AK62">
            <v>9186.9232169999996</v>
          </cell>
          <cell r="AL62">
            <v>9273.7050999999992</v>
          </cell>
          <cell r="AM62">
            <v>9361.1523500000003</v>
          </cell>
          <cell r="AN62">
            <v>9449.7695469999999</v>
          </cell>
          <cell r="AO62">
            <v>9539.7800229999993</v>
          </cell>
          <cell r="AP62">
            <v>9631.3120340000005</v>
          </cell>
          <cell r="AQ62">
            <v>9724.4342390000002</v>
          </cell>
          <cell r="AR62">
            <v>9819.2109560000008</v>
          </cell>
          <cell r="AS62">
            <v>9915.6859199999999</v>
          </cell>
          <cell r="AT62">
            <v>10013.885840000001</v>
          </cell>
          <cell r="AU62">
            <v>10113.823899999999</v>
          </cell>
          <cell r="AV62">
            <v>10215.007460000001</v>
          </cell>
          <cell r="AW62">
            <v>10317.50057</v>
          </cell>
          <cell r="AX62">
            <v>10421.720789999999</v>
          </cell>
          <cell r="AY62">
            <v>10528.053550000001</v>
          </cell>
          <cell r="AZ62">
            <v>10636.75541</v>
          </cell>
          <cell r="BA62">
            <v>10880.202670000001</v>
          </cell>
          <cell r="BB62">
            <v>11017.877930000001</v>
          </cell>
          <cell r="BC62">
            <v>11158.121730000001</v>
          </cell>
          <cell r="BD62">
            <v>11300.94836</v>
          </cell>
          <cell r="BE62">
            <v>11446.37428</v>
          </cell>
        </row>
        <row r="63">
          <cell r="B63">
            <v>6719.8826580000004</v>
          </cell>
          <cell r="C63">
            <v>6769.8669010000003</v>
          </cell>
          <cell r="D63">
            <v>6812.1598290000002</v>
          </cell>
          <cell r="E63">
            <v>6854.854045</v>
          </cell>
          <cell r="F63">
            <v>6901.057049</v>
          </cell>
          <cell r="G63">
            <v>6951.1396219999997</v>
          </cell>
          <cell r="H63">
            <v>7001.9129370000001</v>
          </cell>
          <cell r="I63">
            <v>7055.0390500000003</v>
          </cell>
          <cell r="J63">
            <v>7110.4809889999997</v>
          </cell>
          <cell r="K63">
            <v>7167.9529990000001</v>
          </cell>
          <cell r="L63">
            <v>7233.1873610000002</v>
          </cell>
          <cell r="M63">
            <v>7296.2214889999996</v>
          </cell>
          <cell r="N63">
            <v>7359.597041</v>
          </cell>
          <cell r="O63">
            <v>7423.7521729999999</v>
          </cell>
          <cell r="P63">
            <v>7488.8028990000003</v>
          </cell>
          <cell r="Q63">
            <v>7554.8354929999996</v>
          </cell>
          <cell r="R63">
            <v>7621.9215109999996</v>
          </cell>
          <cell r="S63">
            <v>7690.1144450000002</v>
          </cell>
          <cell r="T63">
            <v>7759.4524419999998</v>
          </cell>
          <cell r="U63">
            <v>7829.9647699999996</v>
          </cell>
          <cell r="V63">
            <v>7897.273639</v>
          </cell>
          <cell r="W63">
            <v>7968.5529299999998</v>
          </cell>
          <cell r="X63">
            <v>8041.8404700000001</v>
          </cell>
          <cell r="Y63">
            <v>8116.7773889999999</v>
          </cell>
          <cell r="Z63">
            <v>8193.2860990000008</v>
          </cell>
          <cell r="AA63">
            <v>8258.7233059999999</v>
          </cell>
          <cell r="AB63">
            <v>8327.6248340000002</v>
          </cell>
          <cell r="AC63">
            <v>8397.9376329999996</v>
          </cell>
          <cell r="AD63">
            <v>8469.5393330000006</v>
          </cell>
          <cell r="AE63">
            <v>8542.5623809999997</v>
          </cell>
          <cell r="AF63">
            <v>8617.173041</v>
          </cell>
          <cell r="AG63">
            <v>8693.5190019999991</v>
          </cell>
          <cell r="AH63">
            <v>8771.7168760000004</v>
          </cell>
          <cell r="AI63">
            <v>8851.8510499999993</v>
          </cell>
          <cell r="AJ63">
            <v>8933.9768989999993</v>
          </cell>
          <cell r="AK63">
            <v>9018.1259570000002</v>
          </cell>
          <cell r="AL63">
            <v>9101.2907400000004</v>
          </cell>
          <cell r="AM63">
            <v>9185.3226369999993</v>
          </cell>
          <cell r="AN63">
            <v>9271.2074819999998</v>
          </cell>
          <cell r="AO63">
            <v>9359.4977849999996</v>
          </cell>
          <cell r="AP63">
            <v>9450.3158509999994</v>
          </cell>
          <cell r="AQ63">
            <v>9542.9379470000003</v>
          </cell>
          <cell r="AR63">
            <v>9636.9456539999992</v>
          </cell>
          <cell r="AS63">
            <v>9732.2329019999997</v>
          </cell>
          <cell r="AT63">
            <v>9828.9841290000004</v>
          </cell>
          <cell r="AU63">
            <v>9927.5182089999998</v>
          </cell>
          <cell r="AV63">
            <v>10028.40754</v>
          </cell>
          <cell r="AW63">
            <v>10131.693740000001</v>
          </cell>
          <cell r="AX63">
            <v>10237.44276</v>
          </cell>
          <cell r="AY63">
            <v>10345.668739999999</v>
          </cell>
          <cell r="AZ63">
            <v>10456.34657</v>
          </cell>
          <cell r="BA63">
            <v>11084.852919999999</v>
          </cell>
          <cell r="BB63">
            <v>11229.245999999999</v>
          </cell>
          <cell r="BC63">
            <v>11376.230610000001</v>
          </cell>
          <cell r="BD63">
            <v>11525.85514</v>
          </cell>
          <cell r="BE63">
            <v>11678.160739999999</v>
          </cell>
        </row>
        <row r="64">
          <cell r="B64">
            <v>7914.3014270000003</v>
          </cell>
          <cell r="C64">
            <v>8001.2604899999997</v>
          </cell>
          <cell r="D64">
            <v>8081.3705970000001</v>
          </cell>
          <cell r="E64">
            <v>8159.3376950000002</v>
          </cell>
          <cell r="F64">
            <v>8238.4642019999992</v>
          </cell>
          <cell r="G64">
            <v>8320.3404449999998</v>
          </cell>
          <cell r="H64">
            <v>8399.3178150000003</v>
          </cell>
          <cell r="I64">
            <v>8478.865076</v>
          </cell>
          <cell r="J64">
            <v>8559.9009600000009</v>
          </cell>
          <cell r="K64">
            <v>8642.5472439999994</v>
          </cell>
          <cell r="L64">
            <v>8737.0575599999993</v>
          </cell>
          <cell r="M64">
            <v>8826.6527370000003</v>
          </cell>
          <cell r="N64">
            <v>8915.147712</v>
          </cell>
          <cell r="O64">
            <v>9003.7063139999991</v>
          </cell>
          <cell r="P64">
            <v>9092.7553019999996</v>
          </cell>
          <cell r="Q64">
            <v>9182.4537870000004</v>
          </cell>
          <cell r="R64">
            <v>9272.9125480000002</v>
          </cell>
          <cell r="S64">
            <v>9364.1345970000002</v>
          </cell>
          <cell r="T64">
            <v>9456.1145809999998</v>
          </cell>
          <cell r="U64">
            <v>9548.8603469999998</v>
          </cell>
          <cell r="V64">
            <v>9635.1666010000008</v>
          </cell>
          <cell r="W64">
            <v>9726.6581740000001</v>
          </cell>
          <cell r="X64">
            <v>9820.5620859999999</v>
          </cell>
          <cell r="Y64">
            <v>9916.0298060000005</v>
          </cell>
          <cell r="Z64">
            <v>10012.74691</v>
          </cell>
          <cell r="AA64">
            <v>10090.3539</v>
          </cell>
          <cell r="AB64">
            <v>10171.71954</v>
          </cell>
          <cell r="AC64">
            <v>10254.645049999999</v>
          </cell>
          <cell r="AD64">
            <v>10338.70716</v>
          </cell>
          <cell r="AE64">
            <v>10423.82929</v>
          </cell>
          <cell r="AF64">
            <v>10510.0363</v>
          </cell>
          <cell r="AG64">
            <v>10597.3658</v>
          </cell>
          <cell r="AH64">
            <v>10685.87883</v>
          </cell>
          <cell r="AI64">
            <v>10775.62881</v>
          </cell>
          <cell r="AJ64">
            <v>10866.654930000001</v>
          </cell>
          <cell r="AK64">
            <v>10958.98228</v>
          </cell>
          <cell r="AL64">
            <v>11047.89222</v>
          </cell>
          <cell r="AM64">
            <v>11136.192940000001</v>
          </cell>
          <cell r="AN64">
            <v>11224.895280000001</v>
          </cell>
          <cell r="AO64">
            <v>11314.441349999999</v>
          </cell>
          <cell r="AP64">
            <v>11405.038409999999</v>
          </cell>
          <cell r="AQ64">
            <v>11496.763849999999</v>
          </cell>
          <cell r="AR64">
            <v>11589.680130000001</v>
          </cell>
          <cell r="AS64">
            <v>11683.827649999999</v>
          </cell>
          <cell r="AT64">
            <v>11779.23079</v>
          </cell>
          <cell r="AU64">
            <v>11875.90295</v>
          </cell>
          <cell r="AV64">
            <v>11973.443139999999</v>
          </cell>
          <cell r="AW64">
            <v>12071.738369999999</v>
          </cell>
          <cell r="AX64">
            <v>12171.09438</v>
          </cell>
          <cell r="AY64">
            <v>12271.84484</v>
          </cell>
          <cell r="AZ64">
            <v>12374.2341</v>
          </cell>
          <cell r="BA64">
            <v>12248.41584</v>
          </cell>
          <cell r="BB64">
            <v>12371.03154</v>
          </cell>
          <cell r="BC64">
            <v>12495.64899</v>
          </cell>
          <cell r="BD64">
            <v>12622.26433</v>
          </cell>
          <cell r="BE64">
            <v>12750.89213</v>
          </cell>
        </row>
        <row r="65">
          <cell r="B65">
            <v>7913.8603830000002</v>
          </cell>
          <cell r="C65">
            <v>7991.1891240000004</v>
          </cell>
          <cell r="D65">
            <v>8069.1791210000001</v>
          </cell>
          <cell r="E65">
            <v>8150.1232300000001</v>
          </cell>
          <cell r="F65">
            <v>8234.9309009999997</v>
          </cell>
          <cell r="G65">
            <v>8323.4210519999997</v>
          </cell>
          <cell r="H65">
            <v>8409.2613579999997</v>
          </cell>
          <cell r="I65">
            <v>8496.1409889999995</v>
          </cell>
          <cell r="J65">
            <v>8585.0433300000004</v>
          </cell>
          <cell r="K65">
            <v>8675.972006</v>
          </cell>
          <cell r="L65">
            <v>8779.0015340000009</v>
          </cell>
          <cell r="M65">
            <v>8877.2539899999992</v>
          </cell>
          <cell r="N65">
            <v>8974.5143349999998</v>
          </cell>
          <cell r="O65">
            <v>9071.9692680000007</v>
          </cell>
          <cell r="P65">
            <v>9170.0423269999992</v>
          </cell>
          <cell r="Q65">
            <v>9268.8091650000006</v>
          </cell>
          <cell r="R65">
            <v>9368.2222440000005</v>
          </cell>
          <cell r="S65">
            <v>9468.2155920000005</v>
          </cell>
          <cell r="T65">
            <v>9568.7438629999997</v>
          </cell>
          <cell r="U65">
            <v>9669.7901060000004</v>
          </cell>
          <cell r="V65">
            <v>9764.1624329999995</v>
          </cell>
          <cell r="W65">
            <v>9863.4431659999991</v>
          </cell>
          <cell r="X65">
            <v>9964.8725159999995</v>
          </cell>
          <cell r="Y65">
            <v>10067.61073</v>
          </cell>
          <cell r="Z65">
            <v>10171.35385</v>
          </cell>
          <cell r="AA65">
            <v>10255.84606</v>
          </cell>
          <cell r="AB65">
            <v>10343.927229999999</v>
          </cell>
          <cell r="AC65">
            <v>10433.433300000001</v>
          </cell>
          <cell r="AD65">
            <v>10523.96415</v>
          </cell>
          <cell r="AE65">
            <v>10615.46233</v>
          </cell>
          <cell r="AF65">
            <v>10707.96977</v>
          </cell>
          <cell r="AG65">
            <v>10801.55456</v>
          </cell>
          <cell r="AH65">
            <v>10896.284079999999</v>
          </cell>
          <cell r="AI65">
            <v>10992.21522</v>
          </cell>
          <cell r="AJ65">
            <v>11089.392599999999</v>
          </cell>
          <cell r="AK65">
            <v>11187.850829999999</v>
          </cell>
          <cell r="AL65">
            <v>11283.061729999999</v>
          </cell>
          <cell r="AM65">
            <v>11377.80046</v>
          </cell>
          <cell r="AN65">
            <v>11470.645549999999</v>
          </cell>
          <cell r="AO65">
            <v>11560.9154</v>
          </cell>
          <cell r="AP65">
            <v>11649.53717</v>
          </cell>
          <cell r="AQ65">
            <v>11737.18238</v>
          </cell>
          <cell r="AR65">
            <v>11824.114460000001</v>
          </cell>
          <cell r="AS65">
            <v>11910.66642</v>
          </cell>
          <cell r="AT65">
            <v>11997.36645</v>
          </cell>
          <cell r="AU65">
            <v>12084.812669999999</v>
          </cell>
          <cell r="AV65">
            <v>12173.912829999999</v>
          </cell>
          <cell r="AW65">
            <v>12264.79736</v>
          </cell>
          <cell r="AX65">
            <v>12357.59995</v>
          </cell>
          <cell r="AY65">
            <v>12452.38306</v>
          </cell>
          <cell r="AZ65">
            <v>12549.151750000001</v>
          </cell>
          <cell r="BA65">
            <v>12608.19685</v>
          </cell>
          <cell r="BB65">
            <v>12741.371359999999</v>
          </cell>
          <cell r="BC65">
            <v>12876.53918</v>
          </cell>
          <cell r="BD65">
            <v>13013.763499999999</v>
          </cell>
          <cell r="BE65">
            <v>13153.091350000001</v>
          </cell>
        </row>
        <row r="66">
          <cell r="B66">
            <v>109.77997379999999</v>
          </cell>
          <cell r="C66">
            <v>110.73033770000001</v>
          </cell>
          <cell r="D66">
            <v>111.5077186</v>
          </cell>
          <cell r="E66">
            <v>112.2669617</v>
          </cell>
          <cell r="F66">
            <v>113.08143339999999</v>
          </cell>
          <cell r="G66">
            <v>113.9736334</v>
          </cell>
          <cell r="H66">
            <v>114.8852344</v>
          </cell>
          <cell r="I66">
            <v>115.83856729999999</v>
          </cell>
          <cell r="J66">
            <v>116.83021859999999</v>
          </cell>
          <cell r="K66">
            <v>117.8541673</v>
          </cell>
          <cell r="L66">
            <v>119.0037506</v>
          </cell>
          <cell r="M66">
            <v>120.1170432</v>
          </cell>
          <cell r="N66">
            <v>121.2359866</v>
          </cell>
          <cell r="O66">
            <v>122.3682269</v>
          </cell>
          <cell r="P66">
            <v>123.51569240000001</v>
          </cell>
          <cell r="Q66">
            <v>124.67892809999999</v>
          </cell>
          <cell r="R66">
            <v>125.8588094</v>
          </cell>
          <cell r="S66">
            <v>127.0554285</v>
          </cell>
          <cell r="T66">
            <v>128.26908660000001</v>
          </cell>
          <cell r="U66">
            <v>129.50031960000001</v>
          </cell>
          <cell r="V66">
            <v>130.6778736</v>
          </cell>
          <cell r="W66">
            <v>131.9193459</v>
          </cell>
          <cell r="X66">
            <v>133.19305919999999</v>
          </cell>
          <cell r="Y66">
            <v>134.4933638</v>
          </cell>
          <cell r="Z66">
            <v>135.819062</v>
          </cell>
          <cell r="AA66">
            <v>136.963514</v>
          </cell>
          <cell r="AB66">
            <v>138.16383400000001</v>
          </cell>
          <cell r="AC66">
            <v>139.3865926</v>
          </cell>
          <cell r="AD66">
            <v>140.62973869999999</v>
          </cell>
          <cell r="AE66">
            <v>141.89528350000001</v>
          </cell>
          <cell r="AF66">
            <v>143.1857267</v>
          </cell>
          <cell r="AG66">
            <v>144.50307359999999</v>
          </cell>
          <cell r="AH66">
            <v>145.8490635</v>
          </cell>
          <cell r="AI66">
            <v>147.2249181</v>
          </cell>
          <cell r="AJ66">
            <v>148.63138810000001</v>
          </cell>
          <cell r="AK66">
            <v>150.06883590000001</v>
          </cell>
          <cell r="AL66">
            <v>151.4864221</v>
          </cell>
          <cell r="AM66">
            <v>152.91487720000001</v>
          </cell>
          <cell r="AN66">
            <v>154.36244339999999</v>
          </cell>
          <cell r="AO66">
            <v>155.83276889999999</v>
          </cell>
          <cell r="AP66">
            <v>157.32794870000001</v>
          </cell>
          <cell r="AQ66">
            <v>158.84910450000001</v>
          </cell>
          <cell r="AR66">
            <v>160.3972867</v>
          </cell>
          <cell r="AS66">
            <v>161.9732099</v>
          </cell>
          <cell r="AT66">
            <v>163.57731029999999</v>
          </cell>
          <cell r="AU66">
            <v>165.20980349999999</v>
          </cell>
          <cell r="AV66">
            <v>166.86264180000001</v>
          </cell>
          <cell r="AW66">
            <v>168.53687170000001</v>
          </cell>
          <cell r="AX66">
            <v>170.23931400000001</v>
          </cell>
          <cell r="AY66">
            <v>171.9762648</v>
          </cell>
          <cell r="AZ66">
            <v>173.751915</v>
          </cell>
          <cell r="BA66">
            <v>177.7286378</v>
          </cell>
          <cell r="BB66">
            <v>179.9775698</v>
          </cell>
          <cell r="BC66">
            <v>182.2684591</v>
          </cell>
          <cell r="BD66">
            <v>184.60153890000001</v>
          </cell>
          <cell r="BE66">
            <v>186.9770785</v>
          </cell>
        </row>
        <row r="67">
          <cell r="B67">
            <v>109.7696088</v>
          </cell>
          <cell r="C67">
            <v>110.5861038</v>
          </cell>
          <cell r="D67">
            <v>111.27696090000001</v>
          </cell>
          <cell r="E67">
            <v>111.974373</v>
          </cell>
          <cell r="F67">
            <v>112.7291013</v>
          </cell>
          <cell r="G67">
            <v>113.5472025</v>
          </cell>
          <cell r="H67">
            <v>114.37658709999999</v>
          </cell>
          <cell r="I67">
            <v>115.2444047</v>
          </cell>
          <cell r="J67">
            <v>116.1500515</v>
          </cell>
          <cell r="K67">
            <v>117.0888595</v>
          </cell>
          <cell r="L67">
            <v>118.154466</v>
          </cell>
          <cell r="M67">
            <v>119.18413150000001</v>
          </cell>
          <cell r="N67">
            <v>120.2193743</v>
          </cell>
          <cell r="O67">
            <v>121.2673514</v>
          </cell>
          <cell r="P67">
            <v>122.32995819999999</v>
          </cell>
          <cell r="Q67">
            <v>123.40860379999999</v>
          </cell>
          <cell r="R67">
            <v>124.5044572</v>
          </cell>
          <cell r="S67">
            <v>125.61839209999999</v>
          </cell>
          <cell r="T67">
            <v>126.7510316</v>
          </cell>
          <cell r="U67">
            <v>127.9028539</v>
          </cell>
          <cell r="V67">
            <v>129.00234750000001</v>
          </cell>
          <cell r="W67">
            <v>130.16669820000001</v>
          </cell>
          <cell r="X67">
            <v>131.36385369999999</v>
          </cell>
          <cell r="Y67">
            <v>132.58795190000001</v>
          </cell>
          <cell r="Z67">
            <v>133.83772540000001</v>
          </cell>
          <cell r="AA67">
            <v>134.9066454</v>
          </cell>
          <cell r="AB67">
            <v>136.03215520000001</v>
          </cell>
          <cell r="AC67">
            <v>137.18071810000001</v>
          </cell>
          <cell r="AD67">
            <v>138.35033540000001</v>
          </cell>
          <cell r="AE67">
            <v>139.54317040000001</v>
          </cell>
          <cell r="AF67">
            <v>140.7619392</v>
          </cell>
          <cell r="AG67">
            <v>142.00905409999999</v>
          </cell>
          <cell r="AH67">
            <v>143.28642020000001</v>
          </cell>
          <cell r="AI67">
            <v>144.59541580000001</v>
          </cell>
          <cell r="AJ67">
            <v>145.93694550000001</v>
          </cell>
          <cell r="AK67">
            <v>147.31152449999999</v>
          </cell>
          <cell r="AL67">
            <v>148.6700252</v>
          </cell>
          <cell r="AM67">
            <v>150.0426903</v>
          </cell>
          <cell r="AN67">
            <v>151.44562339999999</v>
          </cell>
          <cell r="AO67">
            <v>152.8878498</v>
          </cell>
          <cell r="AP67">
            <v>154.3713673</v>
          </cell>
          <cell r="AQ67">
            <v>155.88435369999999</v>
          </cell>
          <cell r="AR67">
            <v>157.41997420000001</v>
          </cell>
          <cell r="AS67">
            <v>158.976496</v>
          </cell>
          <cell r="AT67">
            <v>160.55693199999999</v>
          </cell>
          <cell r="AU67">
            <v>162.16649100000001</v>
          </cell>
          <cell r="AV67">
            <v>163.81452300000001</v>
          </cell>
          <cell r="AW67">
            <v>165.5017081</v>
          </cell>
          <cell r="AX67">
            <v>167.22912349999999</v>
          </cell>
          <cell r="AY67">
            <v>168.99700010000001</v>
          </cell>
          <cell r="AZ67">
            <v>170.8049279</v>
          </cell>
          <cell r="BA67">
            <v>181.07160959999999</v>
          </cell>
          <cell r="BB67">
            <v>183.43027749999999</v>
          </cell>
          <cell r="BC67">
            <v>185.83127820000001</v>
          </cell>
          <cell r="BD67">
            <v>188.27540210000001</v>
          </cell>
          <cell r="BE67">
            <v>190.76332149999999</v>
          </cell>
        </row>
      </sheetData>
      <sheetData sheetId="4">
        <row r="2">
          <cell r="B2">
            <v>5224313.3459999999</v>
          </cell>
          <cell r="C2">
            <v>5285856.449</v>
          </cell>
          <cell r="D2">
            <v>5349367.0889999997</v>
          </cell>
          <cell r="E2">
            <v>5415210.7149999999</v>
          </cell>
          <cell r="F2">
            <v>5483669.9220000003</v>
          </cell>
          <cell r="G2">
            <v>5554972.6270000003</v>
          </cell>
          <cell r="H2">
            <v>5629108.9270000001</v>
          </cell>
          <cell r="I2">
            <v>5706104.642</v>
          </cell>
          <cell r="J2">
            <v>5786003.9919999996</v>
          </cell>
          <cell r="K2">
            <v>5868852.9989999998</v>
          </cell>
          <cell r="L2">
            <v>5955045.4380000001</v>
          </cell>
          <cell r="M2">
            <v>6044495.1880000001</v>
          </cell>
          <cell r="N2">
            <v>6137140.3480000002</v>
          </cell>
          <cell r="O2">
            <v>6232936.6969999997</v>
          </cell>
          <cell r="P2">
            <v>6331844.9199999999</v>
          </cell>
          <cell r="Q2">
            <v>6433826.5520000001</v>
          </cell>
          <cell r="R2">
            <v>6538843.6399999997</v>
          </cell>
          <cell r="S2">
            <v>6646860.7290000003</v>
          </cell>
          <cell r="T2">
            <v>6757845.6140000001</v>
          </cell>
          <cell r="U2">
            <v>6871769.6859999998</v>
          </cell>
          <cell r="V2">
            <v>6988338.3370000003</v>
          </cell>
          <cell r="W2">
            <v>7107614.966</v>
          </cell>
          <cell r="X2">
            <v>7229639.1770000001</v>
          </cell>
          <cell r="Y2">
            <v>7354430.9390000002</v>
          </cell>
          <cell r="Z2">
            <v>7482000.3310000002</v>
          </cell>
          <cell r="AA2">
            <v>7611563.3049999997</v>
          </cell>
          <cell r="AB2">
            <v>7742991.8940000003</v>
          </cell>
          <cell r="AC2">
            <v>7876189.9519999996</v>
          </cell>
          <cell r="AD2">
            <v>8011073.2130000005</v>
          </cell>
          <cell r="AE2">
            <v>8147572.0209999997</v>
          </cell>
          <cell r="AF2">
            <v>8285630.7189999996</v>
          </cell>
          <cell r="AG2">
            <v>8425204.5</v>
          </cell>
          <cell r="AH2">
            <v>8566255.0219999999</v>
          </cell>
          <cell r="AI2">
            <v>8708746.7129999995</v>
          </cell>
          <cell r="AJ2">
            <v>8852643.9590000007</v>
          </cell>
          <cell r="AK2">
            <v>8997909.3839999996</v>
          </cell>
          <cell r="AL2">
            <v>9144310.0739999991</v>
          </cell>
          <cell r="AM2">
            <v>9291668.6899999995</v>
          </cell>
          <cell r="AN2">
            <v>9439847.6490000002</v>
          </cell>
          <cell r="AO2">
            <v>9588735.9900000002</v>
          </cell>
          <cell r="AP2">
            <v>9738243.2689999994</v>
          </cell>
          <cell r="AQ2">
            <v>9888296.659</v>
          </cell>
          <cell r="AR2">
            <v>10038838.289999999</v>
          </cell>
          <cell r="AS2">
            <v>10189823.390000001</v>
          </cell>
          <cell r="AT2">
            <v>10341218.449999999</v>
          </cell>
          <cell r="AU2">
            <v>10492999.73</v>
          </cell>
          <cell r="AV2">
            <v>10645259.23</v>
          </cell>
          <cell r="AW2">
            <v>10798126.1</v>
          </cell>
          <cell r="AX2">
            <v>10951722.26</v>
          </cell>
          <cell r="AY2">
            <v>11106140.369999999</v>
          </cell>
          <cell r="AZ2">
            <v>11261440.869999999</v>
          </cell>
          <cell r="BA2">
            <v>11978567.880000001</v>
          </cell>
          <cell r="BB2">
            <v>12204228.35</v>
          </cell>
          <cell r="BC2">
            <v>12433206.91</v>
          </cell>
          <cell r="BD2">
            <v>12665453.859999999</v>
          </cell>
          <cell r="BE2">
            <v>12900919.949999999</v>
          </cell>
        </row>
        <row r="3">
          <cell r="B3">
            <v>5224351.1569999997</v>
          </cell>
          <cell r="C3">
            <v>5285971.6619999995</v>
          </cell>
          <cell r="D3">
            <v>5349591.148</v>
          </cell>
          <cell r="E3">
            <v>5415567.3099999996</v>
          </cell>
          <cell r="F3">
            <v>5484180.9560000002</v>
          </cell>
          <cell r="G3">
            <v>5555664.2070000004</v>
          </cell>
          <cell r="H3">
            <v>5630013.8260000004</v>
          </cell>
          <cell r="I3">
            <v>5707261.9639999997</v>
          </cell>
          <cell r="J3">
            <v>5787457.3289999999</v>
          </cell>
          <cell r="K3">
            <v>5870648.1239999998</v>
          </cell>
          <cell r="L3">
            <v>5957228.5939999996</v>
          </cell>
          <cell r="M3">
            <v>6047111.3969999999</v>
          </cell>
          <cell r="N3">
            <v>6140232.2580000004</v>
          </cell>
          <cell r="O3">
            <v>6236544.2149999999</v>
          </cell>
          <cell r="P3">
            <v>6336005.2659999998</v>
          </cell>
          <cell r="Q3">
            <v>6438574.4809999997</v>
          </cell>
          <cell r="R3">
            <v>6544212.1799999997</v>
          </cell>
          <cell r="S3">
            <v>6652881.2139999997</v>
          </cell>
          <cell r="T3">
            <v>6764548.0269999998</v>
          </cell>
          <cell r="U3">
            <v>6879183.0870000003</v>
          </cell>
          <cell r="V3">
            <v>6996490.676</v>
          </cell>
          <cell r="W3">
            <v>7116534.2429999998</v>
          </cell>
          <cell r="X3">
            <v>7239353.5920000002</v>
          </cell>
          <cell r="Y3">
            <v>7364968.9349999996</v>
          </cell>
          <cell r="Z3">
            <v>7493390.5810000002</v>
          </cell>
          <cell r="AA3">
            <v>7623832.4800000004</v>
          </cell>
          <cell r="AB3">
            <v>7756166.3080000002</v>
          </cell>
          <cell r="AC3">
            <v>7890295.6770000001</v>
          </cell>
          <cell r="AD3">
            <v>8026135.8629999999</v>
          </cell>
          <cell r="AE3">
            <v>8163616.4450000003</v>
          </cell>
          <cell r="AF3">
            <v>8302680.7110000001</v>
          </cell>
          <cell r="AG3">
            <v>8443282.4159999993</v>
          </cell>
          <cell r="AH3">
            <v>8585381.6970000006</v>
          </cell>
          <cell r="AI3">
            <v>8728941.3479999993</v>
          </cell>
          <cell r="AJ3">
            <v>8873924.0299999993</v>
          </cell>
          <cell r="AK3">
            <v>9020290.5969999991</v>
          </cell>
          <cell r="AL3">
            <v>9167804.1109999996</v>
          </cell>
          <cell r="AM3">
            <v>9316284.3230000008</v>
          </cell>
          <cell r="AN3">
            <v>9465590.5960000008</v>
          </cell>
          <cell r="AO3">
            <v>9615608.3609999996</v>
          </cell>
          <cell r="AP3">
            <v>9766243.2589999996</v>
          </cell>
          <cell r="AQ3">
            <v>9917479.7489999998</v>
          </cell>
          <cell r="AR3">
            <v>10069342.869999999</v>
          </cell>
          <cell r="AS3">
            <v>10221864.869999999</v>
          </cell>
          <cell r="AT3">
            <v>10375067.039999999</v>
          </cell>
          <cell r="AU3">
            <v>10528955.130000001</v>
          </cell>
          <cell r="AV3">
            <v>10683540.449999999</v>
          </cell>
          <cell r="AW3">
            <v>10838822.52</v>
          </cell>
          <cell r="AX3">
            <v>10994796.279999999</v>
          </cell>
          <cell r="AY3">
            <v>11151457.609999999</v>
          </cell>
          <cell r="AZ3">
            <v>11308806.43</v>
          </cell>
          <cell r="BA3">
            <v>12048683.140000001</v>
          </cell>
          <cell r="BB3">
            <v>12276883.67</v>
          </cell>
          <cell r="BC3">
            <v>12508283.220000001</v>
          </cell>
          <cell r="BD3">
            <v>12742824.369999999</v>
          </cell>
          <cell r="BE3">
            <v>12980451.76</v>
          </cell>
        </row>
        <row r="4">
          <cell r="B4">
            <v>47213.09231</v>
          </cell>
          <cell r="C4">
            <v>47756.044119999999</v>
          </cell>
          <cell r="D4">
            <v>48303.532050000002</v>
          </cell>
          <cell r="E4">
            <v>48856.100440000002</v>
          </cell>
          <cell r="F4">
            <v>49414.672079999997</v>
          </cell>
          <cell r="G4">
            <v>49980.40251</v>
          </cell>
          <cell r="H4">
            <v>50551.81639</v>
          </cell>
          <cell r="I4">
            <v>51128.93793</v>
          </cell>
          <cell r="J4">
            <v>51712.280590000002</v>
          </cell>
          <cell r="K4">
            <v>52302.400869999998</v>
          </cell>
          <cell r="L4">
            <v>52904.274859999998</v>
          </cell>
          <cell r="M4">
            <v>53515.241499999996</v>
          </cell>
          <cell r="N4">
            <v>54134.190790000001</v>
          </cell>
          <cell r="O4">
            <v>54760.566630000001</v>
          </cell>
          <cell r="P4">
            <v>55393.953780000003</v>
          </cell>
          <cell r="Q4">
            <v>56033.964549999997</v>
          </cell>
          <cell r="R4">
            <v>56680.021999999997</v>
          </cell>
          <cell r="S4">
            <v>57331.758349999996</v>
          </cell>
          <cell r="T4">
            <v>57988.90408</v>
          </cell>
          <cell r="U4">
            <v>58651.270270000001</v>
          </cell>
          <cell r="V4">
            <v>59315.484570000001</v>
          </cell>
          <cell r="W4">
            <v>59983.515180000002</v>
          </cell>
          <cell r="X4">
            <v>60656.258110000002</v>
          </cell>
          <cell r="Y4">
            <v>61334.20695</v>
          </cell>
          <cell r="Z4">
            <v>62017.750200000002</v>
          </cell>
          <cell r="AA4">
            <v>62698.000509999998</v>
          </cell>
          <cell r="AB4">
            <v>63376.722659999999</v>
          </cell>
          <cell r="AC4">
            <v>64054.93</v>
          </cell>
          <cell r="AD4">
            <v>64733.345930000003</v>
          </cell>
          <cell r="AE4">
            <v>65412.64458</v>
          </cell>
          <cell r="AF4">
            <v>66093.509990000006</v>
          </cell>
          <cell r="AG4">
            <v>66776.694440000007</v>
          </cell>
          <cell r="AH4">
            <v>67462.891369999998</v>
          </cell>
          <cell r="AI4">
            <v>68152.755609999993</v>
          </cell>
          <cell r="AJ4">
            <v>68846.900020000001</v>
          </cell>
          <cell r="AK4">
            <v>69545.890209999998</v>
          </cell>
          <cell r="AL4">
            <v>70248.637560000003</v>
          </cell>
          <cell r="AM4">
            <v>70954.829119999995</v>
          </cell>
          <cell r="AN4">
            <v>71664.524550000002</v>
          </cell>
          <cell r="AO4">
            <v>72377.941160000002</v>
          </cell>
          <cell r="AP4">
            <v>73095.370999999999</v>
          </cell>
          <cell r="AQ4">
            <v>73817.237959999999</v>
          </cell>
          <cell r="AR4">
            <v>74543.906170000002</v>
          </cell>
          <cell r="AS4">
            <v>75275.728289999999</v>
          </cell>
          <cell r="AT4">
            <v>76013.053180000003</v>
          </cell>
          <cell r="AU4">
            <v>76756.224470000001</v>
          </cell>
          <cell r="AV4">
            <v>77509.464240000001</v>
          </cell>
          <cell r="AW4">
            <v>78276.534969999993</v>
          </cell>
          <cell r="AX4">
            <v>79060.248930000002</v>
          </cell>
          <cell r="AY4">
            <v>79862.499590000007</v>
          </cell>
          <cell r="AZ4">
            <v>80684.466709999993</v>
          </cell>
          <cell r="BA4">
            <v>103584.394</v>
          </cell>
          <cell r="BB4">
            <v>105462.39079999999</v>
          </cell>
          <cell r="BC4">
            <v>107372.7289</v>
          </cell>
          <cell r="BD4">
            <v>109315.7332</v>
          </cell>
          <cell r="BE4">
            <v>111291.7519</v>
          </cell>
        </row>
        <row r="5">
          <cell r="B5">
            <v>47220.208960000004</v>
          </cell>
          <cell r="C5">
            <v>47773.440710000003</v>
          </cell>
          <cell r="D5">
            <v>48333.069239999997</v>
          </cell>
          <cell r="E5">
            <v>48899.095329999996</v>
          </cell>
          <cell r="F5">
            <v>49472.167659999999</v>
          </cell>
          <cell r="G5">
            <v>50053.261680000003</v>
          </cell>
          <cell r="H5">
            <v>50640.763610000002</v>
          </cell>
          <cell r="I5">
            <v>51234.51496</v>
          </cell>
          <cell r="J5">
            <v>51834.813470000001</v>
          </cell>
          <cell r="K5">
            <v>52441.97279</v>
          </cell>
          <cell r="L5">
            <v>53060.739710000002</v>
          </cell>
          <cell r="M5">
            <v>53688.335780000001</v>
          </cell>
          <cell r="N5">
            <v>54323.386599999998</v>
          </cell>
          <cell r="O5">
            <v>54965.038679999998</v>
          </cell>
          <cell r="P5">
            <v>55612.579469999997</v>
          </cell>
          <cell r="Q5">
            <v>56265.335639999998</v>
          </cell>
          <cell r="R5">
            <v>56922.66534</v>
          </cell>
          <cell r="S5">
            <v>57583.977680000004</v>
          </cell>
          <cell r="T5">
            <v>58248.755319999997</v>
          </cell>
          <cell r="U5">
            <v>58916.572050000002</v>
          </cell>
          <cell r="V5">
            <v>59583.813459999998</v>
          </cell>
          <cell r="W5">
            <v>60252.26586</v>
          </cell>
          <cell r="X5">
            <v>60922.648820000002</v>
          </cell>
          <cell r="Y5">
            <v>61595.290390000002</v>
          </cell>
          <cell r="Z5">
            <v>62270.424229999997</v>
          </cell>
          <cell r="AA5">
            <v>62938.970560000002</v>
          </cell>
          <cell r="AB5">
            <v>63602.485260000001</v>
          </cell>
          <cell r="AC5">
            <v>64261.859089999998</v>
          </cell>
          <cell r="AD5">
            <v>64917.714829999997</v>
          </cell>
          <cell r="AE5">
            <v>65570.630650000006</v>
          </cell>
          <cell r="AF5">
            <v>66221.194340000002</v>
          </cell>
          <cell r="AG5">
            <v>66870.001940000002</v>
          </cell>
          <cell r="AH5">
            <v>67517.641099999993</v>
          </cell>
          <cell r="AI5">
            <v>68164.674039999998</v>
          </cell>
          <cell r="AJ5">
            <v>68811.625090000001</v>
          </cell>
          <cell r="AK5">
            <v>69458.973700000002</v>
          </cell>
          <cell r="AL5">
            <v>70105.009059999997</v>
          </cell>
          <cell r="AM5">
            <v>70749.287630000006</v>
          </cell>
          <cell r="AN5">
            <v>71391.860239999995</v>
          </cell>
          <cell r="AO5">
            <v>72032.961630000005</v>
          </cell>
          <cell r="AP5">
            <v>72672.904089999996</v>
          </cell>
          <cell r="AQ5">
            <v>73314.430869999997</v>
          </cell>
          <cell r="AR5">
            <v>73960.169110000003</v>
          </cell>
          <cell r="AS5">
            <v>74612.110119999998</v>
          </cell>
          <cell r="AT5">
            <v>75271.604389999993</v>
          </cell>
          <cell r="AU5">
            <v>75939.506850000005</v>
          </cell>
          <cell r="AV5">
            <v>76616.522360000003</v>
          </cell>
          <cell r="AW5">
            <v>77303.03559</v>
          </cell>
          <cell r="AX5">
            <v>77999.268949999998</v>
          </cell>
          <cell r="AY5">
            <v>78705.365940000003</v>
          </cell>
          <cell r="AZ5">
            <v>79421.432490000007</v>
          </cell>
          <cell r="BA5">
            <v>103506.8563</v>
          </cell>
          <cell r="BB5">
            <v>105342.2723</v>
          </cell>
          <cell r="BC5">
            <v>107205.95759999999</v>
          </cell>
          <cell r="BD5">
            <v>109098.23020000001</v>
          </cell>
          <cell r="BE5">
            <v>111019.45050000001</v>
          </cell>
        </row>
        <row r="6">
          <cell r="B6">
            <v>1844.867254</v>
          </cell>
          <cell r="C6">
            <v>1864.7559590000001</v>
          </cell>
          <cell r="D6">
            <v>1882.6484029999999</v>
          </cell>
          <cell r="E6">
            <v>1898.620075</v>
          </cell>
          <cell r="F6">
            <v>1912.9554250000001</v>
          </cell>
          <cell r="G6">
            <v>1925.9599800000001</v>
          </cell>
          <cell r="H6">
            <v>1937.8478030000001</v>
          </cell>
          <cell r="I6">
            <v>1948.795619</v>
          </cell>
          <cell r="J6">
            <v>1958.9505320000001</v>
          </cell>
          <cell r="K6">
            <v>1968.4368850000001</v>
          </cell>
          <cell r="L6">
            <v>1977.4439239999999</v>
          </cell>
          <cell r="M6">
            <v>1986.0339389999999</v>
          </cell>
          <cell r="N6">
            <v>1994.2668650000001</v>
          </cell>
          <cell r="O6">
            <v>2002.2076030000001</v>
          </cell>
          <cell r="P6">
            <v>2009.923362</v>
          </cell>
          <cell r="Q6">
            <v>2017.4805260000001</v>
          </cell>
          <cell r="R6">
            <v>2024.942121</v>
          </cell>
          <cell r="S6">
            <v>2032.369297</v>
          </cell>
          <cell r="T6">
            <v>2039.8196</v>
          </cell>
          <cell r="U6">
            <v>2047.3479669999999</v>
          </cell>
          <cell r="V6">
            <v>2054.9494909999999</v>
          </cell>
          <cell r="W6">
            <v>2062.6977059999999</v>
          </cell>
          <cell r="X6">
            <v>2070.6595910000001</v>
          </cell>
          <cell r="Y6">
            <v>2078.891012</v>
          </cell>
          <cell r="Z6">
            <v>2087.4397269999999</v>
          </cell>
          <cell r="AA6">
            <v>2096.184538</v>
          </cell>
          <cell r="AB6">
            <v>2105.1525660000002</v>
          </cell>
          <cell r="AC6">
            <v>2114.3852710000001</v>
          </cell>
          <cell r="AD6">
            <v>2123.9222610000002</v>
          </cell>
          <cell r="AE6">
            <v>2133.7988129999999</v>
          </cell>
          <cell r="AF6">
            <v>2144.0462729999999</v>
          </cell>
          <cell r="AG6">
            <v>2154.6928130000001</v>
          </cell>
          <cell r="AH6">
            <v>2165.7633770000002</v>
          </cell>
          <cell r="AI6">
            <v>2177.2804350000001</v>
          </cell>
          <cell r="AJ6">
            <v>2189.263954</v>
          </cell>
          <cell r="AK6">
            <v>2201.7315699999999</v>
          </cell>
          <cell r="AL6">
            <v>2214.660813</v>
          </cell>
          <cell r="AM6">
            <v>2228.0394259999998</v>
          </cell>
          <cell r="AN6">
            <v>2241.8671680000002</v>
          </cell>
          <cell r="AO6">
            <v>2256.1481429999999</v>
          </cell>
          <cell r="AP6">
            <v>2270.8873100000001</v>
          </cell>
          <cell r="AQ6">
            <v>2286.0894520000002</v>
          </cell>
          <cell r="AR6">
            <v>2301.758362</v>
          </cell>
          <cell r="AS6">
            <v>2317.8977100000002</v>
          </cell>
          <cell r="AT6">
            <v>2334.5107549999998</v>
          </cell>
          <cell r="AU6">
            <v>2351.6003689999998</v>
          </cell>
          <cell r="AV6">
            <v>2369.1869150000002</v>
          </cell>
          <cell r="AW6">
            <v>2387.2905219999998</v>
          </cell>
          <cell r="AX6">
            <v>2405.928617</v>
          </cell>
          <cell r="AY6">
            <v>2425.112928</v>
          </cell>
          <cell r="AZ6">
            <v>2444.8497240000002</v>
          </cell>
          <cell r="BA6">
            <v>2250.0236629999999</v>
          </cell>
          <cell r="BB6">
            <v>2268.8863310000002</v>
          </cell>
          <cell r="BC6">
            <v>2288.4447949999999</v>
          </cell>
          <cell r="BD6">
            <v>2308.6961110000002</v>
          </cell>
          <cell r="BE6">
            <v>2329.6364589999998</v>
          </cell>
        </row>
        <row r="7">
          <cell r="B7">
            <v>1844.7454640000001</v>
          </cell>
          <cell r="C7">
            <v>1864.5100480000001</v>
          </cell>
          <cell r="D7">
            <v>1882.2667080000001</v>
          </cell>
          <cell r="E7">
            <v>1897.8699320000001</v>
          </cell>
          <cell r="F7">
            <v>1911.404333</v>
          </cell>
          <cell r="G7">
            <v>1923.0272050000001</v>
          </cell>
          <cell r="H7">
            <v>1932.8640809999999</v>
          </cell>
          <cell r="I7">
            <v>1941.056834</v>
          </cell>
          <cell r="J7">
            <v>1947.7539859999999</v>
          </cell>
          <cell r="K7">
            <v>1953.1009260000001</v>
          </cell>
          <cell r="L7">
            <v>1957.3139659999999</v>
          </cell>
          <cell r="M7">
            <v>1960.4862149999999</v>
          </cell>
          <cell r="N7">
            <v>1962.704868</v>
          </cell>
          <cell r="O7">
            <v>1964.0587109999999</v>
          </cell>
          <cell r="P7">
            <v>1964.635853</v>
          </cell>
          <cell r="Q7">
            <v>1964.5233539999999</v>
          </cell>
          <cell r="R7">
            <v>1963.8071239999999</v>
          </cell>
          <cell r="S7">
            <v>1962.571357</v>
          </cell>
          <cell r="T7">
            <v>1960.897708</v>
          </cell>
          <cell r="U7">
            <v>1958.864509</v>
          </cell>
          <cell r="V7">
            <v>1956.4927029999999</v>
          </cell>
          <cell r="W7">
            <v>1953.874601</v>
          </cell>
          <cell r="X7">
            <v>1951.0939659999999</v>
          </cell>
          <cell r="Y7">
            <v>1948.2220729999999</v>
          </cell>
          <cell r="Z7">
            <v>1945.320913</v>
          </cell>
          <cell r="AA7">
            <v>1942.2980889999999</v>
          </cell>
          <cell r="AB7">
            <v>1939.1954249999999</v>
          </cell>
          <cell r="AC7">
            <v>1936.066822</v>
          </cell>
          <cell r="AD7">
            <v>1932.9628029999999</v>
          </cell>
          <cell r="AE7">
            <v>1929.928956</v>
          </cell>
          <cell r="AF7">
            <v>1927.0065239999999</v>
          </cell>
          <cell r="AG7">
            <v>1924.233021</v>
          </cell>
          <cell r="AH7">
            <v>1921.6426039999999</v>
          </cell>
          <cell r="AI7">
            <v>1919.2663070000001</v>
          </cell>
          <cell r="AJ7">
            <v>1917.1322319999999</v>
          </cell>
          <cell r="AK7">
            <v>1915.265756</v>
          </cell>
          <cell r="AL7">
            <v>1913.6568810000001</v>
          </cell>
          <cell r="AM7">
            <v>1912.3070190000001</v>
          </cell>
          <cell r="AN7">
            <v>1911.2512819999999</v>
          </cell>
          <cell r="AO7">
            <v>1910.5523149999999</v>
          </cell>
          <cell r="AP7">
            <v>1910.279704</v>
          </cell>
          <cell r="AQ7">
            <v>1910.500755</v>
          </cell>
          <cell r="AR7">
            <v>1911.2595100000001</v>
          </cell>
          <cell r="AS7">
            <v>1912.573881</v>
          </cell>
          <cell r="AT7">
            <v>1914.4435080000001</v>
          </cell>
          <cell r="AU7">
            <v>1916.8592020000001</v>
          </cell>
          <cell r="AV7">
            <v>1919.812242</v>
          </cell>
          <cell r="AW7">
            <v>1923.2934809999999</v>
          </cell>
          <cell r="AX7">
            <v>1927.294394</v>
          </cell>
          <cell r="AY7">
            <v>1931.8072480000001</v>
          </cell>
          <cell r="AZ7">
            <v>1936.8248189999999</v>
          </cell>
          <cell r="BA7">
            <v>2271.9894399999998</v>
          </cell>
          <cell r="BB7">
            <v>2288.2904079999998</v>
          </cell>
          <cell r="BC7">
            <v>2304.9516779999999</v>
          </cell>
          <cell r="BD7">
            <v>2321.9704510000001</v>
          </cell>
          <cell r="BE7">
            <v>2339.3448629999998</v>
          </cell>
        </row>
        <row r="8">
          <cell r="B8">
            <v>74528.142200000002</v>
          </cell>
          <cell r="C8">
            <v>75393.420029999994</v>
          </cell>
          <cell r="D8">
            <v>76270.366429999995</v>
          </cell>
          <cell r="E8">
            <v>77166.422000000006</v>
          </cell>
          <cell r="F8">
            <v>78090.395199999999</v>
          </cell>
          <cell r="G8">
            <v>79051.009229999996</v>
          </cell>
          <cell r="H8">
            <v>80053.395149999997</v>
          </cell>
          <cell r="I8">
            <v>81102.203380000006</v>
          </cell>
          <cell r="J8">
            <v>82201.325589999993</v>
          </cell>
          <cell r="K8">
            <v>83353.715779999999</v>
          </cell>
          <cell r="L8">
            <v>84566.349889999998</v>
          </cell>
          <cell r="M8">
            <v>85839.190270000006</v>
          </cell>
          <cell r="N8">
            <v>87171.587379999997</v>
          </cell>
          <cell r="O8">
            <v>88562.419380000007</v>
          </cell>
          <cell r="P8">
            <v>90010.115409999999</v>
          </cell>
          <cell r="Q8">
            <v>91512.786189999999</v>
          </cell>
          <cell r="R8">
            <v>93068.407980000004</v>
          </cell>
          <cell r="S8">
            <v>94674.937640000004</v>
          </cell>
          <cell r="T8">
            <v>96330.404970000003</v>
          </cell>
          <cell r="U8">
            <v>98032.978040000002</v>
          </cell>
          <cell r="V8">
            <v>99777.139169999995</v>
          </cell>
          <cell r="W8">
            <v>101562.3376</v>
          </cell>
          <cell r="X8">
            <v>103388.10309999999</v>
          </cell>
          <cell r="Y8">
            <v>105254.0171</v>
          </cell>
          <cell r="Z8">
            <v>107159.78170000001</v>
          </cell>
          <cell r="AA8">
            <v>109093.8122</v>
          </cell>
          <cell r="AB8">
            <v>111053.2176</v>
          </cell>
          <cell r="AC8">
            <v>113035.95849999999</v>
          </cell>
          <cell r="AD8">
            <v>115040.59880000001</v>
          </cell>
          <cell r="AE8">
            <v>117066.338</v>
          </cell>
          <cell r="AF8">
            <v>119112.9379</v>
          </cell>
          <cell r="AG8">
            <v>121180.5784</v>
          </cell>
          <cell r="AH8">
            <v>123269.7167</v>
          </cell>
          <cell r="AI8">
            <v>125380.962</v>
          </cell>
          <cell r="AJ8">
            <v>127514.9782</v>
          </cell>
          <cell r="AK8">
            <v>129672.4188</v>
          </cell>
          <cell r="AL8">
            <v>131850.9675</v>
          </cell>
          <cell r="AM8">
            <v>134048.8934</v>
          </cell>
          <cell r="AN8">
            <v>136264.9945</v>
          </cell>
          <cell r="AO8">
            <v>138498.50469999999</v>
          </cell>
          <cell r="AP8">
            <v>140749.05040000001</v>
          </cell>
          <cell r="AQ8">
            <v>143016.5987</v>
          </cell>
          <cell r="AR8">
            <v>145301.41469999999</v>
          </cell>
          <cell r="AS8">
            <v>147604.0042</v>
          </cell>
          <cell r="AT8">
            <v>149925.05220000001</v>
          </cell>
          <cell r="AU8">
            <v>152265.3676</v>
          </cell>
          <cell r="AV8">
            <v>154629.48850000001</v>
          </cell>
          <cell r="AW8">
            <v>157023.69339999999</v>
          </cell>
          <cell r="AX8">
            <v>159454.17480000001</v>
          </cell>
          <cell r="AY8">
            <v>161926.0055</v>
          </cell>
          <cell r="AZ8">
            <v>164442.8529</v>
          </cell>
          <cell r="BA8">
            <v>162579.52590000001</v>
          </cell>
          <cell r="BB8">
            <v>165357.26949999999</v>
          </cell>
          <cell r="BC8">
            <v>168176.40669999999</v>
          </cell>
          <cell r="BD8">
            <v>171037.34650000001</v>
          </cell>
          <cell r="BE8">
            <v>173940.5448</v>
          </cell>
        </row>
        <row r="9">
          <cell r="B9">
            <v>74527.76943</v>
          </cell>
          <cell r="C9">
            <v>75392.207620000001</v>
          </cell>
          <cell r="D9">
            <v>76267.658009999999</v>
          </cell>
          <cell r="E9">
            <v>77161.583079999997</v>
          </cell>
          <cell r="F9">
            <v>78083.05949</v>
          </cell>
          <cell r="G9">
            <v>79041.240890000001</v>
          </cell>
          <cell r="H9">
            <v>80041.681349999999</v>
          </cell>
          <cell r="I9">
            <v>81089.37182</v>
          </cell>
          <cell r="J9">
            <v>82188.440990000003</v>
          </cell>
          <cell r="K9">
            <v>83341.981920000006</v>
          </cell>
          <cell r="L9">
            <v>84557.028609999994</v>
          </cell>
          <cell r="M9">
            <v>85833.520709999997</v>
          </cell>
          <cell r="N9">
            <v>87170.746750000006</v>
          </cell>
          <cell r="O9">
            <v>88567.510190000001</v>
          </cell>
          <cell r="P9">
            <v>90022.166200000007</v>
          </cell>
          <cell r="Q9">
            <v>91532.756829999998</v>
          </cell>
          <cell r="R9">
            <v>93097.173030000005</v>
          </cell>
          <cell r="S9">
            <v>94713.296419999999</v>
          </cell>
          <cell r="T9">
            <v>96379.104810000004</v>
          </cell>
          <cell r="U9">
            <v>98092.741439999998</v>
          </cell>
          <cell r="V9">
            <v>99848.683650000006</v>
          </cell>
          <cell r="W9">
            <v>101646.40609999999</v>
          </cell>
          <cell r="X9">
            <v>103485.47840000001</v>
          </cell>
          <cell r="Y9">
            <v>105365.53019999999</v>
          </cell>
          <cell r="Z9">
            <v>107286.3164</v>
          </cell>
          <cell r="AA9">
            <v>109236.28</v>
          </cell>
          <cell r="AB9">
            <v>111212.5934</v>
          </cell>
          <cell r="AC9">
            <v>113213.27469999999</v>
          </cell>
          <cell r="AD9">
            <v>115236.931</v>
          </cell>
          <cell r="AE9">
            <v>117282.7892</v>
          </cell>
          <cell r="AF9">
            <v>119350.6247</v>
          </cell>
          <cell r="AG9">
            <v>121440.62699999999</v>
          </cell>
          <cell r="AH9">
            <v>123553.25509999999</v>
          </cell>
          <cell r="AI9">
            <v>125689.1118</v>
          </cell>
          <cell r="AJ9">
            <v>127848.8484</v>
          </cell>
          <cell r="AK9">
            <v>130033.10159999999</v>
          </cell>
          <cell r="AL9">
            <v>132239.58679999999</v>
          </cell>
          <cell r="AM9">
            <v>134466.6078</v>
          </cell>
          <cell r="AN9">
            <v>136712.94750000001</v>
          </cell>
          <cell r="AO9">
            <v>138977.7671</v>
          </cell>
          <cell r="AP9">
            <v>141260.5857</v>
          </cell>
          <cell r="AQ9">
            <v>143563.59899999999</v>
          </cell>
          <cell r="AR9">
            <v>145890.55609999999</v>
          </cell>
          <cell r="AS9">
            <v>148245.46340000001</v>
          </cell>
          <cell r="AT9">
            <v>150631.7936</v>
          </cell>
          <cell r="AU9">
            <v>153052.2095</v>
          </cell>
          <cell r="AV9">
            <v>155508.8719</v>
          </cell>
          <cell r="AW9">
            <v>158003.2837</v>
          </cell>
          <cell r="AX9">
            <v>160536.49179999999</v>
          </cell>
          <cell r="AY9">
            <v>163109.2574</v>
          </cell>
          <cell r="AZ9">
            <v>165722.17550000001</v>
          </cell>
          <cell r="BA9">
            <v>163548.33609999999</v>
          </cell>
          <cell r="BB9">
            <v>166373.9596</v>
          </cell>
          <cell r="BC9">
            <v>169241.5043</v>
          </cell>
          <cell r="BD9">
            <v>172151.42559999999</v>
          </cell>
          <cell r="BE9">
            <v>175104.24179999999</v>
          </cell>
        </row>
        <row r="10">
          <cell r="B10">
            <v>401600.66409999999</v>
          </cell>
          <cell r="C10">
            <v>406508.10690000001</v>
          </cell>
          <cell r="D10">
            <v>411781.24080000003</v>
          </cell>
          <cell r="E10">
            <v>417425.47700000001</v>
          </cell>
          <cell r="F10">
            <v>423402.01809999999</v>
          </cell>
          <cell r="G10">
            <v>429662.64260000002</v>
          </cell>
          <cell r="H10">
            <v>436141.34379999997</v>
          </cell>
          <cell r="I10">
            <v>442798.4374</v>
          </cell>
          <cell r="J10">
            <v>449610.97340000002</v>
          </cell>
          <cell r="K10">
            <v>456565.92430000001</v>
          </cell>
          <cell r="L10">
            <v>463698.95679999999</v>
          </cell>
          <cell r="M10">
            <v>470978.02010000002</v>
          </cell>
          <cell r="N10">
            <v>478387.98469999997</v>
          </cell>
          <cell r="O10">
            <v>485921.67</v>
          </cell>
          <cell r="P10">
            <v>493575.2</v>
          </cell>
          <cell r="Q10">
            <v>501346.24219999998</v>
          </cell>
          <cell r="R10">
            <v>509233.36060000001</v>
          </cell>
          <cell r="S10">
            <v>517235.78759999998</v>
          </cell>
          <cell r="T10">
            <v>525353.3284</v>
          </cell>
          <cell r="U10">
            <v>533586.30550000002</v>
          </cell>
          <cell r="V10">
            <v>541903.15910000005</v>
          </cell>
          <cell r="W10">
            <v>550326.00829999999</v>
          </cell>
          <cell r="X10">
            <v>558865.62600000005</v>
          </cell>
          <cell r="Y10">
            <v>567527.63899999997</v>
          </cell>
          <cell r="Z10">
            <v>576315.74769999995</v>
          </cell>
          <cell r="AA10">
            <v>585139.04500000004</v>
          </cell>
          <cell r="AB10">
            <v>594016.40619999997</v>
          </cell>
          <cell r="AC10">
            <v>602960.66859999998</v>
          </cell>
          <cell r="AD10">
            <v>611981.08360000001</v>
          </cell>
          <cell r="AE10">
            <v>621085.41890000005</v>
          </cell>
          <cell r="AF10">
            <v>630280.62450000003</v>
          </cell>
          <cell r="AG10">
            <v>639572.98809999996</v>
          </cell>
          <cell r="AH10">
            <v>648968.13859999995</v>
          </cell>
          <cell r="AI10">
            <v>658471.03319999995</v>
          </cell>
          <cell r="AJ10">
            <v>668085.96920000005</v>
          </cell>
          <cell r="AK10">
            <v>677816.62439999997</v>
          </cell>
          <cell r="AL10">
            <v>687643.22149999999</v>
          </cell>
          <cell r="AM10">
            <v>697560.12230000005</v>
          </cell>
          <cell r="AN10">
            <v>707567.67989999999</v>
          </cell>
          <cell r="AO10">
            <v>717668.48750000005</v>
          </cell>
          <cell r="AP10">
            <v>727865.89769999997</v>
          </cell>
          <cell r="AQ10">
            <v>738163.4129</v>
          </cell>
          <cell r="AR10">
            <v>748564.41099999996</v>
          </cell>
          <cell r="AS10">
            <v>759072.02399999998</v>
          </cell>
          <cell r="AT10">
            <v>769689.08970000001</v>
          </cell>
          <cell r="AU10">
            <v>780418.14379999996</v>
          </cell>
          <cell r="AV10">
            <v>791268.25820000004</v>
          </cell>
          <cell r="AW10">
            <v>802249.58490000002</v>
          </cell>
          <cell r="AX10">
            <v>813371.33889999997</v>
          </cell>
          <cell r="AY10">
            <v>824640.60290000006</v>
          </cell>
          <cell r="AZ10">
            <v>836062.15789999999</v>
          </cell>
          <cell r="BA10">
            <v>865119.21860000002</v>
          </cell>
          <cell r="BB10">
            <v>879781.67909999995</v>
          </cell>
          <cell r="BC10">
            <v>894729.21810000006</v>
          </cell>
          <cell r="BD10">
            <v>909966.19389999995</v>
          </cell>
          <cell r="BE10">
            <v>925496.88950000005</v>
          </cell>
        </row>
        <row r="11">
          <cell r="B11">
            <v>401602.34869999997</v>
          </cell>
          <cell r="C11">
            <v>406513.75280000002</v>
          </cell>
          <cell r="D11">
            <v>411792.73450000002</v>
          </cell>
          <cell r="E11">
            <v>417444.25380000001</v>
          </cell>
          <cell r="F11">
            <v>423429.4191</v>
          </cell>
          <cell r="G11">
            <v>429700.27710000001</v>
          </cell>
          <cell r="H11">
            <v>436191.25829999999</v>
          </cell>
          <cell r="I11">
            <v>442863.11820000003</v>
          </cell>
          <cell r="J11">
            <v>449693.24329999997</v>
          </cell>
          <cell r="K11">
            <v>456668.80680000002</v>
          </cell>
          <cell r="L11">
            <v>463825.58659999998</v>
          </cell>
          <cell r="M11">
            <v>471131.49849999999</v>
          </cell>
          <cell r="N11">
            <v>478571.32439999998</v>
          </cell>
          <cell r="O11">
            <v>486137.772</v>
          </cell>
          <cell r="P11">
            <v>493826.85</v>
          </cell>
          <cell r="Q11">
            <v>501636.11550000001</v>
          </cell>
          <cell r="R11">
            <v>509564.03370000003</v>
          </cell>
          <cell r="S11">
            <v>517609.7487</v>
          </cell>
          <cell r="T11">
            <v>525772.99250000005</v>
          </cell>
          <cell r="U11">
            <v>534054.03650000005</v>
          </cell>
          <cell r="V11">
            <v>542421.22990000003</v>
          </cell>
          <cell r="W11">
            <v>550896.71770000004</v>
          </cell>
          <cell r="X11">
            <v>559491.29689999996</v>
          </cell>
          <cell r="Y11">
            <v>568210.61899999995</v>
          </cell>
          <cell r="Z11">
            <v>577058.41099999996</v>
          </cell>
          <cell r="AA11">
            <v>585943.56960000005</v>
          </cell>
          <cell r="AB11">
            <v>594885.03020000004</v>
          </cell>
          <cell r="AC11">
            <v>603895.69180000003</v>
          </cell>
          <cell r="AD11">
            <v>612984.85820000002</v>
          </cell>
          <cell r="AE11">
            <v>622160.33640000003</v>
          </cell>
          <cell r="AF11">
            <v>631429.10290000006</v>
          </cell>
          <cell r="AG11">
            <v>640797.4608</v>
          </cell>
          <cell r="AH11">
            <v>650271.04689999996</v>
          </cell>
          <cell r="AI11">
            <v>659854.82140000002</v>
          </cell>
          <cell r="AJ11">
            <v>669553.07929999998</v>
          </cell>
          <cell r="AK11">
            <v>679369.49360000005</v>
          </cell>
          <cell r="AL11">
            <v>689284.17500000005</v>
          </cell>
          <cell r="AM11">
            <v>699291.42130000005</v>
          </cell>
          <cell r="AN11">
            <v>709391.5318</v>
          </cell>
          <cell r="AO11">
            <v>719587.03509999998</v>
          </cell>
          <cell r="AP11">
            <v>729881.20849999995</v>
          </cell>
          <cell r="AQ11">
            <v>740280.71950000001</v>
          </cell>
          <cell r="AR11">
            <v>750793.96860000002</v>
          </cell>
          <cell r="AS11">
            <v>761429.02099999995</v>
          </cell>
          <cell r="AT11">
            <v>772192.44929999998</v>
          </cell>
          <cell r="AU11">
            <v>783089.07019999996</v>
          </cell>
          <cell r="AV11">
            <v>794124.28599999996</v>
          </cell>
          <cell r="AW11">
            <v>805301.05579999997</v>
          </cell>
          <cell r="AX11">
            <v>816621.04260000004</v>
          </cell>
          <cell r="AY11">
            <v>828085.24750000006</v>
          </cell>
          <cell r="AZ11">
            <v>839694.32759999996</v>
          </cell>
          <cell r="BA11">
            <v>872049.647</v>
          </cell>
          <cell r="BB11">
            <v>887091.75049999997</v>
          </cell>
          <cell r="BC11">
            <v>902425.33770000003</v>
          </cell>
          <cell r="BD11">
            <v>918054.73739999998</v>
          </cell>
          <cell r="BE11">
            <v>933984.26800000004</v>
          </cell>
        </row>
        <row r="13">
          <cell r="B13">
            <v>16084.64789</v>
          </cell>
          <cell r="C13">
            <v>16273.88877</v>
          </cell>
          <cell r="D13">
            <v>16468.685560000002</v>
          </cell>
          <cell r="E13">
            <v>16670.339179999999</v>
          </cell>
          <cell r="F13">
            <v>16879.971160000001</v>
          </cell>
          <cell r="G13">
            <v>17098.521089999998</v>
          </cell>
          <cell r="H13">
            <v>17326.207600000002</v>
          </cell>
          <cell r="I13">
            <v>17563.261470000001</v>
          </cell>
          <cell r="J13">
            <v>17809.912950000002</v>
          </cell>
          <cell r="K13">
            <v>18066.36262</v>
          </cell>
          <cell r="L13">
            <v>18333.75663</v>
          </cell>
          <cell r="M13">
            <v>18611.934840000002</v>
          </cell>
          <cell r="N13">
            <v>18900.74798</v>
          </cell>
          <cell r="O13">
            <v>19200.082180000001</v>
          </cell>
          <cell r="P13">
            <v>19509.835459999998</v>
          </cell>
          <cell r="Q13">
            <v>19829.909220000001</v>
          </cell>
          <cell r="R13">
            <v>20160.209439999999</v>
          </cell>
          <cell r="S13">
            <v>20500.650870000001</v>
          </cell>
          <cell r="T13">
            <v>20851.160520000001</v>
          </cell>
          <cell r="U13">
            <v>21211.679169999999</v>
          </cell>
          <cell r="V13">
            <v>21581.406050000001</v>
          </cell>
          <cell r="W13">
            <v>21960.509989999999</v>
          </cell>
          <cell r="X13">
            <v>22349.130550000002</v>
          </cell>
          <cell r="Y13">
            <v>22747.35973</v>
          </cell>
          <cell r="Z13">
            <v>23155.261149999998</v>
          </cell>
          <cell r="AA13">
            <v>23570.664079999999</v>
          </cell>
          <cell r="AB13">
            <v>23993.129209999999</v>
          </cell>
          <cell r="AC13">
            <v>24422.35399</v>
          </cell>
          <cell r="AD13">
            <v>24858.079180000001</v>
          </cell>
          <cell r="AE13">
            <v>25300.08412</v>
          </cell>
          <cell r="AF13">
            <v>25748.181659999998</v>
          </cell>
          <cell r="AG13">
            <v>26202.207640000001</v>
          </cell>
          <cell r="AH13">
            <v>26662.008259999999</v>
          </cell>
          <cell r="AI13">
            <v>27127.42828</v>
          </cell>
          <cell r="AJ13">
            <v>27598.302169999999</v>
          </cell>
          <cell r="AK13">
            <v>28074.44872</v>
          </cell>
          <cell r="AL13">
            <v>28555.117050000001</v>
          </cell>
          <cell r="AM13">
            <v>29039.679169999999</v>
          </cell>
          <cell r="AN13">
            <v>29527.608130000001</v>
          </cell>
          <cell r="AO13">
            <v>30018.44629</v>
          </cell>
          <cell r="AP13">
            <v>30511.79019</v>
          </cell>
          <cell r="AQ13">
            <v>31007.51571</v>
          </cell>
          <cell r="AR13">
            <v>31505.643309999999</v>
          </cell>
          <cell r="AS13">
            <v>32006.219349999999</v>
          </cell>
          <cell r="AT13">
            <v>32509.248490000002</v>
          </cell>
          <cell r="AU13">
            <v>33014.674160000002</v>
          </cell>
          <cell r="AV13">
            <v>33522.439149999998</v>
          </cell>
          <cell r="AW13">
            <v>34032.44296</v>
          </cell>
          <cell r="AX13">
            <v>34544.565240000004</v>
          </cell>
          <cell r="AY13">
            <v>35058.685340000004</v>
          </cell>
          <cell r="AZ13">
            <v>35574.694770000002</v>
          </cell>
          <cell r="BA13">
            <v>37576.006950000003</v>
          </cell>
          <cell r="BB13">
            <v>38316.169329999997</v>
          </cell>
          <cell r="BC13">
            <v>39067.006710000001</v>
          </cell>
          <cell r="BD13">
            <v>39828.25834</v>
          </cell>
          <cell r="BE13">
            <v>40599.664290000001</v>
          </cell>
        </row>
        <row r="14">
          <cell r="B14">
            <v>13396.190720000001</v>
          </cell>
          <cell r="C14">
            <v>13553.205099999999</v>
          </cell>
          <cell r="D14">
            <v>13713.846229999999</v>
          </cell>
          <cell r="E14">
            <v>13879.324269999999</v>
          </cell>
          <cell r="F14">
            <v>14050.73612</v>
          </cell>
          <cell r="G14">
            <v>14228.97451</v>
          </cell>
          <cell r="H14">
            <v>14414.098239999999</v>
          </cell>
          <cell r="I14">
            <v>14606.25426</v>
          </cell>
          <cell r="J14">
            <v>14805.586670000001</v>
          </cell>
          <cell r="K14">
            <v>15012.18973</v>
          </cell>
          <cell r="L14">
            <v>15227.19839</v>
          </cell>
          <cell r="M14">
            <v>15450.10463</v>
          </cell>
          <cell r="N14">
            <v>15680.572980000001</v>
          </cell>
          <cell r="O14">
            <v>15918.365809999999</v>
          </cell>
          <cell r="P14">
            <v>16163.27801</v>
          </cell>
          <cell r="Q14">
            <v>16415.11764</v>
          </cell>
          <cell r="R14">
            <v>16673.70564</v>
          </cell>
          <cell r="S14">
            <v>16938.879219999999</v>
          </cell>
          <cell r="T14">
            <v>17210.495040000002</v>
          </cell>
          <cell r="U14">
            <v>17488.430820000001</v>
          </cell>
          <cell r="V14">
            <v>17771.7526</v>
          </cell>
          <cell r="W14">
            <v>18060.75275</v>
          </cell>
          <cell r="X14">
            <v>18355.58166</v>
          </cell>
          <cell r="Y14">
            <v>18656.309689999998</v>
          </cell>
          <cell r="Z14">
            <v>18962.981680000001</v>
          </cell>
          <cell r="AA14">
            <v>19273.20522</v>
          </cell>
          <cell r="AB14">
            <v>19586.949270000001</v>
          </cell>
          <cell r="AC14">
            <v>19904.213739999999</v>
          </cell>
          <cell r="AD14">
            <v>20224.999530000001</v>
          </cell>
          <cell r="AE14">
            <v>20549.34186</v>
          </cell>
          <cell r="AF14">
            <v>20877.317040000002</v>
          </cell>
          <cell r="AG14">
            <v>21209.034309999999</v>
          </cell>
          <cell r="AH14">
            <v>21544.62328</v>
          </cell>
          <cell r="AI14">
            <v>21884.221880000001</v>
          </cell>
          <cell r="AJ14">
            <v>22227.966690000001</v>
          </cell>
          <cell r="AK14">
            <v>22575.986489999999</v>
          </cell>
          <cell r="AL14">
            <v>22927.79768</v>
          </cell>
          <cell r="AM14">
            <v>23283.165939999999</v>
          </cell>
          <cell r="AN14">
            <v>23641.994930000001</v>
          </cell>
          <cell r="AO14">
            <v>24004.25908</v>
          </cell>
          <cell r="AP14">
            <v>24369.976180000001</v>
          </cell>
          <cell r="AQ14">
            <v>24739.194579999999</v>
          </cell>
          <cell r="AR14">
            <v>25111.985199999999</v>
          </cell>
          <cell r="AS14">
            <v>25488.434679999998</v>
          </cell>
          <cell r="AT14">
            <v>25868.63926</v>
          </cell>
          <cell r="AU14">
            <v>26252.699629999999</v>
          </cell>
          <cell r="AV14">
            <v>26640.957020000002</v>
          </cell>
          <cell r="AW14">
            <v>27033.80687</v>
          </cell>
          <cell r="AX14">
            <v>27431.613819999999</v>
          </cell>
          <cell r="AY14">
            <v>27834.670839999999</v>
          </cell>
          <cell r="AZ14">
            <v>28243.19584</v>
          </cell>
          <cell r="BA14">
            <v>29198.073670000002</v>
          </cell>
          <cell r="BB14">
            <v>29714.874299999999</v>
          </cell>
          <cell r="BC14">
            <v>30240.77392</v>
          </cell>
          <cell r="BD14">
            <v>30775.876130000001</v>
          </cell>
          <cell r="BE14">
            <v>31320.287349999999</v>
          </cell>
        </row>
        <row r="15">
          <cell r="B15">
            <v>13396.21485</v>
          </cell>
          <cell r="C15">
            <v>13553.314759999999</v>
          </cell>
          <cell r="D15">
            <v>13714.102849999999</v>
          </cell>
          <cell r="E15">
            <v>13879.782279999999</v>
          </cell>
          <cell r="F15">
            <v>14051.452499999999</v>
          </cell>
          <cell r="G15">
            <v>14230.02104</v>
          </cell>
          <cell r="H15">
            <v>14415.56424</v>
          </cell>
          <cell r="I15">
            <v>14608.244350000001</v>
          </cell>
          <cell r="J15">
            <v>14808.21644</v>
          </cell>
          <cell r="K15">
            <v>15015.581190000001</v>
          </cell>
          <cell r="L15">
            <v>15231.477070000001</v>
          </cell>
          <cell r="M15">
            <v>15455.39537</v>
          </cell>
          <cell r="N15">
            <v>15686.998540000001</v>
          </cell>
          <cell r="O15">
            <v>15926.04657</v>
          </cell>
          <cell r="P15">
            <v>16172.332</v>
          </cell>
          <cell r="Q15">
            <v>16425.66044</v>
          </cell>
          <cell r="R15">
            <v>16685.8498</v>
          </cell>
          <cell r="S15">
            <v>16952.734280000001</v>
          </cell>
          <cell r="T15">
            <v>17226.167839999998</v>
          </cell>
          <cell r="U15">
            <v>17506.026020000001</v>
          </cell>
          <cell r="V15">
            <v>17791.371469999998</v>
          </cell>
          <cell r="W15">
            <v>18082.49625</v>
          </cell>
          <cell r="X15">
            <v>18379.550480000002</v>
          </cell>
          <cell r="Y15">
            <v>18682.604230000001</v>
          </cell>
          <cell r="Z15">
            <v>18991.702099999999</v>
          </cell>
          <cell r="AA15">
            <v>19304.444810000001</v>
          </cell>
          <cell r="AB15">
            <v>19620.801380000001</v>
          </cell>
          <cell r="AC15">
            <v>19940.77187</v>
          </cell>
          <cell r="AD15">
            <v>20264.356879999999</v>
          </cell>
          <cell r="AE15">
            <v>20591.590970000001</v>
          </cell>
          <cell r="AF15">
            <v>20922.54952</v>
          </cell>
          <cell r="AG15">
            <v>21257.340810000002</v>
          </cell>
          <cell r="AH15">
            <v>21596.09345</v>
          </cell>
          <cell r="AI15">
            <v>21938.944240000001</v>
          </cell>
          <cell r="AJ15">
            <v>22286.02866</v>
          </cell>
          <cell r="AK15">
            <v>22637.47436</v>
          </cell>
          <cell r="AL15">
            <v>22992.794809999999</v>
          </cell>
          <cell r="AM15">
            <v>23351.7536</v>
          </cell>
          <cell r="AN15">
            <v>23714.250090000001</v>
          </cell>
          <cell r="AO15">
            <v>24080.251759999999</v>
          </cell>
          <cell r="AP15">
            <v>24449.768080000002</v>
          </cell>
          <cell r="AQ15">
            <v>24822.96643</v>
          </cell>
          <cell r="AR15">
            <v>25200.09548</v>
          </cell>
          <cell r="AS15">
            <v>25581.414519999998</v>
          </cell>
          <cell r="AT15">
            <v>25967.153730000002</v>
          </cell>
          <cell r="AU15">
            <v>26357.502759999999</v>
          </cell>
          <cell r="AV15">
            <v>26752.670770000001</v>
          </cell>
          <cell r="AW15">
            <v>27152.816279999999</v>
          </cell>
          <cell r="AX15">
            <v>27558.066500000001</v>
          </cell>
          <cell r="AY15">
            <v>27968.529460000002</v>
          </cell>
          <cell r="AZ15">
            <v>28384.299709999999</v>
          </cell>
          <cell r="BA15">
            <v>29417.580399999999</v>
          </cell>
          <cell r="BB15">
            <v>29946.401600000001</v>
          </cell>
          <cell r="BC15">
            <v>30484.51958</v>
          </cell>
          <cell r="BD15">
            <v>31032.038619999999</v>
          </cell>
          <cell r="BE15">
            <v>31589.068230000001</v>
          </cell>
        </row>
        <row r="16">
          <cell r="B16">
            <v>36402.420449999998</v>
          </cell>
          <cell r="C16">
            <v>36832.535179999999</v>
          </cell>
          <cell r="D16">
            <v>37275.07849</v>
          </cell>
          <cell r="E16">
            <v>37732.786249999997</v>
          </cell>
          <cell r="F16">
            <v>38207.812510000003</v>
          </cell>
          <cell r="G16">
            <v>38701.75735</v>
          </cell>
          <cell r="H16">
            <v>39213.772649999999</v>
          </cell>
          <cell r="I16">
            <v>39743.761700000003</v>
          </cell>
          <cell r="J16">
            <v>40291.816429999999</v>
          </cell>
          <cell r="K16">
            <v>40857.990140000002</v>
          </cell>
          <cell r="L16">
            <v>41445.721669999999</v>
          </cell>
          <cell r="M16">
            <v>42052.856659999998</v>
          </cell>
          <cell r="N16">
            <v>42678.316429999999</v>
          </cell>
          <cell r="O16">
            <v>43321.483740000003</v>
          </cell>
          <cell r="P16">
            <v>43981.892079999998</v>
          </cell>
          <cell r="Q16">
            <v>44659.13263</v>
          </cell>
          <cell r="R16">
            <v>45352.842850000001</v>
          </cell>
          <cell r="S16">
            <v>46062.701520000002</v>
          </cell>
          <cell r="T16">
            <v>46788.43533</v>
          </cell>
          <cell r="U16">
            <v>47529.823369999998</v>
          </cell>
          <cell r="V16">
            <v>48284.071080000002</v>
          </cell>
          <cell r="W16">
            <v>49052.599349999997</v>
          </cell>
          <cell r="X16">
            <v>49836.011680000003</v>
          </cell>
          <cell r="Y16">
            <v>50634.571839999997</v>
          </cell>
          <cell r="Z16">
            <v>51448.44915</v>
          </cell>
          <cell r="AA16">
            <v>52270.14329</v>
          </cell>
          <cell r="AB16">
            <v>53100.645250000001</v>
          </cell>
          <cell r="AC16">
            <v>53940.502549999997</v>
          </cell>
          <cell r="AD16">
            <v>54790.049859999999</v>
          </cell>
          <cell r="AE16">
            <v>55649.611069999999</v>
          </cell>
          <cell r="AF16">
            <v>56519.555970000001</v>
          </cell>
          <cell r="AG16">
            <v>57400.296889999998</v>
          </cell>
          <cell r="AH16">
            <v>58292.270790000002</v>
          </cell>
          <cell r="AI16">
            <v>59195.91648</v>
          </cell>
          <cell r="AJ16">
            <v>60111.655630000001</v>
          </cell>
          <cell r="AK16">
            <v>61039.879520000002</v>
          </cell>
          <cell r="AL16">
            <v>61979.040180000004</v>
          </cell>
          <cell r="AM16">
            <v>62928.635779999997</v>
          </cell>
          <cell r="AN16">
            <v>63888.600980000003</v>
          </cell>
          <cell r="AO16">
            <v>64859.036200000002</v>
          </cell>
          <cell r="AP16">
            <v>65840.114220000003</v>
          </cell>
          <cell r="AQ16">
            <v>66832.043579999998</v>
          </cell>
          <cell r="AR16">
            <v>67835.056150000004</v>
          </cell>
          <cell r="AS16">
            <v>68849.395510000002</v>
          </cell>
          <cell r="AT16">
            <v>69875.307050000003</v>
          </cell>
          <cell r="AU16">
            <v>70913.030079999997</v>
          </cell>
          <cell r="AV16">
            <v>71963.363570000001</v>
          </cell>
          <cell r="AW16">
            <v>73027.207490000001</v>
          </cell>
          <cell r="AX16">
            <v>74105.417790000007</v>
          </cell>
          <cell r="AY16">
            <v>75198.718259999994</v>
          </cell>
          <cell r="AZ16">
            <v>76307.683229999995</v>
          </cell>
          <cell r="BA16">
            <v>79197.54393</v>
          </cell>
          <cell r="BB16">
            <v>80609.460149999999</v>
          </cell>
          <cell r="BC16">
            <v>82047.784960000005</v>
          </cell>
          <cell r="BD16">
            <v>83512.867060000004</v>
          </cell>
          <cell r="BE16">
            <v>85005.057159999997</v>
          </cell>
        </row>
        <row r="17">
          <cell r="B17">
            <v>36402.356979999997</v>
          </cell>
          <cell r="C17">
            <v>36832.434939999999</v>
          </cell>
          <cell r="D17">
            <v>37274.962370000001</v>
          </cell>
          <cell r="E17">
            <v>37732.656300000002</v>
          </cell>
          <cell r="F17">
            <v>38207.681850000001</v>
          </cell>
          <cell r="G17">
            <v>38701.681210000002</v>
          </cell>
          <cell r="H17">
            <v>39213.856460000003</v>
          </cell>
          <cell r="I17">
            <v>39744.157299999999</v>
          </cell>
          <cell r="J17">
            <v>40292.711689999996</v>
          </cell>
          <cell r="K17">
            <v>40859.597280000002</v>
          </cell>
          <cell r="L17">
            <v>41448.268080000002</v>
          </cell>
          <cell r="M17">
            <v>42056.56983</v>
          </cell>
          <cell r="N17">
            <v>42683.42181</v>
          </cell>
          <cell r="O17">
            <v>43328.203540000002</v>
          </cell>
          <cell r="P17">
            <v>43990.444389999997</v>
          </cell>
          <cell r="Q17">
            <v>44669.730320000002</v>
          </cell>
          <cell r="R17">
            <v>45365.686520000003</v>
          </cell>
          <cell r="S17">
            <v>46077.981419999996</v>
          </cell>
          <cell r="T17">
            <v>46806.33322</v>
          </cell>
          <cell r="U17">
            <v>47550.514000000003</v>
          </cell>
          <cell r="V17">
            <v>48307.720650000003</v>
          </cell>
          <cell r="W17">
            <v>49079.37227</v>
          </cell>
          <cell r="X17">
            <v>49866.070110000001</v>
          </cell>
          <cell r="Y17">
            <v>50668.075980000001</v>
          </cell>
          <cell r="Z17">
            <v>51485.557860000001</v>
          </cell>
          <cell r="AA17">
            <v>52311.003239999998</v>
          </cell>
          <cell r="AB17">
            <v>53145.409800000001</v>
          </cell>
          <cell r="AC17">
            <v>53989.328759999997</v>
          </cell>
          <cell r="AD17">
            <v>54843.096610000001</v>
          </cell>
          <cell r="AE17">
            <v>55707.03789</v>
          </cell>
          <cell r="AF17">
            <v>56581.522319999996</v>
          </cell>
          <cell r="AG17">
            <v>57466.963400000001</v>
          </cell>
          <cell r="AH17">
            <v>58363.798170000002</v>
          </cell>
          <cell r="AI17">
            <v>59272.464650000002</v>
          </cell>
          <cell r="AJ17">
            <v>60193.38321</v>
          </cell>
          <cell r="AK17">
            <v>61126.943520000001</v>
          </cell>
          <cell r="AL17">
            <v>62071.607259999997</v>
          </cell>
          <cell r="AM17">
            <v>63026.877840000001</v>
          </cell>
          <cell r="AN17">
            <v>63992.687089999999</v>
          </cell>
          <cell r="AO17">
            <v>64969.125890000003</v>
          </cell>
          <cell r="AP17">
            <v>65956.353839999996</v>
          </cell>
          <cell r="AQ17">
            <v>66954.839380000005</v>
          </cell>
          <cell r="AR17">
            <v>67965.220790000007</v>
          </cell>
          <cell r="AS17">
            <v>68988.162490000002</v>
          </cell>
          <cell r="AT17">
            <v>70024.266820000004</v>
          </cell>
          <cell r="AU17">
            <v>71074.044309999997</v>
          </cell>
          <cell r="AV17">
            <v>72138.091889999996</v>
          </cell>
          <cell r="AW17">
            <v>73216.835089999993</v>
          </cell>
          <cell r="AX17">
            <v>74310.600130000006</v>
          </cell>
          <cell r="AY17">
            <v>75419.649799999999</v>
          </cell>
          <cell r="AZ17">
            <v>76544.198759999999</v>
          </cell>
          <cell r="BA17">
            <v>79869.831170000005</v>
          </cell>
          <cell r="BB17">
            <v>81320.486560000005</v>
          </cell>
          <cell r="BC17">
            <v>82798.377609999996</v>
          </cell>
          <cell r="BD17">
            <v>84303.857399999994</v>
          </cell>
          <cell r="BE17">
            <v>85837.286909999995</v>
          </cell>
        </row>
        <row r="18">
          <cell r="B18">
            <v>13361.584930000001</v>
          </cell>
          <cell r="C18">
            <v>13519.28066</v>
          </cell>
          <cell r="D18">
            <v>13681.76096</v>
          </cell>
          <cell r="E18">
            <v>13850.07121</v>
          </cell>
          <cell r="F18">
            <v>14024.99086</v>
          </cell>
          <cell r="G18">
            <v>14207.09246</v>
          </cell>
          <cell r="H18">
            <v>14396.15324</v>
          </cell>
          <cell r="I18">
            <v>14592.15625</v>
          </cell>
          <cell r="J18">
            <v>14795.154990000001</v>
          </cell>
          <cell r="K18">
            <v>15005.19781</v>
          </cell>
          <cell r="L18">
            <v>15223.43822</v>
          </cell>
          <cell r="M18">
            <v>15449.284089999999</v>
          </cell>
          <cell r="N18">
            <v>15682.391900000001</v>
          </cell>
          <cell r="O18">
            <v>15922.548290000001</v>
          </cell>
          <cell r="P18">
            <v>16169.58383</v>
          </cell>
          <cell r="Q18">
            <v>16423.3452</v>
          </cell>
          <cell r="R18">
            <v>16683.691800000001</v>
          </cell>
          <cell r="S18">
            <v>16950.497859999999</v>
          </cell>
          <cell r="T18">
            <v>17223.655439999999</v>
          </cell>
          <cell r="U18">
            <v>17503.076400000002</v>
          </cell>
          <cell r="V18">
            <v>17787.83193</v>
          </cell>
          <cell r="W18">
            <v>18078.309539999998</v>
          </cell>
          <cell r="X18">
            <v>18374.704119999999</v>
          </cell>
          <cell r="Y18">
            <v>18677.11075</v>
          </cell>
          <cell r="Z18">
            <v>18985.593400000002</v>
          </cell>
          <cell r="AA18">
            <v>19297.696759999999</v>
          </cell>
          <cell r="AB18">
            <v>19613.55143</v>
          </cell>
          <cell r="AC18">
            <v>19933.25794</v>
          </cell>
          <cell r="AD18">
            <v>20256.877120000001</v>
          </cell>
          <cell r="AE18">
            <v>20584.47725</v>
          </cell>
          <cell r="AF18">
            <v>20916.148550000002</v>
          </cell>
          <cell r="AG18">
            <v>21252.00015</v>
          </cell>
          <cell r="AH18">
            <v>21592.1512</v>
          </cell>
          <cell r="AI18">
            <v>21936.721320000001</v>
          </cell>
          <cell r="AJ18">
            <v>22285.822619999999</v>
          </cell>
          <cell r="AK18">
            <v>22639.554209999998</v>
          </cell>
          <cell r="AL18">
            <v>22997.376609999999</v>
          </cell>
          <cell r="AM18">
            <v>23359.039069999999</v>
          </cell>
          <cell r="AN18">
            <v>23724.433410000001</v>
          </cell>
          <cell r="AO18">
            <v>24093.513589999999</v>
          </cell>
          <cell r="AP18">
            <v>24466.265169999999</v>
          </cell>
          <cell r="AQ18">
            <v>24842.693050000002</v>
          </cell>
          <cell r="AR18">
            <v>25222.81567</v>
          </cell>
          <cell r="AS18">
            <v>25606.6607</v>
          </cell>
          <cell r="AT18">
            <v>25994.26136</v>
          </cell>
          <cell r="AU18">
            <v>26385.653320000001</v>
          </cell>
          <cell r="AV18">
            <v>26781.146379999998</v>
          </cell>
          <cell r="AW18">
            <v>27181.117429999998</v>
          </cell>
          <cell r="AX18">
            <v>27585.92065</v>
          </cell>
          <cell r="AY18">
            <v>27995.841410000001</v>
          </cell>
          <cell r="AZ18">
            <v>28411.088449999999</v>
          </cell>
          <cell r="BA18">
            <v>29288.266189999998</v>
          </cell>
          <cell r="BB18">
            <v>29817.964530000001</v>
          </cell>
          <cell r="BC18">
            <v>30357.277910000001</v>
          </cell>
          <cell r="BD18">
            <v>30906.279409999999</v>
          </cell>
          <cell r="BE18">
            <v>31465.041249999998</v>
          </cell>
        </row>
        <row r="19">
          <cell r="B19">
            <v>13361.607770000001</v>
          </cell>
          <cell r="C19">
            <v>13519.351129999999</v>
          </cell>
          <cell r="D19">
            <v>13681.893459999999</v>
          </cell>
          <cell r="E19">
            <v>13850.278350000001</v>
          </cell>
          <cell r="F19">
            <v>14025.29855</v>
          </cell>
          <cell r="G19">
            <v>14207.55114</v>
          </cell>
          <cell r="H19">
            <v>14396.84001</v>
          </cell>
          <cell r="I19">
            <v>14593.17144</v>
          </cell>
          <cell r="J19">
            <v>14796.616029999999</v>
          </cell>
          <cell r="K19">
            <v>15007.23295</v>
          </cell>
          <cell r="L19">
            <v>15226.181920000001</v>
          </cell>
          <cell r="M19">
            <v>15452.871349999999</v>
          </cell>
          <cell r="N19">
            <v>15686.955840000001</v>
          </cell>
          <cell r="O19">
            <v>15928.21905</v>
          </cell>
          <cell r="P19">
            <v>16176.488219999999</v>
          </cell>
          <cell r="Q19">
            <v>16431.606530000001</v>
          </cell>
          <cell r="R19">
            <v>16693.42914</v>
          </cell>
          <cell r="S19">
            <v>16961.826099999998</v>
          </cell>
          <cell r="T19">
            <v>17236.685809999999</v>
          </cell>
          <cell r="U19">
            <v>17517.9172</v>
          </cell>
          <cell r="V19">
            <v>17804.587589999999</v>
          </cell>
          <cell r="W19">
            <v>18097.08394</v>
          </cell>
          <cell r="X19">
            <v>18395.6008</v>
          </cell>
          <cell r="Y19">
            <v>18700.233</v>
          </cell>
          <cell r="Z19">
            <v>19011.044440000001</v>
          </cell>
          <cell r="AA19">
            <v>19325.573270000001</v>
          </cell>
          <cell r="AB19">
            <v>19643.951099999998</v>
          </cell>
          <cell r="AC19">
            <v>19966.27953</v>
          </cell>
          <cell r="AD19">
            <v>20292.619989999999</v>
          </cell>
          <cell r="AE19">
            <v>20623.040830000002</v>
          </cell>
          <cell r="AF19">
            <v>20957.631959999999</v>
          </cell>
          <cell r="AG19">
            <v>21296.50202</v>
          </cell>
          <cell r="AH19">
            <v>21639.769520000002</v>
          </cell>
          <cell r="AI19">
            <v>21987.55315</v>
          </cell>
          <cell r="AJ19">
            <v>22339.96387</v>
          </cell>
          <cell r="AK19">
            <v>22697.0995</v>
          </cell>
          <cell r="AL19">
            <v>23058.418000000001</v>
          </cell>
          <cell r="AM19">
            <v>23423.667290000001</v>
          </cell>
          <cell r="AN19">
            <v>23792.7366</v>
          </cell>
          <cell r="AO19">
            <v>24165.575260000001</v>
          </cell>
          <cell r="AP19">
            <v>24542.162680000001</v>
          </cell>
          <cell r="AQ19">
            <v>24922.646000000001</v>
          </cell>
          <cell r="AR19">
            <v>25307.253629999999</v>
          </cell>
          <cell r="AS19">
            <v>25696.220600000001</v>
          </cell>
          <cell r="AT19">
            <v>26089.74711</v>
          </cell>
          <cell r="AU19">
            <v>26487.986550000001</v>
          </cell>
          <cell r="AV19">
            <v>26891.10773</v>
          </cell>
          <cell r="AW19">
            <v>27299.21933</v>
          </cell>
          <cell r="AX19">
            <v>27712.393510000002</v>
          </cell>
          <cell r="AY19">
            <v>28130.680639999999</v>
          </cell>
          <cell r="AZ19">
            <v>28554.116569999998</v>
          </cell>
          <cell r="BA19">
            <v>29526.82949</v>
          </cell>
          <cell r="BB19">
            <v>30069.428540000001</v>
          </cell>
          <cell r="BC19">
            <v>30621.811959999999</v>
          </cell>
          <cell r="BD19">
            <v>31184.047979999999</v>
          </cell>
          <cell r="BE19">
            <v>31756.206590000002</v>
          </cell>
        </row>
        <row r="20">
          <cell r="B20">
            <v>66540.037389999998</v>
          </cell>
          <cell r="C20">
            <v>67324.384550000002</v>
          </cell>
          <cell r="D20">
            <v>68132.369720000002</v>
          </cell>
          <cell r="E20">
            <v>68969.550990000003</v>
          </cell>
          <cell r="F20">
            <v>69839.862760000004</v>
          </cell>
          <cell r="G20">
            <v>70746.043300000005</v>
          </cell>
          <cell r="H20">
            <v>71686.898490000007</v>
          </cell>
          <cell r="I20">
            <v>72662.231020000007</v>
          </cell>
          <cell r="J20">
            <v>73672.266329999999</v>
          </cell>
          <cell r="K20">
            <v>74717.28469</v>
          </cell>
          <cell r="L20">
            <v>75803.009990000006</v>
          </cell>
          <cell r="M20">
            <v>76926.75649</v>
          </cell>
          <cell r="N20">
            <v>78087.002680000005</v>
          </cell>
          <cell r="O20">
            <v>79282.910369999998</v>
          </cell>
          <cell r="P20">
            <v>80513.894220000002</v>
          </cell>
          <cell r="Q20">
            <v>81779.461550000007</v>
          </cell>
          <cell r="R20">
            <v>83079.173760000005</v>
          </cell>
          <cell r="S20">
            <v>84412.646940000006</v>
          </cell>
          <cell r="T20">
            <v>85779.561109999995</v>
          </cell>
          <cell r="U20">
            <v>87179.66704</v>
          </cell>
          <cell r="V20">
            <v>88608.597850000006</v>
          </cell>
          <cell r="W20">
            <v>90068.32892</v>
          </cell>
          <cell r="X20">
            <v>91559.933590000001</v>
          </cell>
          <cell r="Y20">
            <v>93083.953460000004</v>
          </cell>
          <cell r="Z20">
            <v>94640.733850000004</v>
          </cell>
          <cell r="AA20">
            <v>96218.320890000003</v>
          </cell>
          <cell r="AB20">
            <v>97817.214389999994</v>
          </cell>
          <cell r="AC20">
            <v>99437.878150000004</v>
          </cell>
          <cell r="AD20">
            <v>101080.54180000001</v>
          </cell>
          <cell r="AE20">
            <v>102745.40489999999</v>
          </cell>
          <cell r="AF20">
            <v>104432.71550000001</v>
          </cell>
          <cell r="AG20">
            <v>106142.7705</v>
          </cell>
          <cell r="AH20">
            <v>107875.8858</v>
          </cell>
          <cell r="AI20">
            <v>109632.3596</v>
          </cell>
          <cell r="AJ20">
            <v>111412.4408</v>
          </cell>
          <cell r="AK20">
            <v>113216.30680000001</v>
          </cell>
          <cell r="AL20">
            <v>115041.0236</v>
          </cell>
          <cell r="AM20">
            <v>116885.033</v>
          </cell>
          <cell r="AN20">
            <v>118747.485</v>
          </cell>
          <cell r="AO20">
            <v>120627.83500000001</v>
          </cell>
          <cell r="AP20">
            <v>122525.6844</v>
          </cell>
          <cell r="AQ20">
            <v>124440.719</v>
          </cell>
          <cell r="AR20">
            <v>126372.6841</v>
          </cell>
          <cell r="AS20">
            <v>128321.3686</v>
          </cell>
          <cell r="AT20">
            <v>130286.5929</v>
          </cell>
          <cell r="AU20">
            <v>132268.2003</v>
          </cell>
          <cell r="AV20">
            <v>134267.21460000001</v>
          </cell>
          <cell r="AW20">
            <v>136285.01240000001</v>
          </cell>
          <cell r="AX20">
            <v>138322.959</v>
          </cell>
          <cell r="AY20">
            <v>140382.1851</v>
          </cell>
          <cell r="AZ20">
            <v>142463.5177</v>
          </cell>
          <cell r="BA20">
            <v>147963.2444</v>
          </cell>
          <cell r="BB20">
            <v>150724.8345</v>
          </cell>
          <cell r="BC20">
            <v>153535.99280000001</v>
          </cell>
          <cell r="BD20">
            <v>156396.79120000001</v>
          </cell>
          <cell r="BE20">
            <v>159307.28649999999</v>
          </cell>
        </row>
        <row r="21">
          <cell r="B21">
            <v>66540.230939999994</v>
          </cell>
          <cell r="C21">
            <v>67325.095660000006</v>
          </cell>
          <cell r="D21">
            <v>68133.920750000005</v>
          </cell>
          <cell r="E21">
            <v>68972.235230000006</v>
          </cell>
          <cell r="F21">
            <v>69843.982780000006</v>
          </cell>
          <cell r="G21">
            <v>70751.960269999996</v>
          </cell>
          <cell r="H21">
            <v>71695.058210000003</v>
          </cell>
          <cell r="I21">
            <v>72673.167440000005</v>
          </cell>
          <cell r="J21">
            <v>73686.588740000007</v>
          </cell>
          <cell r="K21">
            <v>74735.657519999993</v>
          </cell>
          <cell r="L21">
            <v>75826.13695</v>
          </cell>
          <cell r="M21">
            <v>76955.355349999998</v>
          </cell>
          <cell r="N21">
            <v>78121.79277</v>
          </cell>
          <cell r="O21">
            <v>79324.605259999997</v>
          </cell>
          <cell r="P21">
            <v>80563.197419999997</v>
          </cell>
          <cell r="Q21">
            <v>81837.063800000004</v>
          </cell>
          <cell r="R21">
            <v>83145.750599999999</v>
          </cell>
          <cell r="S21">
            <v>84488.858189999999</v>
          </cell>
          <cell r="T21">
            <v>85866.051919999998</v>
          </cell>
          <cell r="U21">
            <v>87277.069889999999</v>
          </cell>
          <cell r="V21">
            <v>88717.524969999999</v>
          </cell>
          <cell r="W21">
            <v>90189.389379999993</v>
          </cell>
          <cell r="X21">
            <v>91693.733900000007</v>
          </cell>
          <cell r="Y21">
            <v>93231.097980000006</v>
          </cell>
          <cell r="Z21">
            <v>94801.82574</v>
          </cell>
          <cell r="AA21">
            <v>96393.924729999999</v>
          </cell>
          <cell r="AB21">
            <v>98007.895090000005</v>
          </cell>
          <cell r="AC21">
            <v>99644.202340000003</v>
          </cell>
          <cell r="AD21">
            <v>101303.0765</v>
          </cell>
          <cell r="AE21">
            <v>102984.7159</v>
          </cell>
          <cell r="AF21">
            <v>104689.3655</v>
          </cell>
          <cell r="AG21">
            <v>106417.3181</v>
          </cell>
          <cell r="AH21">
            <v>108168.8842</v>
          </cell>
          <cell r="AI21">
            <v>109944.3554</v>
          </cell>
          <cell r="AJ21">
            <v>111743.97289999999</v>
          </cell>
          <cell r="AK21">
            <v>113567.9053</v>
          </cell>
          <cell r="AL21">
            <v>115413.19469999999</v>
          </cell>
          <cell r="AM21">
            <v>117278.2629</v>
          </cell>
          <cell r="AN21">
            <v>119162.2377</v>
          </cell>
          <cell r="AO21">
            <v>121064.54730000001</v>
          </cell>
          <cell r="AP21">
            <v>122984.7611</v>
          </cell>
          <cell r="AQ21">
            <v>124923.139</v>
          </cell>
          <cell r="AR21">
            <v>126880.3306</v>
          </cell>
          <cell r="AS21">
            <v>128857.0692</v>
          </cell>
          <cell r="AT21">
            <v>130853.976</v>
          </cell>
          <cell r="AU21">
            <v>132871.486</v>
          </cell>
          <cell r="AV21">
            <v>134910.1348</v>
          </cell>
          <cell r="AW21">
            <v>136970.18340000001</v>
          </cell>
          <cell r="AX21">
            <v>139051.72719999999</v>
          </cell>
          <cell r="AY21">
            <v>141154.7715</v>
          </cell>
          <cell r="AZ21">
            <v>143279.27179999999</v>
          </cell>
          <cell r="BA21">
            <v>149206.48629999999</v>
          </cell>
          <cell r="BB21">
            <v>152032.96799999999</v>
          </cell>
          <cell r="BC21">
            <v>154909.40760000001</v>
          </cell>
          <cell r="BD21">
            <v>157835.80369999999</v>
          </cell>
          <cell r="BE21">
            <v>160812.15539999999</v>
          </cell>
        </row>
        <row r="22">
          <cell r="B22">
            <v>129174.3778</v>
          </cell>
          <cell r="C22">
            <v>130723.666</v>
          </cell>
          <cell r="D22">
            <v>132343.20920000001</v>
          </cell>
          <cell r="E22">
            <v>134039.79819999999</v>
          </cell>
          <cell r="F22">
            <v>135816.28080000001</v>
          </cell>
          <cell r="G22">
            <v>137673.50440000001</v>
          </cell>
          <cell r="H22">
            <v>139603.71979999999</v>
          </cell>
          <cell r="I22">
            <v>141603.3308</v>
          </cell>
          <cell r="J22">
            <v>143670.23499999999</v>
          </cell>
          <cell r="K22">
            <v>145802.78479999999</v>
          </cell>
          <cell r="L22">
            <v>148012.66870000001</v>
          </cell>
          <cell r="M22">
            <v>150289.85279999999</v>
          </cell>
          <cell r="N22">
            <v>152629.60639999999</v>
          </cell>
          <cell r="O22">
            <v>155029.37659999999</v>
          </cell>
          <cell r="P22">
            <v>157487.41589999999</v>
          </cell>
          <cell r="Q22">
            <v>160002.3456</v>
          </cell>
          <cell r="R22">
            <v>162573.03520000001</v>
          </cell>
          <cell r="S22">
            <v>165198.57949999999</v>
          </cell>
          <cell r="T22">
            <v>167878.29579999999</v>
          </cell>
          <cell r="U22">
            <v>170611.72150000001</v>
          </cell>
          <cell r="V22">
            <v>173388.61730000001</v>
          </cell>
          <cell r="W22">
            <v>176215.4185</v>
          </cell>
          <cell r="X22">
            <v>179094.76579999999</v>
          </cell>
          <cell r="Y22">
            <v>182027.86670000001</v>
          </cell>
          <cell r="Z22">
            <v>185015.52910000001</v>
          </cell>
          <cell r="AA22">
            <v>188029.3737</v>
          </cell>
          <cell r="AB22">
            <v>191075.21669999999</v>
          </cell>
          <cell r="AC22">
            <v>194156.11009999999</v>
          </cell>
          <cell r="AD22">
            <v>197273.89850000001</v>
          </cell>
          <cell r="AE22">
            <v>200430.12059999999</v>
          </cell>
          <cell r="AF22">
            <v>203626.28219999999</v>
          </cell>
          <cell r="AG22">
            <v>206863.90119999999</v>
          </cell>
          <cell r="AH22">
            <v>210144.47440000001</v>
          </cell>
          <cell r="AI22">
            <v>213469.42610000001</v>
          </cell>
          <cell r="AJ22">
            <v>216840.06229999999</v>
          </cell>
          <cell r="AK22">
            <v>220257.53959999999</v>
          </cell>
          <cell r="AL22">
            <v>223715.66810000001</v>
          </cell>
          <cell r="AM22">
            <v>227212.6636</v>
          </cell>
          <cell r="AN22">
            <v>230748.36919999999</v>
          </cell>
          <cell r="AO22">
            <v>234323.1507</v>
          </cell>
          <cell r="AP22">
            <v>237937.5349</v>
          </cell>
          <cell r="AQ22">
            <v>241592.09349999999</v>
          </cell>
          <cell r="AR22">
            <v>245287.39970000001</v>
          </cell>
          <cell r="AS22">
            <v>249024.00889999999</v>
          </cell>
          <cell r="AT22">
            <v>252802.443</v>
          </cell>
          <cell r="AU22">
            <v>256623.18040000001</v>
          </cell>
          <cell r="AV22">
            <v>260488.91959999999</v>
          </cell>
          <cell r="AW22">
            <v>264402.64399999997</v>
          </cell>
          <cell r="AX22">
            <v>268367.14020000002</v>
          </cell>
          <cell r="AY22">
            <v>272384.68670000002</v>
          </cell>
          <cell r="AZ22">
            <v>276456.97560000001</v>
          </cell>
          <cell r="BA22">
            <v>285631.02980000002</v>
          </cell>
          <cell r="BB22">
            <v>290823.48839999997</v>
          </cell>
          <cell r="BC22">
            <v>296116.929</v>
          </cell>
          <cell r="BD22">
            <v>301512.54700000002</v>
          </cell>
          <cell r="BE22">
            <v>307011.51209999999</v>
          </cell>
        </row>
        <row r="23">
          <cell r="B23">
            <v>129174.78260000001</v>
          </cell>
          <cell r="C23">
            <v>130725.1122</v>
          </cell>
          <cell r="D23">
            <v>132346.30660000001</v>
          </cell>
          <cell r="E23">
            <v>134045.09099999999</v>
          </cell>
          <cell r="F23">
            <v>135824.32629999999</v>
          </cell>
          <cell r="G23">
            <v>137684.9633</v>
          </cell>
          <cell r="H23">
            <v>139619.40049999999</v>
          </cell>
          <cell r="I23">
            <v>141624.1943</v>
          </cell>
          <cell r="J23">
            <v>143697.37179999999</v>
          </cell>
          <cell r="K23">
            <v>145837.37899999999</v>
          </cell>
          <cell r="L23">
            <v>148055.97289999999</v>
          </cell>
          <cell r="M23">
            <v>150343.1397</v>
          </cell>
          <cell r="N23">
            <v>152694.14850000001</v>
          </cell>
          <cell r="O23">
            <v>155106.43359999999</v>
          </cell>
          <cell r="P23">
            <v>157578.22700000001</v>
          </cell>
          <cell r="Q23">
            <v>160108.1249</v>
          </cell>
          <cell r="R23">
            <v>162694.96859999999</v>
          </cell>
          <cell r="S23">
            <v>165337.8236</v>
          </cell>
          <cell r="T23">
            <v>168035.9803</v>
          </cell>
          <cell r="U23">
            <v>170788.95269999999</v>
          </cell>
          <cell r="V23">
            <v>173586.4613</v>
          </cell>
          <cell r="W23">
            <v>176434.94130000001</v>
          </cell>
          <cell r="X23">
            <v>179337.03150000001</v>
          </cell>
          <cell r="Y23">
            <v>182293.9374</v>
          </cell>
          <cell r="Z23">
            <v>185306.46729999999</v>
          </cell>
          <cell r="AA23">
            <v>188346.16029999999</v>
          </cell>
          <cell r="AB23">
            <v>191418.84849999999</v>
          </cell>
          <cell r="AC23">
            <v>194527.59779999999</v>
          </cell>
          <cell r="AD23">
            <v>197674.26360000001</v>
          </cell>
          <cell r="AE23">
            <v>200860.3928</v>
          </cell>
          <cell r="AF23">
            <v>204087.49770000001</v>
          </cell>
          <cell r="AG23">
            <v>207357.10089999999</v>
          </cell>
          <cell r="AH23">
            <v>210670.70250000001</v>
          </cell>
          <cell r="AI23">
            <v>214029.72889999999</v>
          </cell>
          <cell r="AJ23">
            <v>217435.48699999999</v>
          </cell>
          <cell r="AK23">
            <v>220889.13329999999</v>
          </cell>
          <cell r="AL23">
            <v>224384.44159999999</v>
          </cell>
          <cell r="AM23">
            <v>227919.60759999999</v>
          </cell>
          <cell r="AN23">
            <v>231494.454</v>
          </cell>
          <cell r="AO23">
            <v>235109.32029999999</v>
          </cell>
          <cell r="AP23">
            <v>238764.7016</v>
          </cell>
          <cell r="AQ23">
            <v>242462.23749999999</v>
          </cell>
          <cell r="AR23">
            <v>246204.09760000001</v>
          </cell>
          <cell r="AS23">
            <v>249992.45199999999</v>
          </cell>
          <cell r="AT23">
            <v>253829.16310000001</v>
          </cell>
          <cell r="AU23">
            <v>257715.68419999999</v>
          </cell>
          <cell r="AV23">
            <v>261653.75099999999</v>
          </cell>
          <cell r="AW23">
            <v>265644.37190000003</v>
          </cell>
          <cell r="AX23">
            <v>269688.1679</v>
          </cell>
          <cell r="AY23">
            <v>273785.53970000002</v>
          </cell>
          <cell r="AZ23">
            <v>277936.74300000002</v>
          </cell>
          <cell r="BA23">
            <v>288049.45819999999</v>
          </cell>
          <cell r="BB23">
            <v>293378.7573</v>
          </cell>
          <cell r="BC23">
            <v>298811.56770000001</v>
          </cell>
          <cell r="BD23">
            <v>304349.05959999998</v>
          </cell>
          <cell r="BE23">
            <v>309992.39840000001</v>
          </cell>
        </row>
        <row r="24">
          <cell r="B24">
            <v>144892.4405</v>
          </cell>
          <cell r="C24">
            <v>146586.54329999999</v>
          </cell>
          <cell r="D24">
            <v>148317.5693</v>
          </cell>
          <cell r="E24">
            <v>150098.79730000001</v>
          </cell>
          <cell r="F24">
            <v>151941.4252</v>
          </cell>
          <cell r="G24">
            <v>153854.2383</v>
          </cell>
          <cell r="H24">
            <v>155837.89739999999</v>
          </cell>
          <cell r="I24">
            <v>157893.83850000001</v>
          </cell>
          <cell r="J24">
            <v>160023.78810000001</v>
          </cell>
          <cell r="K24">
            <v>162229.27309999999</v>
          </cell>
          <cell r="L24">
            <v>164522.23759999999</v>
          </cell>
          <cell r="M24">
            <v>166899.20980000001</v>
          </cell>
          <cell r="N24">
            <v>169357.6833</v>
          </cell>
          <cell r="O24">
            <v>171895.9572</v>
          </cell>
          <cell r="P24">
            <v>174512.61480000001</v>
          </cell>
          <cell r="Q24">
            <v>177206.3302</v>
          </cell>
          <cell r="R24">
            <v>179975.85560000001</v>
          </cell>
          <cell r="S24">
            <v>182820.03750000001</v>
          </cell>
          <cell r="T24">
            <v>185737.8463</v>
          </cell>
          <cell r="U24">
            <v>188728.3922</v>
          </cell>
          <cell r="V24">
            <v>191782.73259999999</v>
          </cell>
          <cell r="W24">
            <v>194903.3841</v>
          </cell>
          <cell r="X24">
            <v>198091.94870000001</v>
          </cell>
          <cell r="Y24">
            <v>201349.25630000001</v>
          </cell>
          <cell r="Z24">
            <v>204675.7941</v>
          </cell>
          <cell r="AA24">
            <v>208047.965</v>
          </cell>
          <cell r="AB24">
            <v>211463.7426</v>
          </cell>
          <cell r="AC24">
            <v>214922.19010000001</v>
          </cell>
          <cell r="AD24">
            <v>218422.5601</v>
          </cell>
          <cell r="AE24">
            <v>221964.4314</v>
          </cell>
          <cell r="AF24">
            <v>225547.74059999999</v>
          </cell>
          <cell r="AG24">
            <v>229172.70569999999</v>
          </cell>
          <cell r="AH24">
            <v>232839.71830000001</v>
          </cell>
          <cell r="AI24">
            <v>236549.23509999999</v>
          </cell>
          <cell r="AJ24">
            <v>240301.69510000001</v>
          </cell>
          <cell r="AK24">
            <v>244097.46489999999</v>
          </cell>
          <cell r="AL24">
            <v>247930.8792</v>
          </cell>
          <cell r="AM24">
            <v>251798.36900000001</v>
          </cell>
          <cell r="AN24">
            <v>255697.76389999999</v>
          </cell>
          <cell r="AO24">
            <v>259627.69959999999</v>
          </cell>
          <cell r="AP24">
            <v>263587.33919999999</v>
          </cell>
          <cell r="AQ24">
            <v>267576.23100000003</v>
          </cell>
          <cell r="AR24">
            <v>271594.22779999999</v>
          </cell>
          <cell r="AS24">
            <v>275641.41759999999</v>
          </cell>
          <cell r="AT24">
            <v>279718.06449999998</v>
          </cell>
          <cell r="AU24">
            <v>283824.55959999998</v>
          </cell>
          <cell r="AV24">
            <v>287963.94390000001</v>
          </cell>
          <cell r="AW24">
            <v>292140.0969</v>
          </cell>
          <cell r="AX24">
            <v>296356.6692</v>
          </cell>
          <cell r="AY24">
            <v>300616.52559999999</v>
          </cell>
          <cell r="AZ24">
            <v>304921.66810000001</v>
          </cell>
          <cell r="BA24">
            <v>321001.99890000001</v>
          </cell>
          <cell r="BB24">
            <v>326859.30650000001</v>
          </cell>
          <cell r="BC24">
            <v>332813.91570000001</v>
          </cell>
          <cell r="BD24">
            <v>338866.0429</v>
          </cell>
          <cell r="BE24">
            <v>345015.929</v>
          </cell>
        </row>
        <row r="25">
          <cell r="B25">
            <v>144892.33660000001</v>
          </cell>
          <cell r="C25">
            <v>146586.61739999999</v>
          </cell>
          <cell r="D25">
            <v>148318.12210000001</v>
          </cell>
          <cell r="E25">
            <v>150100.07610000001</v>
          </cell>
          <cell r="F25">
            <v>151943.72640000001</v>
          </cell>
          <cell r="G25">
            <v>153858.0306</v>
          </cell>
          <cell r="H25">
            <v>155843.84479999999</v>
          </cell>
          <cell r="I25">
            <v>157902.7635</v>
          </cell>
          <cell r="J25">
            <v>160036.6096</v>
          </cell>
          <cell r="K25">
            <v>162246.9431</v>
          </cell>
          <cell r="L25">
            <v>164545.69500000001</v>
          </cell>
          <cell r="M25">
            <v>166929.33170000001</v>
          </cell>
          <cell r="N25">
            <v>169395.27009999999</v>
          </cell>
          <cell r="O25">
            <v>171941.73250000001</v>
          </cell>
          <cell r="P25">
            <v>174567.23060000001</v>
          </cell>
          <cell r="Q25">
            <v>177270.37270000001</v>
          </cell>
          <cell r="R25">
            <v>180049.8401</v>
          </cell>
          <cell r="S25">
            <v>182904.41699999999</v>
          </cell>
          <cell r="T25">
            <v>185833.02170000001</v>
          </cell>
          <cell r="U25">
            <v>188834.72210000001</v>
          </cell>
          <cell r="V25">
            <v>191900.53400000001</v>
          </cell>
          <cell r="W25">
            <v>195032.954</v>
          </cell>
          <cell r="X25">
            <v>198233.5674</v>
          </cell>
          <cell r="Y25">
            <v>201503.18849999999</v>
          </cell>
          <cell r="Z25">
            <v>204842.2885</v>
          </cell>
          <cell r="AA25">
            <v>208227.22140000001</v>
          </cell>
          <cell r="AB25">
            <v>211655.95189999999</v>
          </cell>
          <cell r="AC25">
            <v>215127.53229999999</v>
          </cell>
          <cell r="AD25">
            <v>218641.1979</v>
          </cell>
          <cell r="AE25">
            <v>222196.50320000001</v>
          </cell>
          <cell r="AF25">
            <v>225793.35440000001</v>
          </cell>
          <cell r="AG25">
            <v>229431.93799999999</v>
          </cell>
          <cell r="AH25">
            <v>233112.61009999999</v>
          </cell>
          <cell r="AI25">
            <v>236835.79</v>
          </cell>
          <cell r="AJ25">
            <v>240601.87700000001</v>
          </cell>
          <cell r="AK25">
            <v>244411.1979</v>
          </cell>
          <cell r="AL25">
            <v>248258.0631</v>
          </cell>
          <cell r="AM25">
            <v>252138.87599999999</v>
          </cell>
          <cell r="AN25">
            <v>256051.4124</v>
          </cell>
          <cell r="AO25">
            <v>259994.22510000001</v>
          </cell>
          <cell r="AP25">
            <v>263966.37819999998</v>
          </cell>
          <cell r="AQ25">
            <v>267968.71019999997</v>
          </cell>
          <cell r="AR25">
            <v>272003.06050000002</v>
          </cell>
          <cell r="AS25">
            <v>276071.44260000001</v>
          </cell>
          <cell r="AT25">
            <v>280175.5552</v>
          </cell>
          <cell r="AU25">
            <v>284316.64079999999</v>
          </cell>
          <cell r="AV25">
            <v>288496.0943</v>
          </cell>
          <cell r="AW25">
            <v>292714.85430000001</v>
          </cell>
          <cell r="AX25">
            <v>296973.59909999999</v>
          </cell>
          <cell r="AY25">
            <v>301272.89260000002</v>
          </cell>
          <cell r="AZ25">
            <v>305613.26179999998</v>
          </cell>
          <cell r="BA25">
            <v>323223.7169</v>
          </cell>
          <cell r="BB25">
            <v>329188.19819999998</v>
          </cell>
          <cell r="BC25">
            <v>335249.99739999999</v>
          </cell>
          <cell r="BD25">
            <v>341409.25400000002</v>
          </cell>
          <cell r="BE25">
            <v>347666.16600000003</v>
          </cell>
        </row>
        <row r="26">
          <cell r="B26">
            <v>1694106.9839999999</v>
          </cell>
          <cell r="C26">
            <v>1713966.898</v>
          </cell>
          <cell r="D26">
            <v>1734414.027</v>
          </cell>
          <cell r="E26">
            <v>1755582.6569999999</v>
          </cell>
          <cell r="F26">
            <v>1777599.246</v>
          </cell>
          <cell r="G26">
            <v>1800579.7279999999</v>
          </cell>
          <cell r="H26">
            <v>1824589.196</v>
          </cell>
          <cell r="I26">
            <v>1849677.8689999999</v>
          </cell>
          <cell r="J26">
            <v>1875891.416</v>
          </cell>
          <cell r="K26">
            <v>1903272.439</v>
          </cell>
          <cell r="L26">
            <v>1931930.9909999999</v>
          </cell>
          <cell r="M26">
            <v>1961910.1429999999</v>
          </cell>
          <cell r="N26">
            <v>1993230.558</v>
          </cell>
          <cell r="O26">
            <v>2025905.2420000001</v>
          </cell>
          <cell r="P26">
            <v>2059943.1240000001</v>
          </cell>
          <cell r="Q26">
            <v>2095350.02</v>
          </cell>
          <cell r="R26">
            <v>2132129.145</v>
          </cell>
          <cell r="S26">
            <v>2170281.747</v>
          </cell>
          <cell r="T26">
            <v>2209807.5290000001</v>
          </cell>
          <cell r="U26">
            <v>2250704.889</v>
          </cell>
          <cell r="V26">
            <v>2292915.8689999999</v>
          </cell>
          <cell r="W26">
            <v>2336428.9739999999</v>
          </cell>
          <cell r="X26">
            <v>2381244.9219999998</v>
          </cell>
          <cell r="Y26">
            <v>2427364.946</v>
          </cell>
          <cell r="Z26">
            <v>2474787.8130000001</v>
          </cell>
          <cell r="AA26">
            <v>2523345.9410000001</v>
          </cell>
          <cell r="AB26">
            <v>2572931.2349999999</v>
          </cell>
          <cell r="AC26">
            <v>2623460.696</v>
          </cell>
          <cell r="AD26">
            <v>2674861.8080000002</v>
          </cell>
          <cell r="AE26">
            <v>2727067.9759999998</v>
          </cell>
          <cell r="AF26">
            <v>2780016.7760000001</v>
          </cell>
          <cell r="AG26">
            <v>2833648.7820000001</v>
          </cell>
          <cell r="AH26">
            <v>2887906.372</v>
          </cell>
          <cell r="AI26">
            <v>2942732.6770000001</v>
          </cell>
          <cell r="AJ26">
            <v>2998070.7629999998</v>
          </cell>
          <cell r="AK26">
            <v>3053863.1439999999</v>
          </cell>
          <cell r="AL26">
            <v>3110010.861</v>
          </cell>
          <cell r="AM26">
            <v>3166408.34</v>
          </cell>
          <cell r="AN26">
            <v>3222954.2280000001</v>
          </cell>
          <cell r="AO26">
            <v>3279553.9939999999</v>
          </cell>
          <cell r="AP26">
            <v>3336120.4840000002</v>
          </cell>
          <cell r="AQ26">
            <v>3392574.0950000002</v>
          </cell>
          <cell r="AR26">
            <v>3448842.7009999999</v>
          </cell>
          <cell r="AS26">
            <v>3504861.534</v>
          </cell>
          <cell r="AT26">
            <v>3560573.0060000001</v>
          </cell>
          <cell r="AU26">
            <v>3615926.517</v>
          </cell>
          <cell r="AV26">
            <v>3670911.284</v>
          </cell>
          <cell r="AW26">
            <v>3725540.9720000001</v>
          </cell>
          <cell r="AX26">
            <v>3779836.6809999999</v>
          </cell>
          <cell r="AY26">
            <v>3833815.764</v>
          </cell>
          <cell r="AZ26">
            <v>3887487.6639999999</v>
          </cell>
          <cell r="BA26">
            <v>4240150.0130000003</v>
          </cell>
          <cell r="BB26">
            <v>4330272.5049999999</v>
          </cell>
          <cell r="BC26">
            <v>4421473.0580000002</v>
          </cell>
          <cell r="BD26">
            <v>4513684.6560000004</v>
          </cell>
          <cell r="BE26">
            <v>4606839.7630000003</v>
          </cell>
        </row>
        <row r="27">
          <cell r="B27">
            <v>1694117.4269999999</v>
          </cell>
          <cell r="C27">
            <v>1714001.9879999999</v>
          </cell>
          <cell r="D27">
            <v>1734486.7379999999</v>
          </cell>
          <cell r="E27">
            <v>1755703.6329999999</v>
          </cell>
          <cell r="F27">
            <v>1777778.088</v>
          </cell>
          <cell r="G27">
            <v>1800826.898</v>
          </cell>
          <cell r="H27">
            <v>1824917.2350000001</v>
          </cell>
          <cell r="I27">
            <v>1850101.7250000001</v>
          </cell>
          <cell r="J27">
            <v>1876428.1089999999</v>
          </cell>
          <cell r="K27">
            <v>1903940.3589999999</v>
          </cell>
          <cell r="L27">
            <v>1932749.2039999999</v>
          </cell>
          <cell r="M27">
            <v>1962897.6980000001</v>
          </cell>
          <cell r="N27">
            <v>1994405.969</v>
          </cell>
          <cell r="O27">
            <v>2027286.2009999999</v>
          </cell>
          <cell r="P27">
            <v>2061546.39</v>
          </cell>
          <cell r="Q27">
            <v>2097191.4219999998</v>
          </cell>
          <cell r="R27">
            <v>2134223.7170000002</v>
          </cell>
          <cell r="S27">
            <v>2172643.821</v>
          </cell>
          <cell r="T27">
            <v>2212450.8659999999</v>
          </cell>
          <cell r="U27">
            <v>2253642.8289999999</v>
          </cell>
          <cell r="V27">
            <v>2296161.3339999998</v>
          </cell>
          <cell r="W27">
            <v>2339994.733</v>
          </cell>
          <cell r="X27">
            <v>2385143.7059999998</v>
          </cell>
          <cell r="Y27">
            <v>2431609.4929999998</v>
          </cell>
          <cell r="Z27">
            <v>2479390.8650000002</v>
          </cell>
          <cell r="AA27">
            <v>2528319.682</v>
          </cell>
          <cell r="AB27">
            <v>2578287.4360000002</v>
          </cell>
          <cell r="AC27">
            <v>2629210.7310000001</v>
          </cell>
          <cell r="AD27">
            <v>2681016.5649999999</v>
          </cell>
          <cell r="AE27">
            <v>2733637.7140000002</v>
          </cell>
          <cell r="AF27">
            <v>2787010.966</v>
          </cell>
          <cell r="AG27">
            <v>2841075.932</v>
          </cell>
          <cell r="AH27">
            <v>2895773.9029999999</v>
          </cell>
          <cell r="AI27">
            <v>2951046.818</v>
          </cell>
          <cell r="AJ27">
            <v>3006836.4720000001</v>
          </cell>
          <cell r="AK27">
            <v>3063084.0419999999</v>
          </cell>
          <cell r="AL27">
            <v>3119688.7179999999</v>
          </cell>
          <cell r="AM27">
            <v>3176543.034</v>
          </cell>
          <cell r="AN27">
            <v>3233543.6310000001</v>
          </cell>
          <cell r="AO27">
            <v>3290593.7859999998</v>
          </cell>
          <cell r="AP27">
            <v>3347604.034</v>
          </cell>
          <cell r="AQ27">
            <v>3404512.5610000002</v>
          </cell>
          <cell r="AR27">
            <v>3461277.3810000001</v>
          </cell>
          <cell r="AS27">
            <v>3517865.3119999999</v>
          </cell>
          <cell r="AT27">
            <v>3574244.108</v>
          </cell>
          <cell r="AU27">
            <v>3630379.156</v>
          </cell>
          <cell r="AV27">
            <v>3686237.395</v>
          </cell>
          <cell r="AW27">
            <v>3741785.9589999998</v>
          </cell>
          <cell r="AX27">
            <v>3796993.534</v>
          </cell>
          <cell r="AY27">
            <v>3851832.1680000001</v>
          </cell>
          <cell r="AZ27">
            <v>3906278.7039999999</v>
          </cell>
          <cell r="BA27">
            <v>4261665.0319999997</v>
          </cell>
          <cell r="BB27">
            <v>4352016.2649999997</v>
          </cell>
          <cell r="BC27">
            <v>4443318.9220000003</v>
          </cell>
          <cell r="BD27">
            <v>4535498.1179999998</v>
          </cell>
          <cell r="BE27">
            <v>4628479.3269999996</v>
          </cell>
        </row>
        <row r="28">
          <cell r="B28">
            <v>4360.2214210000002</v>
          </cell>
          <cell r="C28">
            <v>4411.0214930000002</v>
          </cell>
          <cell r="D28">
            <v>4462.6278689999999</v>
          </cell>
          <cell r="E28">
            <v>4515.2517790000002</v>
          </cell>
          <cell r="F28">
            <v>4569.1184329999996</v>
          </cell>
          <cell r="G28">
            <v>4624.4302070000003</v>
          </cell>
          <cell r="H28">
            <v>4681.1903249999996</v>
          </cell>
          <cell r="I28">
            <v>4739.4313739999998</v>
          </cell>
          <cell r="J28">
            <v>4799.1938239999999</v>
          </cell>
          <cell r="K28">
            <v>4860.5107900000003</v>
          </cell>
          <cell r="L28">
            <v>4923.6920760000003</v>
          </cell>
          <cell r="M28">
            <v>4988.6291719999999</v>
          </cell>
          <cell r="N28">
            <v>5055.2450090000002</v>
          </cell>
          <cell r="O28">
            <v>5123.4855500000003</v>
          </cell>
          <cell r="P28">
            <v>5193.3050309999999</v>
          </cell>
          <cell r="Q28">
            <v>5264.6614870000003</v>
          </cell>
          <cell r="R28">
            <v>5337.5162710000004</v>
          </cell>
          <cell r="S28">
            <v>5411.8362200000001</v>
          </cell>
          <cell r="T28">
            <v>5487.594153</v>
          </cell>
          <cell r="U28">
            <v>5564.7690279999997</v>
          </cell>
          <cell r="V28">
            <v>5643.1290799999997</v>
          </cell>
          <cell r="W28">
            <v>5722.7522239999998</v>
          </cell>
          <cell r="X28">
            <v>5803.6895889999996</v>
          </cell>
          <cell r="Y28">
            <v>5885.9727869999997</v>
          </cell>
          <cell r="Z28">
            <v>5969.626139</v>
          </cell>
          <cell r="AA28">
            <v>6054.0422339999996</v>
          </cell>
          <cell r="AB28">
            <v>6139.1971830000002</v>
          </cell>
          <cell r="AC28">
            <v>6225.09004</v>
          </cell>
          <cell r="AD28">
            <v>6311.7241430000004</v>
          </cell>
          <cell r="AE28">
            <v>6399.1130039999998</v>
          </cell>
          <cell r="AF28">
            <v>6487.2811890000003</v>
          </cell>
          <cell r="AG28">
            <v>6576.2618700000003</v>
          </cell>
          <cell r="AH28">
            <v>6666.0928160000003</v>
          </cell>
          <cell r="AI28">
            <v>6756.8131720000001</v>
          </cell>
          <cell r="AJ28">
            <v>6848.4610259999999</v>
          </cell>
          <cell r="AK28">
            <v>6941.0718939999997</v>
          </cell>
          <cell r="AL28">
            <v>7034.5262730000004</v>
          </cell>
          <cell r="AM28">
            <v>7128.7610409999998</v>
          </cell>
          <cell r="AN28">
            <v>7223.7487140000003</v>
          </cell>
          <cell r="AO28">
            <v>7319.481718</v>
          </cell>
          <cell r="AP28">
            <v>7415.9654099999998</v>
          </cell>
          <cell r="AQ28">
            <v>7513.2149820000004</v>
          </cell>
          <cell r="AR28">
            <v>7611.2525240000004</v>
          </cell>
          <cell r="AS28">
            <v>7710.1051390000002</v>
          </cell>
          <cell r="AT28">
            <v>7809.8031920000003</v>
          </cell>
          <cell r="AU28">
            <v>7910.3788329999998</v>
          </cell>
          <cell r="AV28">
            <v>8011.9564929999997</v>
          </cell>
          <cell r="AW28">
            <v>8114.673777</v>
          </cell>
          <cell r="AX28">
            <v>8218.6479089999993</v>
          </cell>
          <cell r="AY28">
            <v>8323.9644279999993</v>
          </cell>
          <cell r="AZ28">
            <v>8430.6799009999995</v>
          </cell>
          <cell r="BA28">
            <v>8709.0840759999992</v>
          </cell>
          <cell r="BB28">
            <v>8845.8713709999993</v>
          </cell>
          <cell r="BC28">
            <v>8984.9626939999998</v>
          </cell>
          <cell r="BD28">
            <v>9126.3813480000008</v>
          </cell>
          <cell r="BE28">
            <v>9270.1512010000006</v>
          </cell>
        </row>
        <row r="29">
          <cell r="B29">
            <v>4360.2616609999995</v>
          </cell>
          <cell r="C29">
            <v>4411.1401619999997</v>
          </cell>
          <cell r="D29">
            <v>4462.8534030000001</v>
          </cell>
          <cell r="E29">
            <v>4515.6057449999998</v>
          </cell>
          <cell r="F29">
            <v>4569.6220009999997</v>
          </cell>
          <cell r="G29">
            <v>4625.1093039999996</v>
          </cell>
          <cell r="H29">
            <v>4682.0771420000001</v>
          </cell>
          <cell r="I29">
            <v>4740.5634309999996</v>
          </cell>
          <cell r="J29">
            <v>4800.6120499999997</v>
          </cell>
          <cell r="K29">
            <v>4862.2575379999998</v>
          </cell>
          <cell r="L29">
            <v>4925.809988</v>
          </cell>
          <cell r="M29">
            <v>4991.1600079999998</v>
          </cell>
          <cell r="N29">
            <v>5058.2288840000001</v>
          </cell>
          <cell r="O29">
            <v>5126.9608289999996</v>
          </cell>
          <cell r="P29">
            <v>5197.3085000000001</v>
          </cell>
          <cell r="Q29">
            <v>5269.2285869999996</v>
          </cell>
          <cell r="R29">
            <v>5342.6819290000003</v>
          </cell>
          <cell r="S29">
            <v>5417.6346809999995</v>
          </cell>
          <cell r="T29">
            <v>5494.059174</v>
          </cell>
          <cell r="U29">
            <v>5571.9341720000002</v>
          </cell>
          <cell r="V29">
            <v>5651.0272720000003</v>
          </cell>
          <cell r="W29">
            <v>5731.417109</v>
          </cell>
          <cell r="X29">
            <v>5813.1554980000001</v>
          </cell>
          <cell r="Y29">
            <v>5896.2747200000003</v>
          </cell>
          <cell r="Z29">
            <v>5980.7997610000002</v>
          </cell>
          <cell r="AA29">
            <v>6066.1211069999999</v>
          </cell>
          <cell r="AB29">
            <v>6152.2153259999995</v>
          </cell>
          <cell r="AC29">
            <v>6239.0820510000003</v>
          </cell>
          <cell r="AD29">
            <v>6326.7250549999999</v>
          </cell>
          <cell r="AE29">
            <v>6415.1581109999997</v>
          </cell>
          <cell r="AF29">
            <v>6504.4059219999999</v>
          </cell>
          <cell r="AG29">
            <v>6594.5015190000004</v>
          </cell>
          <cell r="AH29">
            <v>6685.4826270000003</v>
          </cell>
          <cell r="AI29">
            <v>6777.3883610000003</v>
          </cell>
          <cell r="AJ29">
            <v>6870.2567790000003</v>
          </cell>
          <cell r="AK29">
            <v>6964.1233869999996</v>
          </cell>
          <cell r="AL29">
            <v>7058.8656920000003</v>
          </cell>
          <cell r="AM29">
            <v>7154.4193699999996</v>
          </cell>
          <cell r="AN29">
            <v>7250.7559840000004</v>
          </cell>
          <cell r="AO29">
            <v>7347.8667079999996</v>
          </cell>
          <cell r="AP29">
            <v>7445.7554469999995</v>
          </cell>
          <cell r="AQ29">
            <v>7544.489208</v>
          </cell>
          <cell r="AR29">
            <v>7644.1563649999998</v>
          </cell>
          <cell r="AS29">
            <v>7744.8399049999998</v>
          </cell>
          <cell r="AT29">
            <v>7846.6064969999998</v>
          </cell>
          <cell r="AU29">
            <v>7949.5060249999997</v>
          </cell>
          <cell r="AV29">
            <v>8053.589868</v>
          </cell>
          <cell r="AW29">
            <v>8158.8959210000003</v>
          </cell>
          <cell r="AX29">
            <v>8265.4544249999999</v>
          </cell>
          <cell r="AY29">
            <v>8373.2917870000001</v>
          </cell>
          <cell r="AZ29">
            <v>8482.4323789999999</v>
          </cell>
          <cell r="BA29">
            <v>8774.3944449999999</v>
          </cell>
          <cell r="BB29">
            <v>8914.5550019999991</v>
          </cell>
          <cell r="BC29">
            <v>9057.0619380000007</v>
          </cell>
          <cell r="BD29">
            <v>9201.939155</v>
          </cell>
          <cell r="BE29">
            <v>9349.2119129999992</v>
          </cell>
        </row>
        <row r="30">
          <cell r="B30">
            <v>43530.292690000002</v>
          </cell>
          <cell r="C30">
            <v>44037.248939999998</v>
          </cell>
          <cell r="D30">
            <v>44552.097370000003</v>
          </cell>
          <cell r="E30">
            <v>45076.936309999997</v>
          </cell>
          <cell r="F30">
            <v>45614.013310000002</v>
          </cell>
          <cell r="G30">
            <v>46165.352930000001</v>
          </cell>
          <cell r="H30">
            <v>46730.9974</v>
          </cell>
          <cell r="I30">
            <v>47311.28368</v>
          </cell>
          <cell r="J30">
            <v>47906.628019999996</v>
          </cell>
          <cell r="K30">
            <v>48517.37386</v>
          </cell>
          <cell r="L30">
            <v>49146.622069999998</v>
          </cell>
          <cell r="M30">
            <v>49793.306140000001</v>
          </cell>
          <cell r="N30">
            <v>50456.675459999999</v>
          </cell>
          <cell r="O30">
            <v>51136.209219999997</v>
          </cell>
          <cell r="P30">
            <v>51831.467949999998</v>
          </cell>
          <cell r="Q30">
            <v>52542.048239999996</v>
          </cell>
          <cell r="R30">
            <v>53267.577640000003</v>
          </cell>
          <cell r="S30">
            <v>54007.736199999999</v>
          </cell>
          <cell r="T30">
            <v>54762.261480000001</v>
          </cell>
          <cell r="U30">
            <v>55530.950169999996</v>
          </cell>
          <cell r="V30">
            <v>56311.497969999997</v>
          </cell>
          <cell r="W30">
            <v>57104.683080000003</v>
          </cell>
          <cell r="X30">
            <v>57911.013160000002</v>
          </cell>
          <cell r="Y30">
            <v>58730.799370000001</v>
          </cell>
          <cell r="Z30">
            <v>59564.278960000003</v>
          </cell>
          <cell r="AA30">
            <v>60405.395790000002</v>
          </cell>
          <cell r="AB30">
            <v>61253.90395</v>
          </cell>
          <cell r="AC30">
            <v>62109.779450000002</v>
          </cell>
          <cell r="AD30">
            <v>62973.036240000001</v>
          </cell>
          <cell r="AE30">
            <v>63843.786829999997</v>
          </cell>
          <cell r="AF30">
            <v>64722.252560000001</v>
          </cell>
          <cell r="AG30">
            <v>65608.740319999997</v>
          </cell>
          <cell r="AH30">
            <v>66503.603470000002</v>
          </cell>
          <cell r="AI30">
            <v>67407.210219999994</v>
          </cell>
          <cell r="AJ30">
            <v>68319.919750000001</v>
          </cell>
          <cell r="AK30">
            <v>69242.067259999996</v>
          </cell>
          <cell r="AL30">
            <v>70172.446020000003</v>
          </cell>
          <cell r="AM30">
            <v>71110.412320000003</v>
          </cell>
          <cell r="AN30">
            <v>72055.677559999996</v>
          </cell>
          <cell r="AO30">
            <v>73008.151339999997</v>
          </cell>
          <cell r="AP30">
            <v>73967.872380000001</v>
          </cell>
          <cell r="AQ30">
            <v>74934.978140000007</v>
          </cell>
          <cell r="AR30">
            <v>75909.676089999994</v>
          </cell>
          <cell r="AS30">
            <v>76892.225319999998</v>
          </cell>
          <cell r="AT30">
            <v>77882.919370000003</v>
          </cell>
          <cell r="AU30">
            <v>78882.07157</v>
          </cell>
          <cell r="AV30">
            <v>79890.89529</v>
          </cell>
          <cell r="AW30">
            <v>80910.733300000007</v>
          </cell>
          <cell r="AX30">
            <v>81942.72997</v>
          </cell>
          <cell r="AY30">
            <v>82987.719509999995</v>
          </cell>
          <cell r="AZ30">
            <v>84046.252049999996</v>
          </cell>
          <cell r="BA30">
            <v>87013.627139999997</v>
          </cell>
          <cell r="BB30">
            <v>88382.012359999993</v>
          </cell>
          <cell r="BC30">
            <v>89773.287920000002</v>
          </cell>
          <cell r="BD30">
            <v>91187.670169999998</v>
          </cell>
          <cell r="BE30">
            <v>92625.381370000003</v>
          </cell>
        </row>
        <row r="31">
          <cell r="B31">
            <v>43530.686600000001</v>
          </cell>
          <cell r="C31">
            <v>44038.411809999998</v>
          </cell>
          <cell r="D31">
            <v>44554.308590000001</v>
          </cell>
          <cell r="E31">
            <v>45080.40653</v>
          </cell>
          <cell r="F31">
            <v>45618.947469999999</v>
          </cell>
          <cell r="G31">
            <v>46172.000999999997</v>
          </cell>
          <cell r="H31">
            <v>46739.669520000003</v>
          </cell>
          <cell r="I31">
            <v>47322.341070000002</v>
          </cell>
          <cell r="J31">
            <v>47920.464180000003</v>
          </cell>
          <cell r="K31">
            <v>48534.395049999999</v>
          </cell>
          <cell r="L31">
            <v>49167.236069999999</v>
          </cell>
          <cell r="M31">
            <v>49817.91085</v>
          </cell>
          <cell r="N31">
            <v>50485.651440000001</v>
          </cell>
          <cell r="O31">
            <v>51169.918729999998</v>
          </cell>
          <cell r="P31">
            <v>51870.256800000003</v>
          </cell>
          <cell r="Q31">
            <v>52586.248160000003</v>
          </cell>
          <cell r="R31">
            <v>53317.514759999998</v>
          </cell>
          <cell r="S31">
            <v>54063.729379999997</v>
          </cell>
          <cell r="T31">
            <v>54824.62429</v>
          </cell>
          <cell r="U31">
            <v>55599.993880000002</v>
          </cell>
          <cell r="V31">
            <v>56387.527349999997</v>
          </cell>
          <cell r="W31">
            <v>57188.009539999999</v>
          </cell>
          <cell r="X31">
            <v>58001.954559999998</v>
          </cell>
          <cell r="Y31">
            <v>58829.679790000002</v>
          </cell>
          <cell r="Z31">
            <v>59671.428650000002</v>
          </cell>
          <cell r="AA31">
            <v>60521.124580000003</v>
          </cell>
          <cell r="AB31">
            <v>61378.525759999997</v>
          </cell>
          <cell r="AC31">
            <v>62243.613530000002</v>
          </cell>
          <cell r="AD31">
            <v>63116.405700000003</v>
          </cell>
          <cell r="AE31">
            <v>63997.016889999999</v>
          </cell>
          <cell r="AF31">
            <v>64885.669280000002</v>
          </cell>
          <cell r="AG31">
            <v>65782.667830000006</v>
          </cell>
          <cell r="AH31">
            <v>66688.364929999996</v>
          </cell>
          <cell r="AI31">
            <v>67603.127940000006</v>
          </cell>
          <cell r="AJ31">
            <v>68527.31525</v>
          </cell>
          <cell r="AK31">
            <v>69461.261440000002</v>
          </cell>
          <cell r="AL31">
            <v>70403.73</v>
          </cell>
          <cell r="AM31">
            <v>71354.065040000001</v>
          </cell>
          <cell r="AN31">
            <v>72311.968259999994</v>
          </cell>
          <cell r="AO31">
            <v>73277.336580000003</v>
          </cell>
          <cell r="AP31">
            <v>74250.193920000005</v>
          </cell>
          <cell r="AQ31">
            <v>75231.179059999995</v>
          </cell>
          <cell r="AR31">
            <v>76221.142250000004</v>
          </cell>
          <cell r="AS31">
            <v>77220.883610000004</v>
          </cell>
          <cell r="AT31">
            <v>78231.045270000002</v>
          </cell>
          <cell r="AU31">
            <v>79252.10626</v>
          </cell>
          <cell r="AV31">
            <v>80284.56366</v>
          </cell>
          <cell r="AW31">
            <v>81328.783110000004</v>
          </cell>
          <cell r="AX31">
            <v>82385.056769999996</v>
          </cell>
          <cell r="AY31">
            <v>83453.641329999999</v>
          </cell>
          <cell r="AZ31">
            <v>84534.775940000007</v>
          </cell>
          <cell r="BA31">
            <v>87653.784390000001</v>
          </cell>
          <cell r="BB31">
            <v>89054.829429999998</v>
          </cell>
          <cell r="BC31">
            <v>90479.130709999998</v>
          </cell>
          <cell r="BD31">
            <v>91926.909010000003</v>
          </cell>
          <cell r="BE31">
            <v>93398.398969999995</v>
          </cell>
        </row>
        <row r="32">
          <cell r="B32">
            <v>25752.113160000001</v>
          </cell>
          <cell r="C32">
            <v>26062.39143</v>
          </cell>
          <cell r="D32">
            <v>26387.715479999999</v>
          </cell>
          <cell r="E32">
            <v>26729.254919999999</v>
          </cell>
          <cell r="F32">
            <v>27087.35586</v>
          </cell>
          <cell r="G32">
            <v>27461.96</v>
          </cell>
          <cell r="H32">
            <v>27851.105879999999</v>
          </cell>
          <cell r="I32">
            <v>28253.886139999999</v>
          </cell>
          <cell r="J32">
            <v>28669.743770000001</v>
          </cell>
          <cell r="K32">
            <v>29098.232789999998</v>
          </cell>
          <cell r="L32">
            <v>29541.89818</v>
          </cell>
          <cell r="M32">
            <v>29998.24901</v>
          </cell>
          <cell r="N32">
            <v>30466.213479999999</v>
          </cell>
          <cell r="O32">
            <v>30945.258989999998</v>
          </cell>
          <cell r="P32">
            <v>31435.047310000002</v>
          </cell>
          <cell r="Q32">
            <v>31935.327939999999</v>
          </cell>
          <cell r="R32">
            <v>32445.90583</v>
          </cell>
          <cell r="S32">
            <v>32966.632709999998</v>
          </cell>
          <cell r="T32">
            <v>33497.404369999997</v>
          </cell>
          <cell r="U32">
            <v>34038.159359999998</v>
          </cell>
          <cell r="V32">
            <v>34586.652560000002</v>
          </cell>
          <cell r="W32">
            <v>35144.51197</v>
          </cell>
          <cell r="X32">
            <v>35712.351900000001</v>
          </cell>
          <cell r="Y32">
            <v>36290.437870000002</v>
          </cell>
          <cell r="Z32">
            <v>36878.944839999996</v>
          </cell>
          <cell r="AA32">
            <v>37471.552360000001</v>
          </cell>
          <cell r="AB32">
            <v>38070.036139999997</v>
          </cell>
          <cell r="AC32">
            <v>38675.305800000002</v>
          </cell>
          <cell r="AD32">
            <v>39287.927320000003</v>
          </cell>
          <cell r="AE32">
            <v>39908.362450000001</v>
          </cell>
          <cell r="AF32">
            <v>40537.03815</v>
          </cell>
          <cell r="AG32">
            <v>41174.362849999998</v>
          </cell>
          <cell r="AH32">
            <v>41820.725910000001</v>
          </cell>
          <cell r="AI32">
            <v>42476.492870000002</v>
          </cell>
          <cell r="AJ32">
            <v>43142.000599999999</v>
          </cell>
          <cell r="AK32">
            <v>43817.553760000003</v>
          </cell>
          <cell r="AL32">
            <v>44501.824520000002</v>
          </cell>
          <cell r="AM32">
            <v>45194.585809999997</v>
          </cell>
          <cell r="AN32">
            <v>45895.974410000003</v>
          </cell>
          <cell r="AO32">
            <v>46606.224000000002</v>
          </cell>
          <cell r="AP32">
            <v>47325.58236</v>
          </cell>
          <cell r="AQ32">
            <v>48054.286039999999</v>
          </cell>
          <cell r="AR32">
            <v>48792.552369999998</v>
          </cell>
          <cell r="AS32">
            <v>49540.577340000003</v>
          </cell>
          <cell r="AT32">
            <v>50298.535020000003</v>
          </cell>
          <cell r="AU32">
            <v>51066.57789</v>
          </cell>
          <cell r="AV32">
            <v>51845.241840000002</v>
          </cell>
          <cell r="AW32">
            <v>52635.086179999998</v>
          </cell>
          <cell r="AX32">
            <v>53436.652860000002</v>
          </cell>
          <cell r="AY32">
            <v>54250.416149999997</v>
          </cell>
          <cell r="AZ32">
            <v>55076.757089999999</v>
          </cell>
          <cell r="BA32">
            <v>56467.149570000001</v>
          </cell>
          <cell r="BB32">
            <v>57483.405100000004</v>
          </cell>
          <cell r="BC32">
            <v>58520.538999999997</v>
          </cell>
          <cell r="BD32">
            <v>59578.896569999997</v>
          </cell>
          <cell r="BE32">
            <v>60658.817750000002</v>
          </cell>
        </row>
        <row r="33">
          <cell r="B33">
            <v>25752.207320000001</v>
          </cell>
          <cell r="C33">
            <v>26062.699690000001</v>
          </cell>
          <cell r="D33">
            <v>26388.352719999999</v>
          </cell>
          <cell r="E33">
            <v>26730.327209999999</v>
          </cell>
          <cell r="F33">
            <v>27088.97207</v>
          </cell>
          <cell r="G33">
            <v>27464.246319999998</v>
          </cell>
          <cell r="H33">
            <v>27854.215029999999</v>
          </cell>
          <cell r="I33">
            <v>28258.000749999999</v>
          </cell>
          <cell r="J33">
            <v>28675.074280000001</v>
          </cell>
          <cell r="K33">
            <v>29105.012139999999</v>
          </cell>
          <cell r="L33">
            <v>29550.377929999999</v>
          </cell>
          <cell r="M33">
            <v>30008.689490000001</v>
          </cell>
          <cell r="N33">
            <v>30478.879379999998</v>
          </cell>
          <cell r="O33">
            <v>30960.416079999999</v>
          </cell>
          <cell r="P33">
            <v>31452.960159999999</v>
          </cell>
          <cell r="Q33">
            <v>31956.258269999998</v>
          </cell>
          <cell r="R33">
            <v>32470.111669999998</v>
          </cell>
          <cell r="S33">
            <v>32994.367660000004</v>
          </cell>
          <cell r="T33">
            <v>33528.917650000003</v>
          </cell>
          <cell r="U33">
            <v>34073.696360000002</v>
          </cell>
          <cell r="V33">
            <v>34626.450720000001</v>
          </cell>
          <cell r="W33">
            <v>35188.810210000003</v>
          </cell>
          <cell r="X33">
            <v>35761.389710000003</v>
          </cell>
          <cell r="Y33">
            <v>36344.455540000003</v>
          </cell>
          <cell r="Z33">
            <v>36938.184009999997</v>
          </cell>
          <cell r="AA33">
            <v>37536.237450000001</v>
          </cell>
          <cell r="AB33">
            <v>38140.397969999998</v>
          </cell>
          <cell r="AC33">
            <v>38751.580499999996</v>
          </cell>
          <cell r="AD33">
            <v>39370.35583</v>
          </cell>
          <cell r="AE33">
            <v>39997.190240000004</v>
          </cell>
          <cell r="AF33">
            <v>40632.514969999997</v>
          </cell>
          <cell r="AG33">
            <v>41276.742400000003</v>
          </cell>
          <cell r="AH33">
            <v>41930.265670000001</v>
          </cell>
          <cell r="AI33">
            <v>42593.453809999999</v>
          </cell>
          <cell r="AJ33">
            <v>43266.646910000003</v>
          </cell>
          <cell r="AK33">
            <v>43950.15264</v>
          </cell>
          <cell r="AL33">
            <v>44642.637519999997</v>
          </cell>
          <cell r="AM33">
            <v>45343.873570000003</v>
          </cell>
          <cell r="AN33">
            <v>46053.997490000002</v>
          </cell>
          <cell r="AO33">
            <v>46773.242109999999</v>
          </cell>
          <cell r="AP33">
            <v>47501.853389999997</v>
          </cell>
          <cell r="AQ33">
            <v>48240.240460000001</v>
          </cell>
          <cell r="AR33">
            <v>48988.894950000002</v>
          </cell>
          <cell r="AS33">
            <v>49748.313099999999</v>
          </cell>
          <cell r="AT33">
            <v>50518.941740000002</v>
          </cell>
          <cell r="AU33">
            <v>51301.153290000002</v>
          </cell>
          <cell r="AV33">
            <v>52095.391170000003</v>
          </cell>
          <cell r="AW33">
            <v>52901.925130000003</v>
          </cell>
          <cell r="AX33">
            <v>53720.932410000001</v>
          </cell>
          <cell r="AY33">
            <v>54552.534299999999</v>
          </cell>
          <cell r="AZ33">
            <v>55396.812850000002</v>
          </cell>
          <cell r="BA33">
            <v>56986.638679999996</v>
          </cell>
          <cell r="BB33">
            <v>58034.382850000002</v>
          </cell>
          <cell r="BC33">
            <v>59103.829579999998</v>
          </cell>
          <cell r="BD33">
            <v>60195.3292</v>
          </cell>
          <cell r="BE33">
            <v>61309.229910000002</v>
          </cell>
        </row>
        <row r="34">
          <cell r="B34">
            <v>14918.232609999999</v>
          </cell>
          <cell r="C34">
            <v>15096.507379999999</v>
          </cell>
          <cell r="D34">
            <v>15283.910980000001</v>
          </cell>
          <cell r="E34">
            <v>15481.907090000001</v>
          </cell>
          <cell r="F34">
            <v>15691.342860000001</v>
          </cell>
          <cell r="G34">
            <v>15912.757809999999</v>
          </cell>
          <cell r="H34">
            <v>16145.71284</v>
          </cell>
          <cell r="I34">
            <v>16389.99814</v>
          </cell>
          <cell r="J34">
            <v>16645.492310000001</v>
          </cell>
          <cell r="K34">
            <v>16912.087640000002</v>
          </cell>
          <cell r="L34">
            <v>17191.112089999999</v>
          </cell>
          <cell r="M34">
            <v>17481.809829999998</v>
          </cell>
          <cell r="N34">
            <v>17783.684219999999</v>
          </cell>
          <cell r="O34">
            <v>18096.36231</v>
          </cell>
          <cell r="P34">
            <v>18419.518840000001</v>
          </cell>
          <cell r="Q34">
            <v>18752.857349999998</v>
          </cell>
          <cell r="R34">
            <v>19096.109990000001</v>
          </cell>
          <cell r="S34">
            <v>19449.04163</v>
          </cell>
          <cell r="T34">
            <v>19811.451369999999</v>
          </cell>
          <cell r="U34">
            <v>20183.171750000001</v>
          </cell>
          <cell r="V34">
            <v>20562.937859999998</v>
          </cell>
          <cell r="W34">
            <v>20951.107189999999</v>
          </cell>
          <cell r="X34">
            <v>21347.856820000001</v>
          </cell>
          <cell r="Y34">
            <v>21753.282019999999</v>
          </cell>
          <cell r="Z34">
            <v>22167.454259999999</v>
          </cell>
          <cell r="AA34">
            <v>22587.1034</v>
          </cell>
          <cell r="AB34">
            <v>23012.059980000002</v>
          </cell>
          <cell r="AC34">
            <v>23442.179199999999</v>
          </cell>
          <cell r="AD34">
            <v>23877.361550000001</v>
          </cell>
          <cell r="AE34">
            <v>24317.591939999998</v>
          </cell>
          <cell r="AF34">
            <v>24762.938539999999</v>
          </cell>
          <cell r="AG34">
            <v>25213.534619999999</v>
          </cell>
          <cell r="AH34">
            <v>25669.556400000001</v>
          </cell>
          <cell r="AI34">
            <v>26131.20376</v>
          </cell>
          <cell r="AJ34">
            <v>26598.685890000001</v>
          </cell>
          <cell r="AK34">
            <v>27072.211759999998</v>
          </cell>
          <cell r="AL34">
            <v>27551.147550000002</v>
          </cell>
          <cell r="AM34">
            <v>28035.177189999999</v>
          </cell>
          <cell r="AN34">
            <v>28524.16445</v>
          </cell>
          <cell r="AO34">
            <v>29018.083009999998</v>
          </cell>
          <cell r="AP34">
            <v>29516.987860000001</v>
          </cell>
          <cell r="AQ34">
            <v>30020.999299999999</v>
          </cell>
          <cell r="AR34">
            <v>30530.288789999999</v>
          </cell>
          <cell r="AS34">
            <v>31045.06596</v>
          </cell>
          <cell r="AT34">
            <v>31565.566709999999</v>
          </cell>
          <cell r="AU34">
            <v>32092.043089999999</v>
          </cell>
          <cell r="AV34">
            <v>32625.086609999998</v>
          </cell>
          <cell r="AW34">
            <v>33165.315360000001</v>
          </cell>
          <cell r="AX34">
            <v>33713.253140000001</v>
          </cell>
          <cell r="AY34">
            <v>34269.297500000001</v>
          </cell>
          <cell r="AZ34">
            <v>34833.743150000002</v>
          </cell>
          <cell r="BA34">
            <v>36789.749490000002</v>
          </cell>
          <cell r="BB34">
            <v>37531.980479999998</v>
          </cell>
          <cell r="BC34">
            <v>38288.681449999996</v>
          </cell>
          <cell r="BD34">
            <v>39060.101459999998</v>
          </cell>
          <cell r="BE34">
            <v>39846.50232</v>
          </cell>
        </row>
        <row r="35">
          <cell r="B35">
            <v>14918.303239999999</v>
          </cell>
          <cell r="C35">
            <v>15096.72207</v>
          </cell>
          <cell r="D35">
            <v>15284.32192</v>
          </cell>
          <cell r="E35">
            <v>15482.552750000001</v>
          </cell>
          <cell r="F35">
            <v>15692.26592</v>
          </cell>
          <cell r="G35">
            <v>15914.01908</v>
          </cell>
          <cell r="H35">
            <v>16147.39489</v>
          </cell>
          <cell r="I35">
            <v>16392.201860000001</v>
          </cell>
          <cell r="J35">
            <v>16648.330419999998</v>
          </cell>
          <cell r="K35">
            <v>16915.67829</v>
          </cell>
          <cell r="L35">
            <v>17195.57532</v>
          </cell>
          <cell r="M35">
            <v>17487.263279999999</v>
          </cell>
          <cell r="N35">
            <v>17790.242129999999</v>
          </cell>
          <cell r="O35">
            <v>18104.136030000001</v>
          </cell>
          <cell r="P35">
            <v>18428.617819999999</v>
          </cell>
          <cell r="Q35">
            <v>18763.390159999999</v>
          </cell>
          <cell r="R35">
            <v>19108.185460000001</v>
          </cell>
          <cell r="S35">
            <v>19462.76928</v>
          </cell>
          <cell r="T35">
            <v>19826.941920000001</v>
          </cell>
          <cell r="U35">
            <v>20200.537619999999</v>
          </cell>
          <cell r="V35">
            <v>20582.291099999999</v>
          </cell>
          <cell r="W35">
            <v>20972.563190000001</v>
          </cell>
          <cell r="X35">
            <v>21371.533650000001</v>
          </cell>
          <cell r="Y35">
            <v>21779.29984</v>
          </cell>
          <cell r="Z35">
            <v>22195.934939999999</v>
          </cell>
          <cell r="AA35">
            <v>22618.16115</v>
          </cell>
          <cell r="AB35">
            <v>23045.810259999998</v>
          </cell>
          <cell r="AC35">
            <v>23478.73849</v>
          </cell>
          <cell r="AD35">
            <v>23916.846740000001</v>
          </cell>
          <cell r="AE35">
            <v>24360.11995</v>
          </cell>
          <cell r="AF35">
            <v>24808.626079999998</v>
          </cell>
          <cell r="AG35">
            <v>25262.498029999999</v>
          </cell>
          <cell r="AH35">
            <v>25721.91187</v>
          </cell>
          <cell r="AI35">
            <v>26187.06753</v>
          </cell>
          <cell r="AJ35">
            <v>26658.17441</v>
          </cell>
          <cell r="AK35">
            <v>27135.44197</v>
          </cell>
          <cell r="AL35">
            <v>27618.231589999999</v>
          </cell>
          <cell r="AM35">
            <v>28106.224730000002</v>
          </cell>
          <cell r="AN35">
            <v>28599.28269</v>
          </cell>
          <cell r="AO35">
            <v>29097.375749999999</v>
          </cell>
          <cell r="AP35">
            <v>29600.554960000001</v>
          </cell>
          <cell r="AQ35">
            <v>30109.107899999999</v>
          </cell>
          <cell r="AR35">
            <v>30623.41345</v>
          </cell>
          <cell r="AS35">
            <v>31143.840909999999</v>
          </cell>
          <cell r="AT35">
            <v>31670.71213</v>
          </cell>
          <cell r="AU35">
            <v>32204.304270000001</v>
          </cell>
          <cell r="AV35">
            <v>32744.946260000001</v>
          </cell>
          <cell r="AW35">
            <v>33292.926930000001</v>
          </cell>
          <cell r="AX35">
            <v>33848.518300000003</v>
          </cell>
          <cell r="AY35">
            <v>34411.986149999997</v>
          </cell>
          <cell r="AZ35">
            <v>34983.59246</v>
          </cell>
          <cell r="BA35">
            <v>37058.8364</v>
          </cell>
          <cell r="BB35">
            <v>37816.079420000002</v>
          </cell>
          <cell r="BC35">
            <v>38588.090199999999</v>
          </cell>
          <cell r="BD35">
            <v>39375.126380000002</v>
          </cell>
          <cell r="BE35">
            <v>40177.462160000003</v>
          </cell>
        </row>
        <row r="36">
          <cell r="B36">
            <v>1989182.4010000001</v>
          </cell>
          <cell r="C36">
            <v>2012491.135</v>
          </cell>
          <cell r="D36">
            <v>2036404.736</v>
          </cell>
          <cell r="E36">
            <v>2061087.392</v>
          </cell>
          <cell r="F36">
            <v>2086686.077</v>
          </cell>
          <cell r="G36">
            <v>2113323.2949999999</v>
          </cell>
          <cell r="H36">
            <v>2141019.4739999999</v>
          </cell>
          <cell r="I36">
            <v>2169794.7850000001</v>
          </cell>
          <cell r="J36">
            <v>2199668.0060000001</v>
          </cell>
          <cell r="K36">
            <v>2230652.551</v>
          </cell>
          <cell r="L36">
            <v>2262892.6460000002</v>
          </cell>
          <cell r="M36">
            <v>2296349.5490000001</v>
          </cell>
          <cell r="N36">
            <v>2330984.2659999998</v>
          </cell>
          <cell r="O36">
            <v>2366762.602</v>
          </cell>
          <cell r="P36">
            <v>2403652.0610000002</v>
          </cell>
          <cell r="Q36">
            <v>2441621.1409999998</v>
          </cell>
          <cell r="R36">
            <v>2480639.7379999999</v>
          </cell>
          <cell r="S36">
            <v>2520680.2620000001</v>
          </cell>
          <cell r="T36">
            <v>2561718.0299999998</v>
          </cell>
          <cell r="U36">
            <v>2603731.3590000002</v>
          </cell>
          <cell r="V36">
            <v>2646596.88</v>
          </cell>
          <cell r="W36">
            <v>2690327.3149999999</v>
          </cell>
          <cell r="X36">
            <v>2734933.5180000002</v>
          </cell>
          <cell r="Y36">
            <v>2780420.9279999998</v>
          </cell>
          <cell r="Z36">
            <v>2826792.4130000002</v>
          </cell>
          <cell r="AA36">
            <v>2873743.949</v>
          </cell>
          <cell r="AB36">
            <v>2921215.0759999999</v>
          </cell>
          <cell r="AC36">
            <v>2969170.2540000002</v>
          </cell>
          <cell r="AD36">
            <v>3017584.5090000001</v>
          </cell>
          <cell r="AE36">
            <v>3066443.179</v>
          </cell>
          <cell r="AF36">
            <v>3115740.858</v>
          </cell>
          <cell r="AG36">
            <v>3165479.2889999999</v>
          </cell>
          <cell r="AH36">
            <v>3215664.81</v>
          </cell>
          <cell r="AI36">
            <v>3266306.2710000002</v>
          </cell>
          <cell r="AJ36">
            <v>3317413.4849999999</v>
          </cell>
          <cell r="AK36">
            <v>3368996.2450000001</v>
          </cell>
          <cell r="AL36">
            <v>3420989.3119999999</v>
          </cell>
          <cell r="AM36">
            <v>3473346.6170000001</v>
          </cell>
          <cell r="AN36">
            <v>3526038.9730000002</v>
          </cell>
          <cell r="AO36">
            <v>3579049.307</v>
          </cell>
          <cell r="AP36">
            <v>3632370.0150000001</v>
          </cell>
          <cell r="AQ36">
            <v>3686001.38</v>
          </cell>
          <cell r="AR36">
            <v>3739949.9240000001</v>
          </cell>
          <cell r="AS36">
            <v>3794227.054</v>
          </cell>
          <cell r="AT36">
            <v>3848847.7930000001</v>
          </cell>
          <cell r="AU36">
            <v>3903829.6979999999</v>
          </cell>
          <cell r="AV36">
            <v>3959234.22</v>
          </cell>
          <cell r="AW36">
            <v>4015131.534</v>
          </cell>
          <cell r="AX36">
            <v>4071582.2749999999</v>
          </cell>
          <cell r="AY36">
            <v>4128630.92</v>
          </cell>
          <cell r="AZ36">
            <v>4186307.074</v>
          </cell>
          <cell r="BA36">
            <v>4389959.9960000003</v>
          </cell>
          <cell r="BB36">
            <v>4466700.5690000001</v>
          </cell>
          <cell r="BC36">
            <v>4544619.5580000002</v>
          </cell>
          <cell r="BD36">
            <v>4623723.8540000003</v>
          </cell>
          <cell r="BE36">
            <v>4704021.2580000004</v>
          </cell>
        </row>
        <row r="37">
          <cell r="B37">
            <v>1989198.4509999999</v>
          </cell>
          <cell r="C37">
            <v>2012543.064</v>
          </cell>
          <cell r="D37">
            <v>2036507.9509999999</v>
          </cell>
          <cell r="E37">
            <v>2061252.9879999999</v>
          </cell>
          <cell r="F37">
            <v>2086924.2039999999</v>
          </cell>
          <cell r="G37">
            <v>2113646.392</v>
          </cell>
          <cell r="H37">
            <v>2141443.0639999998</v>
          </cell>
          <cell r="I37">
            <v>2170336.8930000002</v>
          </cell>
          <cell r="J37">
            <v>2200348.0660000001</v>
          </cell>
          <cell r="K37">
            <v>2231490.327</v>
          </cell>
          <cell r="L37">
            <v>2263907.585</v>
          </cell>
          <cell r="M37">
            <v>2297560.213</v>
          </cell>
          <cell r="N37">
            <v>2332408.0559999999</v>
          </cell>
          <cell r="O37">
            <v>2368415.7919999999</v>
          </cell>
          <cell r="P37">
            <v>2405549.9500000002</v>
          </cell>
          <cell r="Q37">
            <v>2443778.2069999999</v>
          </cell>
          <cell r="R37">
            <v>2483069.9870000002</v>
          </cell>
          <cell r="S37">
            <v>2523397.2439999999</v>
          </cell>
          <cell r="T37">
            <v>2564734.9610000001</v>
          </cell>
          <cell r="U37">
            <v>2607061.2790000001</v>
          </cell>
          <cell r="V37">
            <v>2650252.503</v>
          </cell>
          <cell r="W37">
            <v>2694321.5639999998</v>
          </cell>
          <cell r="X37">
            <v>2739279.5469999998</v>
          </cell>
          <cell r="Y37">
            <v>2785132.1069999998</v>
          </cell>
          <cell r="Z37">
            <v>2831882.307</v>
          </cell>
          <cell r="AA37">
            <v>2879225.2059999998</v>
          </cell>
          <cell r="AB37">
            <v>2927100.3160000001</v>
          </cell>
          <cell r="AC37">
            <v>2975472.105</v>
          </cell>
          <cell r="AD37">
            <v>3024315.5279999999</v>
          </cell>
          <cell r="AE37">
            <v>3073615.75</v>
          </cell>
          <cell r="AF37">
            <v>3123367.1189999999</v>
          </cell>
          <cell r="AG37">
            <v>3173571.01</v>
          </cell>
          <cell r="AH37">
            <v>3224233.4130000002</v>
          </cell>
          <cell r="AI37">
            <v>3275362.8330000001</v>
          </cell>
          <cell r="AJ37">
            <v>3326968.7409999999</v>
          </cell>
          <cell r="AK37">
            <v>3379060.6150000002</v>
          </cell>
          <cell r="AL37">
            <v>3431571.8160000001</v>
          </cell>
          <cell r="AM37">
            <v>3484455.4279999998</v>
          </cell>
          <cell r="AN37">
            <v>3537681.2560000001</v>
          </cell>
          <cell r="AO37">
            <v>3591230.8569999998</v>
          </cell>
          <cell r="AP37">
            <v>3645095.11</v>
          </cell>
          <cell r="AQ37">
            <v>3699297.1430000002</v>
          </cell>
          <cell r="AR37">
            <v>3753873.9180000001</v>
          </cell>
          <cell r="AS37">
            <v>3808862.2880000002</v>
          </cell>
          <cell r="AT37">
            <v>3864292.6179999998</v>
          </cell>
          <cell r="AU37">
            <v>3920188.0410000002</v>
          </cell>
          <cell r="AV37">
            <v>3976573.355</v>
          </cell>
          <cell r="AW37">
            <v>4033468.7379999999</v>
          </cell>
          <cell r="AX37">
            <v>4090892.0049999999</v>
          </cell>
          <cell r="AY37">
            <v>4148860.2680000002</v>
          </cell>
          <cell r="AZ37">
            <v>4207390.7249999996</v>
          </cell>
          <cell r="BA37">
            <v>4416352.4210000001</v>
          </cell>
          <cell r="BB37">
            <v>4494341.6150000002</v>
          </cell>
          <cell r="BC37">
            <v>4573512.3600000003</v>
          </cell>
          <cell r="BD37">
            <v>4653871.7300000004</v>
          </cell>
          <cell r="BE37">
            <v>4735428.1529999999</v>
          </cell>
        </row>
        <row r="38">
          <cell r="B38">
            <v>436612.56949999998</v>
          </cell>
          <cell r="C38">
            <v>441832.5883</v>
          </cell>
          <cell r="D38">
            <v>447269.16830000002</v>
          </cell>
          <cell r="E38">
            <v>452940.48670000001</v>
          </cell>
          <cell r="F38">
            <v>458854.52159999998</v>
          </cell>
          <cell r="G38">
            <v>465014.78580000001</v>
          </cell>
          <cell r="H38">
            <v>471397.00309999997</v>
          </cell>
          <cell r="I38">
            <v>477991.63030000002</v>
          </cell>
          <cell r="J38">
            <v>484794.21429999999</v>
          </cell>
          <cell r="K38">
            <v>491801.6998</v>
          </cell>
          <cell r="L38">
            <v>499056.18190000003</v>
          </cell>
          <cell r="M38">
            <v>506526.23249999998</v>
          </cell>
          <cell r="N38">
            <v>514198.34490000003</v>
          </cell>
          <cell r="O38">
            <v>522065.85129999998</v>
          </cell>
          <cell r="P38">
            <v>530124.3162</v>
          </cell>
          <cell r="Q38">
            <v>538370.18830000004</v>
          </cell>
          <cell r="R38">
            <v>546800.47340000002</v>
          </cell>
          <cell r="S38">
            <v>555412.70079999999</v>
          </cell>
          <cell r="T38">
            <v>564204.91359999997</v>
          </cell>
          <cell r="U38">
            <v>573175.64859999996</v>
          </cell>
          <cell r="V38">
            <v>582290.03830000001</v>
          </cell>
          <cell r="W38">
            <v>591569.04819999996</v>
          </cell>
          <cell r="X38">
            <v>601020.42050000001</v>
          </cell>
          <cell r="Y38">
            <v>610647.00600000005</v>
          </cell>
          <cell r="Z38">
            <v>620450.2328</v>
          </cell>
          <cell r="AA38">
            <v>630332.54209999996</v>
          </cell>
          <cell r="AB38">
            <v>640310.81909999996</v>
          </cell>
          <cell r="AC38">
            <v>650391.58019999997</v>
          </cell>
          <cell r="AD38">
            <v>660577.09710000001</v>
          </cell>
          <cell r="AE38">
            <v>670868.69510000001</v>
          </cell>
          <cell r="AF38">
            <v>681267.7193</v>
          </cell>
          <cell r="AG38">
            <v>691775.70669999998</v>
          </cell>
          <cell r="AH38">
            <v>702394.31180000002</v>
          </cell>
          <cell r="AI38">
            <v>713125.20400000003</v>
          </cell>
          <cell r="AJ38">
            <v>723969.99419999996</v>
          </cell>
          <cell r="AK38">
            <v>734930.20550000004</v>
          </cell>
          <cell r="AL38">
            <v>745983.1594</v>
          </cell>
          <cell r="AM38">
            <v>757121.26769999997</v>
          </cell>
          <cell r="AN38">
            <v>768342.60979999998</v>
          </cell>
          <cell r="AO38">
            <v>779647.36710000003</v>
          </cell>
          <cell r="AP38">
            <v>791036.72019999998</v>
          </cell>
          <cell r="AQ38">
            <v>802512.50360000005</v>
          </cell>
          <cell r="AR38">
            <v>814077.05330000003</v>
          </cell>
          <cell r="AS38">
            <v>825733.11600000004</v>
          </cell>
          <cell r="AT38">
            <v>837483.76870000002</v>
          </cell>
          <cell r="AU38">
            <v>849332.34979999997</v>
          </cell>
          <cell r="AV38">
            <v>861290.96120000002</v>
          </cell>
          <cell r="AW38">
            <v>873371.32849999995</v>
          </cell>
          <cell r="AX38">
            <v>885582.71880000003</v>
          </cell>
          <cell r="AY38">
            <v>897931.46349999995</v>
          </cell>
          <cell r="AZ38">
            <v>910421.44739999995</v>
          </cell>
          <cell r="BA38">
            <v>969386.38840000005</v>
          </cell>
          <cell r="BB38">
            <v>986705.67310000001</v>
          </cell>
          <cell r="BC38">
            <v>1004324.552</v>
          </cell>
          <cell r="BD38">
            <v>1022245.498</v>
          </cell>
          <cell r="BE38">
            <v>1040471.069</v>
          </cell>
        </row>
        <row r="39">
          <cell r="B39">
            <v>436614.95520000003</v>
          </cell>
          <cell r="C39">
            <v>441839.7427</v>
          </cell>
          <cell r="D39">
            <v>447282.55339999998</v>
          </cell>
          <cell r="E39">
            <v>452960.88589999999</v>
          </cell>
          <cell r="F39">
            <v>458882.57199999999</v>
          </cell>
          <cell r="G39">
            <v>465051.37319999997</v>
          </cell>
          <cell r="H39">
            <v>471443.35009999998</v>
          </cell>
          <cell r="I39">
            <v>478049.21130000002</v>
          </cell>
          <cell r="J39">
            <v>484864.5992</v>
          </cell>
          <cell r="K39">
            <v>491886.39730000001</v>
          </cell>
          <cell r="L39">
            <v>499156.53820000001</v>
          </cell>
          <cell r="M39">
            <v>506643.3247</v>
          </cell>
          <cell r="N39">
            <v>514332.95370000001</v>
          </cell>
          <cell r="O39">
            <v>522218.47159999999</v>
          </cell>
          <cell r="P39">
            <v>530295.18550000002</v>
          </cell>
          <cell r="Q39">
            <v>538559.32149999996</v>
          </cell>
          <cell r="R39">
            <v>547007.7071</v>
          </cell>
          <cell r="S39">
            <v>555637.73060000001</v>
          </cell>
          <cell r="T39">
            <v>564447.34030000004</v>
          </cell>
          <cell r="U39">
            <v>573435.02240000002</v>
          </cell>
          <cell r="V39">
            <v>582565.87419999996</v>
          </cell>
          <cell r="W39">
            <v>591860.89789999998</v>
          </cell>
          <cell r="X39">
            <v>601327.88269999996</v>
          </cell>
          <cell r="Y39">
            <v>610969.73100000003</v>
          </cell>
          <cell r="Z39">
            <v>620787.92440000002</v>
          </cell>
          <cell r="AA39">
            <v>630684.88190000004</v>
          </cell>
          <cell r="AB39">
            <v>640677.55790000001</v>
          </cell>
          <cell r="AC39">
            <v>650772.52709999995</v>
          </cell>
          <cell r="AD39">
            <v>660972.09719999996</v>
          </cell>
          <cell r="AE39">
            <v>671277.6067</v>
          </cell>
          <cell r="AF39">
            <v>681690.39659999998</v>
          </cell>
          <cell r="AG39">
            <v>692211.98380000005</v>
          </cell>
          <cell r="AH39">
            <v>702843.99560000002</v>
          </cell>
          <cell r="AI39">
            <v>713588.06850000005</v>
          </cell>
          <cell r="AJ39">
            <v>724445.77819999994</v>
          </cell>
          <cell r="AK39">
            <v>735418.61309999996</v>
          </cell>
          <cell r="AL39">
            <v>746483.80819999997</v>
          </cell>
          <cell r="AM39">
            <v>757633.71900000004</v>
          </cell>
          <cell r="AN39">
            <v>768866.34530000004</v>
          </cell>
          <cell r="AO39">
            <v>780181.75829999999</v>
          </cell>
          <cell r="AP39">
            <v>791581.01820000005</v>
          </cell>
          <cell r="AQ39">
            <v>803070.20589999994</v>
          </cell>
          <cell r="AR39">
            <v>814656.55920000002</v>
          </cell>
          <cell r="AS39">
            <v>826346.36430000002</v>
          </cell>
          <cell r="AT39">
            <v>838144.30059999996</v>
          </cell>
          <cell r="AU39">
            <v>850053.61199999996</v>
          </cell>
          <cell r="AV39">
            <v>862078.78209999995</v>
          </cell>
          <cell r="AW39">
            <v>874222.43220000004</v>
          </cell>
          <cell r="AX39">
            <v>886486.54790000001</v>
          </cell>
          <cell r="AY39">
            <v>898873.03200000001</v>
          </cell>
          <cell r="AZ39">
            <v>911383.92700000003</v>
          </cell>
          <cell r="BA39">
            <v>974839.33270000003</v>
          </cell>
          <cell r="BB39">
            <v>992423.24210000003</v>
          </cell>
          <cell r="BC39">
            <v>1010309.076</v>
          </cell>
          <cell r="BD39">
            <v>1028499.486</v>
          </cell>
          <cell r="BE39">
            <v>1046997.275</v>
          </cell>
        </row>
        <row r="40">
          <cell r="B40">
            <v>5636.5034480000004</v>
          </cell>
          <cell r="C40">
            <v>5702.0733360000004</v>
          </cell>
          <cell r="D40">
            <v>5768.60268</v>
          </cell>
          <cell r="E40">
            <v>5836.5833039999998</v>
          </cell>
          <cell r="F40">
            <v>5906.5203799999999</v>
          </cell>
          <cell r="G40">
            <v>5978.85142</v>
          </cell>
          <cell r="H40">
            <v>6053.695702</v>
          </cell>
          <cell r="I40">
            <v>6131.1703829999997</v>
          </cell>
          <cell r="J40">
            <v>6211.3819910000002</v>
          </cell>
          <cell r="K40">
            <v>6294.4126660000002</v>
          </cell>
          <cell r="L40">
            <v>6380.7228869999999</v>
          </cell>
          <cell r="M40">
            <v>6470.1973900000003</v>
          </cell>
          <cell r="N40">
            <v>6562.7366579999998</v>
          </cell>
          <cell r="O40">
            <v>6658.2704560000002</v>
          </cell>
          <cell r="P40">
            <v>6756.739646</v>
          </cell>
          <cell r="Q40">
            <v>6858.0885090000002</v>
          </cell>
          <cell r="R40">
            <v>6962.2640950000005</v>
          </cell>
          <cell r="S40">
            <v>7069.2171150000004</v>
          </cell>
          <cell r="T40">
            <v>7178.90326</v>
          </cell>
          <cell r="U40">
            <v>7291.2840850000002</v>
          </cell>
          <cell r="V40">
            <v>7406.0208080000002</v>
          </cell>
          <cell r="W40">
            <v>7523.1973580000003</v>
          </cell>
          <cell r="X40">
            <v>7642.8767760000001</v>
          </cell>
          <cell r="Y40">
            <v>7765.0935410000002</v>
          </cell>
          <cell r="Z40">
            <v>7889.8695470000002</v>
          </cell>
          <cell r="AA40">
            <v>8016.3276619999997</v>
          </cell>
          <cell r="AB40">
            <v>8144.3776269999998</v>
          </cell>
          <cell r="AC40">
            <v>8273.9961440000006</v>
          </cell>
          <cell r="AD40">
            <v>8405.1712690000004</v>
          </cell>
          <cell r="AE40">
            <v>8537.9051820000004</v>
          </cell>
          <cell r="AF40">
            <v>8672.2154559999999</v>
          </cell>
          <cell r="AG40">
            <v>8808.1320159999996</v>
          </cell>
          <cell r="AH40">
            <v>8945.6925319999991</v>
          </cell>
          <cell r="AI40">
            <v>9084.9377779999995</v>
          </cell>
          <cell r="AJ40">
            <v>9225.9078310000004</v>
          </cell>
          <cell r="AK40">
            <v>9368.6394039999996</v>
          </cell>
          <cell r="AL40">
            <v>9512.9429550000004</v>
          </cell>
          <cell r="AM40">
            <v>9658.6999820000001</v>
          </cell>
          <cell r="AN40">
            <v>9805.8451609999993</v>
          </cell>
          <cell r="AO40">
            <v>9954.3432119999998</v>
          </cell>
          <cell r="AP40">
            <v>10104.1774</v>
          </cell>
          <cell r="AQ40">
            <v>10255.343800000001</v>
          </cell>
          <cell r="AR40">
            <v>10407.84799</v>
          </cell>
          <cell r="AS40">
            <v>10561.70239</v>
          </cell>
          <cell r="AT40">
            <v>10716.923870000001</v>
          </cell>
          <cell r="AU40">
            <v>10873.53196</v>
          </cell>
          <cell r="AV40">
            <v>11031.620500000001</v>
          </cell>
          <cell r="AW40">
            <v>11191.313889999999</v>
          </cell>
          <cell r="AX40">
            <v>11352.73919</v>
          </cell>
          <cell r="AY40">
            <v>11516.007229999999</v>
          </cell>
          <cell r="AZ40">
            <v>11681.206109999999</v>
          </cell>
          <cell r="BA40">
            <v>12147.36292</v>
          </cell>
          <cell r="BB40">
            <v>12363.873009999999</v>
          </cell>
          <cell r="BC40">
            <v>12584.15033</v>
          </cell>
          <cell r="BD40">
            <v>12808.216270000001</v>
          </cell>
          <cell r="BE40">
            <v>13036.09304</v>
          </cell>
        </row>
        <row r="41">
          <cell r="B41">
            <v>5636.5056560000003</v>
          </cell>
          <cell r="C41">
            <v>5702.0808260000003</v>
          </cell>
          <cell r="D41">
            <v>5768.6199640000004</v>
          </cell>
          <cell r="E41">
            <v>5836.6153359999998</v>
          </cell>
          <cell r="F41">
            <v>5906.5741200000002</v>
          </cell>
          <cell r="G41">
            <v>5978.9382999999998</v>
          </cell>
          <cell r="H41">
            <v>6053.8335690000004</v>
          </cell>
          <cell r="I41">
            <v>6131.3838660000001</v>
          </cell>
          <cell r="J41">
            <v>6211.7015959999999</v>
          </cell>
          <cell r="K41">
            <v>6294.8733179999999</v>
          </cell>
          <cell r="L41">
            <v>6381.3627049999996</v>
          </cell>
          <cell r="M41">
            <v>6471.0558920000003</v>
          </cell>
          <cell r="N41">
            <v>6563.8539469999996</v>
          </cell>
          <cell r="O41">
            <v>6659.6868059999997</v>
          </cell>
          <cell r="P41">
            <v>6758.4953189999997</v>
          </cell>
          <cell r="Q41">
            <v>6860.2237240000004</v>
          </cell>
          <cell r="R41">
            <v>6964.8187500000004</v>
          </cell>
          <cell r="S41">
            <v>7072.2308849999999</v>
          </cell>
          <cell r="T41">
            <v>7182.4157590000004</v>
          </cell>
          <cell r="U41">
            <v>7295.335016</v>
          </cell>
          <cell r="V41">
            <v>7410.6495450000002</v>
          </cell>
          <cell r="W41">
            <v>7528.443765</v>
          </cell>
          <cell r="X41">
            <v>7648.7812029999996</v>
          </cell>
          <cell r="Y41">
            <v>7771.6967860000004</v>
          </cell>
          <cell r="Z41">
            <v>7897.2128380000004</v>
          </cell>
          <cell r="AA41">
            <v>8024.4505499999996</v>
          </cell>
          <cell r="AB41">
            <v>8153.3199729999997</v>
          </cell>
          <cell r="AC41">
            <v>8283.7981959999997</v>
          </cell>
          <cell r="AD41">
            <v>8415.8735379999998</v>
          </cell>
          <cell r="AE41">
            <v>8549.5483089999998</v>
          </cell>
          <cell r="AF41">
            <v>8684.8401059999997</v>
          </cell>
          <cell r="AG41">
            <v>8821.7788839999994</v>
          </cell>
          <cell r="AH41">
            <v>8960.4022789999999</v>
          </cell>
          <cell r="AI41">
            <v>9100.7509559999999</v>
          </cell>
          <cell r="AJ41">
            <v>9242.864818</v>
          </cell>
          <cell r="AK41">
            <v>9386.780358</v>
          </cell>
          <cell r="AL41">
            <v>9532.3076060000003</v>
          </cell>
          <cell r="AM41">
            <v>9679.3276189999997</v>
          </cell>
          <cell r="AN41">
            <v>9827.7752149999997</v>
          </cell>
          <cell r="AO41">
            <v>9977.6155949999993</v>
          </cell>
          <cell r="AP41">
            <v>10128.83215</v>
          </cell>
          <cell r="AQ41">
            <v>10281.45666</v>
          </cell>
          <cell r="AR41">
            <v>10435.55522</v>
          </cell>
          <cell r="AS41">
            <v>10591.206099999999</v>
          </cell>
          <cell r="AT41">
            <v>10748.48335</v>
          </cell>
          <cell r="AU41">
            <v>10907.449689999999</v>
          </cell>
          <cell r="AV41">
            <v>11068.176310000001</v>
          </cell>
          <cell r="AW41">
            <v>11230.717699999999</v>
          </cell>
          <cell r="AX41">
            <v>11395.11614</v>
          </cell>
          <cell r="AY41">
            <v>11561.40603</v>
          </cell>
          <cell r="AZ41">
            <v>11729.616319999999</v>
          </cell>
          <cell r="BA41">
            <v>12237.932129999999</v>
          </cell>
          <cell r="BB41">
            <v>12459.11011</v>
          </cell>
          <cell r="BC41">
            <v>12684.09014</v>
          </cell>
          <cell r="BD41">
            <v>12912.89061</v>
          </cell>
          <cell r="BE41">
            <v>13145.53176</v>
          </cell>
        </row>
        <row r="42">
          <cell r="B42">
            <v>22396.563300000002</v>
          </cell>
          <cell r="C42">
            <v>22652.475549999999</v>
          </cell>
          <cell r="D42">
            <v>22904.169679999999</v>
          </cell>
          <cell r="E42">
            <v>23152.033080000001</v>
          </cell>
          <cell r="F42">
            <v>23397.96358</v>
          </cell>
          <cell r="G42">
            <v>23644.200219999999</v>
          </cell>
          <cell r="H42">
            <v>23891.932509999999</v>
          </cell>
          <cell r="I42">
            <v>24142.329839999999</v>
          </cell>
          <cell r="J42">
            <v>24396.383819999999</v>
          </cell>
          <cell r="K42">
            <v>24654.861489999999</v>
          </cell>
          <cell r="L42">
            <v>24919.78947</v>
          </cell>
          <cell r="M42">
            <v>25190.9326</v>
          </cell>
          <cell r="N42">
            <v>25468.220730000001</v>
          </cell>
          <cell r="O42">
            <v>25751.691040000002</v>
          </cell>
          <cell r="P42">
            <v>26041.39788</v>
          </cell>
          <cell r="Q42">
            <v>26337.381389999999</v>
          </cell>
          <cell r="R42">
            <v>26639.6679</v>
          </cell>
          <cell r="S42">
            <v>26948.2664</v>
          </cell>
          <cell r="T42">
            <v>27263.173220000001</v>
          </cell>
          <cell r="U42">
            <v>27584.376649999998</v>
          </cell>
          <cell r="V42">
            <v>27910.780610000002</v>
          </cell>
          <cell r="W42">
            <v>28242.853879999999</v>
          </cell>
          <cell r="X42">
            <v>28580.855579999999</v>
          </cell>
          <cell r="Y42">
            <v>28924.903129999999</v>
          </cell>
          <cell r="Z42">
            <v>29275.056250000001</v>
          </cell>
          <cell r="AA42">
            <v>29628.2307</v>
          </cell>
          <cell r="AB42">
            <v>29984.383099999999</v>
          </cell>
          <cell r="AC42">
            <v>30343.510490000001</v>
          </cell>
          <cell r="AD42">
            <v>30705.570039999999</v>
          </cell>
          <cell r="AE42">
            <v>31070.531889999998</v>
          </cell>
          <cell r="AF42">
            <v>31438.40164</v>
          </cell>
          <cell r="AG42">
            <v>31809.22119</v>
          </cell>
          <cell r="AH42">
            <v>32183.065190000001</v>
          </cell>
          <cell r="AI42">
            <v>32560.033469999998</v>
          </cell>
          <cell r="AJ42">
            <v>32940.243499999997</v>
          </cell>
          <cell r="AK42">
            <v>33323.824119999997</v>
          </cell>
          <cell r="AL42">
            <v>33710.1414</v>
          </cell>
          <cell r="AM42">
            <v>34098.905890000002</v>
          </cell>
          <cell r="AN42">
            <v>34490.024660000003</v>
          </cell>
          <cell r="AO42">
            <v>34883.500229999998</v>
          </cell>
          <cell r="AP42">
            <v>35279.388339999998</v>
          </cell>
          <cell r="AQ42">
            <v>35677.777650000004</v>
          </cell>
          <cell r="AR42">
            <v>36078.78357</v>
          </cell>
          <cell r="AS42">
            <v>36482.541660000003</v>
          </cell>
          <cell r="AT42">
            <v>36889.201840000002</v>
          </cell>
          <cell r="AU42">
            <v>37298.923510000001</v>
          </cell>
          <cell r="AV42">
            <v>37711.838109999997</v>
          </cell>
          <cell r="AW42">
            <v>38128.065779999997</v>
          </cell>
          <cell r="AX42">
            <v>38547.766280000003</v>
          </cell>
          <cell r="AY42">
            <v>38971.140950000001</v>
          </cell>
          <cell r="AZ42">
            <v>39398.418400000002</v>
          </cell>
          <cell r="BA42">
            <v>42085.823779999999</v>
          </cell>
          <cell r="BB42">
            <v>42720.464610000003</v>
          </cell>
          <cell r="BC42">
            <v>43365.87472</v>
          </cell>
          <cell r="BD42">
            <v>44022.131200000003</v>
          </cell>
          <cell r="BE42">
            <v>44689.325839999998</v>
          </cell>
        </row>
        <row r="43">
          <cell r="B43">
            <v>22396.309850000001</v>
          </cell>
          <cell r="C43">
            <v>22651.371149999999</v>
          </cell>
          <cell r="D43">
            <v>22901.68707</v>
          </cell>
          <cell r="E43">
            <v>23147.753779999999</v>
          </cell>
          <cell r="F43">
            <v>23391.514029999998</v>
          </cell>
          <cell r="G43">
            <v>23635.178899999999</v>
          </cell>
          <cell r="H43">
            <v>23879.925220000001</v>
          </cell>
          <cell r="I43">
            <v>24126.931690000001</v>
          </cell>
          <cell r="J43">
            <v>24377.21081</v>
          </cell>
          <cell r="K43">
            <v>24631.554960000001</v>
          </cell>
          <cell r="L43">
            <v>24892.014660000001</v>
          </cell>
          <cell r="M43">
            <v>25158.373940000001</v>
          </cell>
          <cell r="N43">
            <v>25430.580300000001</v>
          </cell>
          <cell r="O43">
            <v>25708.686559999998</v>
          </cell>
          <cell r="P43">
            <v>25992.761930000001</v>
          </cell>
          <cell r="Q43">
            <v>26282.863870000001</v>
          </cell>
          <cell r="R43">
            <v>26579.034189999998</v>
          </cell>
          <cell r="S43">
            <v>26881.301449999999</v>
          </cell>
          <cell r="T43">
            <v>27189.683720000001</v>
          </cell>
          <cell r="U43">
            <v>27504.19083</v>
          </cell>
          <cell r="V43">
            <v>27823.74899</v>
          </cell>
          <cell r="W43">
            <v>28148.843270000001</v>
          </cell>
          <cell r="X43">
            <v>28479.746070000001</v>
          </cell>
          <cell r="Y43">
            <v>28816.585760000002</v>
          </cell>
          <cell r="Z43">
            <v>29159.431410000001</v>
          </cell>
          <cell r="AA43">
            <v>29505.216260000001</v>
          </cell>
          <cell r="AB43">
            <v>29853.909039999999</v>
          </cell>
          <cell r="AC43">
            <v>30205.5164</v>
          </cell>
          <cell r="AD43">
            <v>30560.0039</v>
          </cell>
          <cell r="AE43">
            <v>30917.349579999998</v>
          </cell>
          <cell r="AF43">
            <v>31277.56695</v>
          </cell>
          <cell r="AG43">
            <v>31640.70752</v>
          </cell>
          <cell r="AH43">
            <v>32006.855380000001</v>
          </cell>
          <cell r="AI43">
            <v>32376.11939</v>
          </cell>
          <cell r="AJ43">
            <v>32748.625810000001</v>
          </cell>
          <cell r="AK43">
            <v>33124.511899999998</v>
          </cell>
          <cell r="AL43">
            <v>33503.16923</v>
          </cell>
          <cell r="AM43">
            <v>33884.327949999999</v>
          </cell>
          <cell r="AN43">
            <v>34267.938900000001</v>
          </cell>
          <cell r="AO43">
            <v>34654.072379999998</v>
          </cell>
          <cell r="AP43">
            <v>35042.854679999997</v>
          </cell>
          <cell r="AQ43">
            <v>35434.357539999997</v>
          </cell>
          <cell r="AR43">
            <v>35828.643150000004</v>
          </cell>
          <cell r="AS43">
            <v>36225.79017</v>
          </cell>
          <cell r="AT43">
            <v>36625.907299999999</v>
          </cell>
          <cell r="AU43">
            <v>37029.138529999997</v>
          </cell>
          <cell r="AV43">
            <v>37435.727939999997</v>
          </cell>
          <cell r="AW43">
            <v>37845.912900000003</v>
          </cell>
          <cell r="AX43">
            <v>38259.927669999997</v>
          </cell>
          <cell r="AY43">
            <v>38678.003389999998</v>
          </cell>
          <cell r="AZ43">
            <v>39100.364979999998</v>
          </cell>
          <cell r="BA43">
            <v>42263.765290000003</v>
          </cell>
          <cell r="BB43">
            <v>42902.801449999999</v>
          </cell>
          <cell r="BC43">
            <v>43552.226329999998</v>
          </cell>
          <cell r="BD43">
            <v>44212.114000000001</v>
          </cell>
          <cell r="BE43">
            <v>44882.554239999998</v>
          </cell>
        </row>
        <row r="44">
          <cell r="B44">
            <v>1608.5127649999999</v>
          </cell>
          <cell r="C44">
            <v>1626.6365800000001</v>
          </cell>
          <cell r="D44">
            <v>1644.1399530000001</v>
          </cell>
          <cell r="E44">
            <v>1661.075376</v>
          </cell>
          <cell r="F44">
            <v>1677.6421620000001</v>
          </cell>
          <cell r="G44">
            <v>1694.064766</v>
          </cell>
          <cell r="H44">
            <v>1710.4878080000001</v>
          </cell>
          <cell r="I44">
            <v>1727.036967</v>
          </cell>
          <cell r="J44">
            <v>1743.810336</v>
          </cell>
          <cell r="K44">
            <v>1760.87995</v>
          </cell>
          <cell r="L44">
            <v>1778.3879199999999</v>
          </cell>
          <cell r="M44">
            <v>1796.330222</v>
          </cell>
          <cell r="N44">
            <v>1814.711687</v>
          </cell>
          <cell r="O44">
            <v>1833.5399090000001</v>
          </cell>
          <cell r="P44">
            <v>1852.820612</v>
          </cell>
          <cell r="Q44">
            <v>1872.5567410000001</v>
          </cell>
          <cell r="R44">
            <v>1892.7490889999999</v>
          </cell>
          <cell r="S44">
            <v>1913.3965479999999</v>
          </cell>
          <cell r="T44">
            <v>1934.4966770000001</v>
          </cell>
          <cell r="U44">
            <v>1956.046112</v>
          </cell>
          <cell r="V44">
            <v>1977.9736539999999</v>
          </cell>
          <cell r="W44">
            <v>2000.305114</v>
          </cell>
          <cell r="X44">
            <v>2023.0512570000001</v>
          </cell>
          <cell r="Y44">
            <v>2046.214743</v>
          </cell>
          <cell r="Z44">
            <v>2069.7952479999999</v>
          </cell>
          <cell r="AA44">
            <v>2093.5969409999998</v>
          </cell>
          <cell r="AB44">
            <v>2117.6134160000001</v>
          </cell>
          <cell r="AC44">
            <v>2141.8357930000002</v>
          </cell>
          <cell r="AD44">
            <v>2166.2529800000002</v>
          </cell>
          <cell r="AE44">
            <v>2190.855759</v>
          </cell>
          <cell r="AF44">
            <v>2215.6381719999999</v>
          </cell>
          <cell r="AG44">
            <v>2240.5974580000002</v>
          </cell>
          <cell r="AH44">
            <v>2265.733686</v>
          </cell>
          <cell r="AI44">
            <v>2291.0491470000002</v>
          </cell>
          <cell r="AJ44">
            <v>2316.5478010000002</v>
          </cell>
          <cell r="AK44">
            <v>2342.2348189999998</v>
          </cell>
          <cell r="AL44">
            <v>2368.068522</v>
          </cell>
          <cell r="AM44">
            <v>2394.02925</v>
          </cell>
          <cell r="AN44">
            <v>2420.1087779999998</v>
          </cell>
          <cell r="AO44">
            <v>2446.3045809999999</v>
          </cell>
          <cell r="AP44">
            <v>2472.617698</v>
          </cell>
          <cell r="AQ44">
            <v>2499.0517679999998</v>
          </cell>
          <cell r="AR44">
            <v>2525.612693</v>
          </cell>
          <cell r="AS44">
            <v>2552.3081950000001</v>
          </cell>
          <cell r="AT44">
            <v>2579.147391</v>
          </cell>
          <cell r="AU44">
            <v>2606.1404130000001</v>
          </cell>
          <cell r="AV44">
            <v>2633.2966710000001</v>
          </cell>
          <cell r="AW44">
            <v>2660.6246070000002</v>
          </cell>
          <cell r="AX44">
            <v>2688.1344450000001</v>
          </cell>
          <cell r="AY44">
            <v>2715.8382569999999</v>
          </cell>
          <cell r="AZ44">
            <v>2743.7492569999999</v>
          </cell>
          <cell r="BA44">
            <v>2954.5719279999998</v>
          </cell>
          <cell r="BB44">
            <v>2997.2094339999999</v>
          </cell>
          <cell r="BC44">
            <v>3040.5167059999999</v>
          </cell>
          <cell r="BD44">
            <v>3084.4992379999999</v>
          </cell>
          <cell r="BE44">
            <v>3129.163877</v>
          </cell>
        </row>
        <row r="45">
          <cell r="B45">
            <v>1608.496146</v>
          </cell>
          <cell r="C45">
            <v>1626.591686</v>
          </cell>
          <cell r="D45">
            <v>1644.058853</v>
          </cell>
          <cell r="E45">
            <v>1660.951603</v>
          </cell>
          <cell r="F45">
            <v>1677.4695489999999</v>
          </cell>
          <cell r="G45">
            <v>1693.836939</v>
          </cell>
          <cell r="H45">
            <v>1710.198175</v>
          </cell>
          <cell r="I45">
            <v>1726.678868</v>
          </cell>
          <cell r="J45">
            <v>1743.377146</v>
          </cell>
          <cell r="K45">
            <v>1760.365133</v>
          </cell>
          <cell r="L45">
            <v>1777.784979</v>
          </cell>
          <cell r="M45">
            <v>1795.6325850000001</v>
          </cell>
          <cell r="N45">
            <v>1813.9128410000001</v>
          </cell>
          <cell r="O45">
            <v>1832.6334810000001</v>
          </cell>
          <cell r="P45">
            <v>1851.800428</v>
          </cell>
          <cell r="Q45">
            <v>1871.4168709999999</v>
          </cell>
          <cell r="R45">
            <v>1891.483639</v>
          </cell>
          <cell r="S45">
            <v>1911.999793</v>
          </cell>
          <cell r="T45">
            <v>1932.9631159999999</v>
          </cell>
          <cell r="U45">
            <v>1954.3704729999999</v>
          </cell>
          <cell r="V45">
            <v>1976.1509570000001</v>
          </cell>
          <cell r="W45">
            <v>1998.3304989999999</v>
          </cell>
          <cell r="X45">
            <v>2020.9199269999999</v>
          </cell>
          <cell r="Y45">
            <v>2043.92192</v>
          </cell>
          <cell r="Z45">
            <v>2067.3361300000001</v>
          </cell>
          <cell r="AA45">
            <v>2090.9670350000001</v>
          </cell>
          <cell r="AB45">
            <v>2114.808344</v>
          </cell>
          <cell r="AC45">
            <v>2138.8511570000001</v>
          </cell>
          <cell r="AD45">
            <v>2163.0843030000001</v>
          </cell>
          <cell r="AE45">
            <v>2187.4984629999999</v>
          </cell>
          <cell r="AF45">
            <v>2212.0875649999998</v>
          </cell>
          <cell r="AG45">
            <v>2236.8488010000001</v>
          </cell>
          <cell r="AH45">
            <v>2261.7821549999999</v>
          </cell>
          <cell r="AI45">
            <v>2286.889811</v>
          </cell>
          <cell r="AJ45">
            <v>2312.1756009999999</v>
          </cell>
          <cell r="AK45">
            <v>2337.6445600000002</v>
          </cell>
          <cell r="AL45">
            <v>2363.2556690000001</v>
          </cell>
          <cell r="AM45">
            <v>2388.98956</v>
          </cell>
          <cell r="AN45">
            <v>2414.83817</v>
          </cell>
          <cell r="AO45">
            <v>2440.799129</v>
          </cell>
          <cell r="AP45">
            <v>2466.873599</v>
          </cell>
          <cell r="AQ45">
            <v>2493.0614850000002</v>
          </cell>
          <cell r="AR45">
            <v>2519.364853</v>
          </cell>
          <cell r="AS45">
            <v>2545.7890459999999</v>
          </cell>
          <cell r="AT45">
            <v>2572.3422500000001</v>
          </cell>
          <cell r="AU45">
            <v>2599.0347080000001</v>
          </cell>
          <cell r="AV45">
            <v>2625.8822599999999</v>
          </cell>
          <cell r="AW45">
            <v>2652.8996999999999</v>
          </cell>
          <cell r="AX45">
            <v>2680.101365</v>
          </cell>
          <cell r="AY45">
            <v>2707.5013800000002</v>
          </cell>
          <cell r="AZ45">
            <v>2735.1136320000001</v>
          </cell>
          <cell r="BA45">
            <v>2960.7927679999998</v>
          </cell>
          <cell r="BB45">
            <v>3003.4283660000001</v>
          </cell>
          <cell r="BC45">
            <v>3046.7030380000001</v>
          </cell>
          <cell r="BD45">
            <v>3090.6219099999998</v>
          </cell>
          <cell r="BE45">
            <v>3135.1914139999999</v>
          </cell>
        </row>
        <row r="46">
          <cell r="B46">
            <v>534.42220229999998</v>
          </cell>
          <cell r="C46">
            <v>540.63815890000001</v>
          </cell>
          <cell r="D46">
            <v>546.8886986</v>
          </cell>
          <cell r="E46">
            <v>553.16599380000002</v>
          </cell>
          <cell r="F46">
            <v>559.48179649999997</v>
          </cell>
          <cell r="G46">
            <v>565.85729400000002</v>
          </cell>
          <cell r="H46">
            <v>572.29250549999995</v>
          </cell>
          <cell r="I46">
            <v>578.79507309999997</v>
          </cell>
          <cell r="J46">
            <v>585.3758967</v>
          </cell>
          <cell r="K46">
            <v>592.04559010000003</v>
          </cell>
          <cell r="L46">
            <v>598.85365109999998</v>
          </cell>
          <cell r="M46">
            <v>605.790752</v>
          </cell>
          <cell r="N46">
            <v>612.85095330000001</v>
          </cell>
          <cell r="O46">
            <v>620.03279339999995</v>
          </cell>
          <cell r="P46">
            <v>627.33669350000002</v>
          </cell>
          <cell r="Q46">
            <v>634.76361269999995</v>
          </cell>
          <cell r="R46">
            <v>642.31482159999996</v>
          </cell>
          <cell r="S46">
            <v>649.99147860000005</v>
          </cell>
          <cell r="T46">
            <v>657.7946445</v>
          </cell>
          <cell r="U46">
            <v>665.72536679999996</v>
          </cell>
          <cell r="V46">
            <v>673.75509009999996</v>
          </cell>
          <cell r="W46">
            <v>681.89745960000005</v>
          </cell>
          <cell r="X46">
            <v>690.16250390000005</v>
          </cell>
          <cell r="Y46">
            <v>698.55616689999999</v>
          </cell>
          <cell r="Z46">
            <v>707.08241420000002</v>
          </cell>
          <cell r="AA46">
            <v>715.65905669999995</v>
          </cell>
          <cell r="AB46">
            <v>724.28404439999997</v>
          </cell>
          <cell r="AC46">
            <v>732.96072460000005</v>
          </cell>
          <cell r="AD46">
            <v>741.69181270000001</v>
          </cell>
          <cell r="AE46">
            <v>750.47998870000004</v>
          </cell>
          <cell r="AF46">
            <v>759.32841350000001</v>
          </cell>
          <cell r="AG46">
            <v>768.24077339999997</v>
          </cell>
          <cell r="AH46">
            <v>777.22129930000006</v>
          </cell>
          <cell r="AI46">
            <v>786.27463499999999</v>
          </cell>
          <cell r="AJ46">
            <v>795.40568789999998</v>
          </cell>
          <cell r="AK46">
            <v>804.61949570000002</v>
          </cell>
          <cell r="AL46">
            <v>813.90003639999998</v>
          </cell>
          <cell r="AM46">
            <v>823.23983480000004</v>
          </cell>
          <cell r="AN46">
            <v>832.63734109999996</v>
          </cell>
          <cell r="AO46">
            <v>842.09400270000003</v>
          </cell>
          <cell r="AP46">
            <v>851.61281159999999</v>
          </cell>
          <cell r="AQ46">
            <v>861.1975132</v>
          </cell>
          <cell r="AR46">
            <v>870.85241719999999</v>
          </cell>
          <cell r="AS46">
            <v>880.5822081</v>
          </cell>
          <cell r="AT46">
            <v>890.39179650000005</v>
          </cell>
          <cell r="AU46">
            <v>900.28620679999995</v>
          </cell>
          <cell r="AV46">
            <v>910.26912249999998</v>
          </cell>
          <cell r="AW46">
            <v>920.34393320000004</v>
          </cell>
          <cell r="AX46">
            <v>930.51528940000003</v>
          </cell>
          <cell r="AY46">
            <v>940.7892362</v>
          </cell>
          <cell r="AZ46">
            <v>951.17278690000001</v>
          </cell>
          <cell r="BA46">
            <v>998.87981119999995</v>
          </cell>
          <cell r="BB46">
            <v>1013.927822</v>
          </cell>
          <cell r="BC46">
            <v>1029.2544969999999</v>
          </cell>
          <cell r="BD46">
            <v>1044.8615030000001</v>
          </cell>
          <cell r="BE46">
            <v>1060.750681</v>
          </cell>
        </row>
        <row r="47">
          <cell r="B47">
            <v>534.41285630000004</v>
          </cell>
          <cell r="C47">
            <v>540.58470920000002</v>
          </cell>
          <cell r="D47">
            <v>546.75847899999997</v>
          </cell>
          <cell r="E47">
            <v>552.93346150000002</v>
          </cell>
          <cell r="F47">
            <v>559.12550799999997</v>
          </cell>
          <cell r="G47">
            <v>565.35492180000006</v>
          </cell>
          <cell r="H47">
            <v>571.62388820000001</v>
          </cell>
          <cell r="I47">
            <v>577.94426450000003</v>
          </cell>
          <cell r="J47">
            <v>584.33124959999998</v>
          </cell>
          <cell r="K47">
            <v>590.79893200000004</v>
          </cell>
          <cell r="L47">
            <v>597.39918939999995</v>
          </cell>
          <cell r="M47">
            <v>604.12411380000003</v>
          </cell>
          <cell r="N47">
            <v>610.96859959999995</v>
          </cell>
          <cell r="O47">
            <v>617.93162700000005</v>
          </cell>
          <cell r="P47">
            <v>625.01387209999996</v>
          </cell>
          <cell r="Q47">
            <v>632.21659939999995</v>
          </cell>
          <cell r="R47">
            <v>639.54123849999996</v>
          </cell>
          <cell r="S47">
            <v>646.98922249999998</v>
          </cell>
          <cell r="T47">
            <v>654.56192499999997</v>
          </cell>
          <cell r="U47">
            <v>662.26064150000002</v>
          </cell>
          <cell r="V47">
            <v>670.05706729999997</v>
          </cell>
          <cell r="W47">
            <v>677.96475799999996</v>
          </cell>
          <cell r="X47">
            <v>685.99349099999995</v>
          </cell>
          <cell r="Y47">
            <v>694.14886179999996</v>
          </cell>
          <cell r="Z47">
            <v>702.43444350000004</v>
          </cell>
          <cell r="AA47">
            <v>710.7681182</v>
          </cell>
          <cell r="AB47">
            <v>719.14769139999999</v>
          </cell>
          <cell r="AC47">
            <v>727.57630879999999</v>
          </cell>
          <cell r="AD47">
            <v>736.05649229999995</v>
          </cell>
          <cell r="AE47">
            <v>744.59077239999999</v>
          </cell>
          <cell r="AF47">
            <v>753.18222479999997</v>
          </cell>
          <cell r="AG47">
            <v>761.83459749999997</v>
          </cell>
          <cell r="AH47">
            <v>770.55223269999999</v>
          </cell>
          <cell r="AI47">
            <v>779.33991839999999</v>
          </cell>
          <cell r="AJ47">
            <v>788.20273220000001</v>
          </cell>
          <cell r="AK47">
            <v>797.14590199999998</v>
          </cell>
          <cell r="AL47">
            <v>806.15446810000003</v>
          </cell>
          <cell r="AM47">
            <v>815.22181039999998</v>
          </cell>
          <cell r="AN47">
            <v>824.34719959999995</v>
          </cell>
          <cell r="AO47">
            <v>833.53297210000005</v>
          </cell>
          <cell r="AP47">
            <v>842.78297169999996</v>
          </cell>
          <cell r="AQ47">
            <v>852.09884199999999</v>
          </cell>
          <cell r="AR47">
            <v>861.48061380000001</v>
          </cell>
          <cell r="AS47">
            <v>870.92771700000003</v>
          </cell>
          <cell r="AT47">
            <v>880.44046000000003</v>
          </cell>
          <cell r="AU47">
            <v>890.02116100000001</v>
          </cell>
          <cell r="AV47">
            <v>899.67623160000005</v>
          </cell>
          <cell r="AW47">
            <v>909.41321400000004</v>
          </cell>
          <cell r="AX47">
            <v>919.24034840000002</v>
          </cell>
          <cell r="AY47">
            <v>929.16617799999995</v>
          </cell>
          <cell r="AZ47">
            <v>939.1991845</v>
          </cell>
          <cell r="BA47">
            <v>1007.435973</v>
          </cell>
          <cell r="BB47">
            <v>1022.772274</v>
          </cell>
          <cell r="BC47">
            <v>1038.3784450000001</v>
          </cell>
          <cell r="BD47">
            <v>1054.256204</v>
          </cell>
          <cell r="BE47">
            <v>1070.407559</v>
          </cell>
        </row>
        <row r="48">
          <cell r="B48">
            <v>333.6968511</v>
          </cell>
          <cell r="C48">
            <v>337.57905269999998</v>
          </cell>
          <cell r="D48">
            <v>341.48399180000001</v>
          </cell>
          <cell r="E48">
            <v>345.40674130000002</v>
          </cell>
          <cell r="F48">
            <v>349.35432320000001</v>
          </cell>
          <cell r="G48">
            <v>353.33952520000003</v>
          </cell>
          <cell r="H48">
            <v>357.3619668</v>
          </cell>
          <cell r="I48">
            <v>361.426085</v>
          </cell>
          <cell r="J48">
            <v>365.53839779999998</v>
          </cell>
          <cell r="K48">
            <v>369.70527950000002</v>
          </cell>
          <cell r="L48">
            <v>373.95729790000001</v>
          </cell>
          <cell r="M48">
            <v>378.28839019999998</v>
          </cell>
          <cell r="N48">
            <v>382.69467969999999</v>
          </cell>
          <cell r="O48">
            <v>387.17512199999999</v>
          </cell>
          <cell r="P48">
            <v>391.72987449999999</v>
          </cell>
          <cell r="Q48">
            <v>396.35945700000002</v>
          </cell>
          <cell r="R48">
            <v>401.06461469999999</v>
          </cell>
          <cell r="S48">
            <v>405.84605879999998</v>
          </cell>
          <cell r="T48">
            <v>410.704477</v>
          </cell>
          <cell r="U48">
            <v>415.64058460000001</v>
          </cell>
          <cell r="V48">
            <v>420.63673749999998</v>
          </cell>
          <cell r="W48">
            <v>425.70160299999998</v>
          </cell>
          <cell r="X48">
            <v>430.8415804</v>
          </cell>
          <cell r="Y48">
            <v>436.0605281</v>
          </cell>
          <cell r="Z48">
            <v>441.3610832</v>
          </cell>
          <cell r="AA48">
            <v>446.69237459999999</v>
          </cell>
          <cell r="AB48">
            <v>452.05348989999999</v>
          </cell>
          <cell r="AC48">
            <v>457.44681980000001</v>
          </cell>
          <cell r="AD48">
            <v>462.87431550000002</v>
          </cell>
          <cell r="AE48">
            <v>468.33787269999999</v>
          </cell>
          <cell r="AF48">
            <v>473.83966070000002</v>
          </cell>
          <cell r="AG48">
            <v>479.38214979999998</v>
          </cell>
          <cell r="AH48">
            <v>484.96812260000002</v>
          </cell>
          <cell r="AI48">
            <v>490.60059109999997</v>
          </cell>
          <cell r="AJ48">
            <v>496.28270400000002</v>
          </cell>
          <cell r="AK48">
            <v>502.01766629999997</v>
          </cell>
          <cell r="AL48">
            <v>507.79558129999998</v>
          </cell>
          <cell r="AM48">
            <v>513.6118831</v>
          </cell>
          <cell r="AN48">
            <v>519.46568539999998</v>
          </cell>
          <cell r="AO48">
            <v>525.35795210000003</v>
          </cell>
          <cell r="AP48">
            <v>531.29059400000006</v>
          </cell>
          <cell r="AQ48">
            <v>537.26598000000001</v>
          </cell>
          <cell r="AR48">
            <v>543.28682279999998</v>
          </cell>
          <cell r="AS48">
            <v>549.35606259999997</v>
          </cell>
          <cell r="AT48">
            <v>555.4767769</v>
          </cell>
          <cell r="AU48">
            <v>561.65211009999996</v>
          </cell>
          <cell r="AV48">
            <v>567.88485860000003</v>
          </cell>
          <cell r="AW48">
            <v>574.17769129999999</v>
          </cell>
          <cell r="AX48">
            <v>580.53390649999994</v>
          </cell>
          <cell r="AY48">
            <v>586.95745729999999</v>
          </cell>
          <cell r="AZ48">
            <v>593.45271170000001</v>
          </cell>
          <cell r="BA48">
            <v>621.88281159999997</v>
          </cell>
          <cell r="BB48">
            <v>631.22261949999995</v>
          </cell>
          <cell r="BC48">
            <v>640.73759889999997</v>
          </cell>
          <cell r="BD48">
            <v>650.4289172</v>
          </cell>
          <cell r="BE48">
            <v>660.29783580000003</v>
          </cell>
        </row>
        <row r="49">
          <cell r="B49">
            <v>333.69124399999998</v>
          </cell>
          <cell r="C49">
            <v>337.54632959999998</v>
          </cell>
          <cell r="D49">
            <v>341.40386849999999</v>
          </cell>
          <cell r="E49">
            <v>345.26333030000001</v>
          </cell>
          <cell r="F49">
            <v>349.1342879</v>
          </cell>
          <cell r="G49">
            <v>353.02899680000002</v>
          </cell>
          <cell r="H49">
            <v>356.94845609999999</v>
          </cell>
          <cell r="I49">
            <v>360.89975729999998</v>
          </cell>
          <cell r="J49">
            <v>364.89211280000001</v>
          </cell>
          <cell r="K49">
            <v>368.93406440000001</v>
          </cell>
          <cell r="L49">
            <v>373.05765500000001</v>
          </cell>
          <cell r="M49">
            <v>377.25768720000002</v>
          </cell>
          <cell r="N49">
            <v>381.53077969999998</v>
          </cell>
          <cell r="O49">
            <v>385.8761389</v>
          </cell>
          <cell r="P49">
            <v>390.29405680000002</v>
          </cell>
          <cell r="Q49">
            <v>394.78522240000001</v>
          </cell>
          <cell r="R49">
            <v>399.35046210000002</v>
          </cell>
          <cell r="S49">
            <v>403.9906436</v>
          </cell>
          <cell r="T49">
            <v>408.706639</v>
          </cell>
          <cell r="U49">
            <v>413.49931149999998</v>
          </cell>
          <cell r="V49">
            <v>418.35116770000002</v>
          </cell>
          <cell r="W49">
            <v>423.27081939999999</v>
          </cell>
          <cell r="X49">
            <v>428.26451129999998</v>
          </cell>
          <cell r="Y49">
            <v>433.33588739999999</v>
          </cell>
          <cell r="Z49">
            <v>438.48734339999999</v>
          </cell>
          <cell r="AA49">
            <v>443.66804889999997</v>
          </cell>
          <cell r="AB49">
            <v>448.87700480000001</v>
          </cell>
          <cell r="AC49">
            <v>454.11648000000002</v>
          </cell>
          <cell r="AD49">
            <v>459.38830710000002</v>
          </cell>
          <cell r="AE49">
            <v>464.69428979999998</v>
          </cell>
          <cell r="AF49">
            <v>470.03654340000003</v>
          </cell>
          <cell r="AG49">
            <v>475.41757530000001</v>
          </cell>
          <cell r="AH49">
            <v>480.84023530000002</v>
          </cell>
          <cell r="AI49">
            <v>486.30762320000002</v>
          </cell>
          <cell r="AJ49">
            <v>491.82299130000001</v>
          </cell>
          <cell r="AK49">
            <v>497.38966110000001</v>
          </cell>
          <cell r="AL49">
            <v>502.99839209999999</v>
          </cell>
          <cell r="AM49">
            <v>508.64514830000002</v>
          </cell>
          <cell r="AN49">
            <v>514.32955100000004</v>
          </cell>
          <cell r="AO49">
            <v>520.05311319999998</v>
          </cell>
          <cell r="AP49">
            <v>525.81827190000001</v>
          </cell>
          <cell r="AQ49">
            <v>531.62641910000002</v>
          </cell>
          <cell r="AR49">
            <v>537.4779767</v>
          </cell>
          <cell r="AS49">
            <v>543.37288169999999</v>
          </cell>
          <cell r="AT49">
            <v>549.31146939999996</v>
          </cell>
          <cell r="AU49">
            <v>555.29519689999995</v>
          </cell>
          <cell r="AV49">
            <v>561.32797500000004</v>
          </cell>
          <cell r="AW49">
            <v>567.41435980000006</v>
          </cell>
          <cell r="AX49">
            <v>573.55931229999999</v>
          </cell>
          <cell r="AY49">
            <v>579.76797199999999</v>
          </cell>
          <cell r="AZ49">
            <v>586.04544069999997</v>
          </cell>
          <cell r="BA49">
            <v>627.44819989999996</v>
          </cell>
          <cell r="BB49">
            <v>636.98452870000006</v>
          </cell>
          <cell r="BC49">
            <v>646.69128360000002</v>
          </cell>
          <cell r="BD49">
            <v>656.56967480000003</v>
          </cell>
          <cell r="BE49">
            <v>666.62107909999997</v>
          </cell>
        </row>
        <row r="50">
          <cell r="B50">
            <v>27532.74093</v>
          </cell>
          <cell r="C50">
            <v>27847.439470000001</v>
          </cell>
          <cell r="D50">
            <v>28156.47335</v>
          </cell>
          <cell r="E50">
            <v>28458.103920000001</v>
          </cell>
          <cell r="F50">
            <v>28752.789629999999</v>
          </cell>
          <cell r="G50">
            <v>29042.020390000001</v>
          </cell>
          <cell r="H50">
            <v>29326.644</v>
          </cell>
          <cell r="I50">
            <v>29607.64428</v>
          </cell>
          <cell r="J50">
            <v>29885.982349999998</v>
          </cell>
          <cell r="K50">
            <v>30162.498179999999</v>
          </cell>
          <cell r="L50">
            <v>30439.454559999998</v>
          </cell>
          <cell r="M50">
            <v>30716.945739999999</v>
          </cell>
          <cell r="N50">
            <v>30995.035650000002</v>
          </cell>
          <cell r="O50">
            <v>31273.913759999999</v>
          </cell>
          <cell r="P50">
            <v>31553.834419999999</v>
          </cell>
          <cell r="Q50">
            <v>31835.073209999999</v>
          </cell>
          <cell r="R50">
            <v>32117.917979999998</v>
          </cell>
          <cell r="S50">
            <v>32402.653259999999</v>
          </cell>
          <cell r="T50">
            <v>32689.558369999999</v>
          </cell>
          <cell r="U50">
            <v>32978.910409999997</v>
          </cell>
          <cell r="V50">
            <v>33269.858549999997</v>
          </cell>
          <cell r="W50">
            <v>33563.061139999998</v>
          </cell>
          <cell r="X50">
            <v>33859.1443</v>
          </cell>
          <cell r="Y50">
            <v>34158.606370000001</v>
          </cell>
          <cell r="Z50">
            <v>34461.871529999997</v>
          </cell>
          <cell r="AA50">
            <v>34766.094929999999</v>
          </cell>
          <cell r="AB50">
            <v>35071.18043</v>
          </cell>
          <cell r="AC50">
            <v>35377.400350000004</v>
          </cell>
          <cell r="AD50">
            <v>35685.084179999998</v>
          </cell>
          <cell r="AE50">
            <v>35994.600330000001</v>
          </cell>
          <cell r="AF50">
            <v>36306.358229999998</v>
          </cell>
          <cell r="AG50">
            <v>36620.799789999997</v>
          </cell>
          <cell r="AH50">
            <v>36938.39114</v>
          </cell>
          <cell r="AI50">
            <v>37259.610760000003</v>
          </cell>
          <cell r="AJ50">
            <v>37584.93763</v>
          </cell>
          <cell r="AK50">
            <v>37914.840900000003</v>
          </cell>
          <cell r="AL50">
            <v>38248.97982</v>
          </cell>
          <cell r="AM50">
            <v>38587.240870000001</v>
          </cell>
          <cell r="AN50">
            <v>38929.715080000002</v>
          </cell>
          <cell r="AO50">
            <v>39276.607069999998</v>
          </cell>
          <cell r="AP50">
            <v>39628.17974</v>
          </cell>
          <cell r="AQ50">
            <v>39984.720759999997</v>
          </cell>
          <cell r="AR50">
            <v>40346.530449999998</v>
          </cell>
          <cell r="AS50">
            <v>40713.912420000001</v>
          </cell>
          <cell r="AT50">
            <v>41087.165999999997</v>
          </cell>
          <cell r="AU50">
            <v>41466.580390000003</v>
          </cell>
          <cell r="AV50">
            <v>41852.304499999998</v>
          </cell>
          <cell r="AW50">
            <v>42244.450449999997</v>
          </cell>
          <cell r="AX50">
            <v>42643.217729999997</v>
          </cell>
          <cell r="AY50">
            <v>43048.921390000003</v>
          </cell>
          <cell r="AZ50">
            <v>43461.96443</v>
          </cell>
          <cell r="BA50">
            <v>47252.618300000002</v>
          </cell>
          <cell r="BB50">
            <v>47942.582459999998</v>
          </cell>
          <cell r="BC50">
            <v>48648.61911</v>
          </cell>
          <cell r="BD50">
            <v>49370.812539999999</v>
          </cell>
          <cell r="BE50">
            <v>50109.243090000004</v>
          </cell>
        </row>
        <row r="51">
          <cell r="B51">
            <v>27532.57617</v>
          </cell>
          <cell r="C51">
            <v>27844.93117</v>
          </cell>
          <cell r="D51">
            <v>28149.616539999999</v>
          </cell>
          <cell r="E51">
            <v>28445.412830000001</v>
          </cell>
          <cell r="F51">
            <v>28733.01973</v>
          </cell>
          <cell r="G51">
            <v>29013.813010000002</v>
          </cell>
          <cell r="H51">
            <v>29288.520639999999</v>
          </cell>
          <cell r="I51">
            <v>29558.089029999999</v>
          </cell>
          <cell r="J51">
            <v>29823.515060000002</v>
          </cell>
          <cell r="K51">
            <v>30085.719010000001</v>
          </cell>
          <cell r="L51">
            <v>30347.060229999999</v>
          </cell>
          <cell r="M51">
            <v>30607.72177</v>
          </cell>
          <cell r="N51">
            <v>30867.846219999999</v>
          </cell>
          <cell r="O51">
            <v>31127.689600000002</v>
          </cell>
          <cell r="P51">
            <v>31387.567579999999</v>
          </cell>
          <cell r="Q51">
            <v>31647.828099999999</v>
          </cell>
          <cell r="R51">
            <v>31908.838019999999</v>
          </cell>
          <cell r="S51">
            <v>32170.973409999999</v>
          </cell>
          <cell r="T51">
            <v>32434.611870000001</v>
          </cell>
          <cell r="U51">
            <v>32700.127369999998</v>
          </cell>
          <cell r="V51">
            <v>32966.762260000003</v>
          </cell>
          <cell r="W51">
            <v>33235.252610000003</v>
          </cell>
          <cell r="X51">
            <v>33506.290180000004</v>
          </cell>
          <cell r="Y51">
            <v>33780.429989999997</v>
          </cell>
          <cell r="Z51">
            <v>34058.147140000001</v>
          </cell>
          <cell r="AA51">
            <v>34336.658660000001</v>
          </cell>
          <cell r="AB51">
            <v>34615.923280000003</v>
          </cell>
          <cell r="AC51">
            <v>34896.263440000002</v>
          </cell>
          <cell r="AD51">
            <v>35178.056129999997</v>
          </cell>
          <cell r="AE51">
            <v>35461.716590000004</v>
          </cell>
          <cell r="AF51">
            <v>35747.701970000002</v>
          </cell>
          <cell r="AG51">
            <v>36036.506220000003</v>
          </cell>
          <cell r="AH51">
            <v>36328.648999999998</v>
          </cell>
          <cell r="AI51">
            <v>36624.662779999999</v>
          </cell>
          <cell r="AJ51">
            <v>36925.080629999997</v>
          </cell>
          <cell r="AK51">
            <v>37230.425790000001</v>
          </cell>
          <cell r="AL51">
            <v>37540.439639999997</v>
          </cell>
          <cell r="AM51">
            <v>37855.086660000001</v>
          </cell>
          <cell r="AN51">
            <v>38174.652340000001</v>
          </cell>
          <cell r="AO51">
            <v>38499.649239999999</v>
          </cell>
          <cell r="AP51">
            <v>38830.672380000004</v>
          </cell>
          <cell r="AQ51">
            <v>39168.13811</v>
          </cell>
          <cell r="AR51">
            <v>39512.283900000002</v>
          </cell>
          <cell r="AS51">
            <v>39863.253019999996</v>
          </cell>
          <cell r="AT51">
            <v>40221.196839999997</v>
          </cell>
          <cell r="AU51">
            <v>40586.340279999997</v>
          </cell>
          <cell r="AV51">
            <v>40959.064059999997</v>
          </cell>
          <cell r="AW51">
            <v>41339.792309999997</v>
          </cell>
          <cell r="AX51">
            <v>41728.961349999998</v>
          </cell>
          <cell r="AY51">
            <v>42126.997040000002</v>
          </cell>
          <cell r="AZ51">
            <v>42534.2978</v>
          </cell>
          <cell r="BA51">
            <v>47019.41704</v>
          </cell>
          <cell r="BB51">
            <v>47659.904040000001</v>
          </cell>
          <cell r="BC51">
            <v>48312.506249999999</v>
          </cell>
          <cell r="BD51">
            <v>48977.29161</v>
          </cell>
          <cell r="BE51">
            <v>49654.336730000003</v>
          </cell>
        </row>
        <row r="52">
          <cell r="B52">
            <v>548.72366099999999</v>
          </cell>
          <cell r="C52">
            <v>554.99555869999995</v>
          </cell>
          <cell r="D52">
            <v>561.1545605</v>
          </cell>
          <cell r="E52">
            <v>567.16601539999999</v>
          </cell>
          <cell r="F52">
            <v>573.03906019999999</v>
          </cell>
          <cell r="G52">
            <v>578.80338870000003</v>
          </cell>
          <cell r="H52">
            <v>584.47589730000004</v>
          </cell>
          <cell r="I52">
            <v>590.0761933</v>
          </cell>
          <cell r="J52">
            <v>595.62343209999995</v>
          </cell>
          <cell r="K52">
            <v>601.13435370000002</v>
          </cell>
          <cell r="L52">
            <v>606.65405550000003</v>
          </cell>
          <cell r="M52">
            <v>612.18441570000005</v>
          </cell>
          <cell r="N52">
            <v>617.72670860000005</v>
          </cell>
          <cell r="O52">
            <v>623.28471030000003</v>
          </cell>
          <cell r="P52">
            <v>628.86348959999998</v>
          </cell>
          <cell r="Q52">
            <v>634.46853920000001</v>
          </cell>
          <cell r="R52">
            <v>640.10559590000003</v>
          </cell>
          <cell r="S52">
            <v>645.78033000000005</v>
          </cell>
          <cell r="T52">
            <v>651.49830850000001</v>
          </cell>
          <cell r="U52">
            <v>657.26505399999996</v>
          </cell>
          <cell r="V52">
            <v>663.06360959999995</v>
          </cell>
          <cell r="W52">
            <v>668.90709609999999</v>
          </cell>
          <cell r="X52">
            <v>674.80799179999997</v>
          </cell>
          <cell r="Y52">
            <v>680.77622880000001</v>
          </cell>
          <cell r="Z52">
            <v>686.82026099999996</v>
          </cell>
          <cell r="AA52">
            <v>692.88339050000002</v>
          </cell>
          <cell r="AB52">
            <v>698.96370179999997</v>
          </cell>
          <cell r="AC52">
            <v>705.06662180000001</v>
          </cell>
          <cell r="AD52">
            <v>711.1987173</v>
          </cell>
          <cell r="AE52">
            <v>717.36733070000002</v>
          </cell>
          <cell r="AF52">
            <v>723.58062180000002</v>
          </cell>
          <cell r="AG52">
            <v>729.84739809999996</v>
          </cell>
          <cell r="AH52">
            <v>736.17694900000004</v>
          </cell>
          <cell r="AI52">
            <v>742.57881099999997</v>
          </cell>
          <cell r="AJ52">
            <v>749.06252970000003</v>
          </cell>
          <cell r="AK52">
            <v>755.63745559999995</v>
          </cell>
          <cell r="AL52">
            <v>762.29679739999995</v>
          </cell>
          <cell r="AM52">
            <v>769.03829270000006</v>
          </cell>
          <cell r="AN52">
            <v>775.86375569999996</v>
          </cell>
          <cell r="AO52">
            <v>782.77726429999996</v>
          </cell>
          <cell r="AP52">
            <v>789.7840582</v>
          </cell>
          <cell r="AQ52">
            <v>796.88987059999999</v>
          </cell>
          <cell r="AR52">
            <v>804.10068699999999</v>
          </cell>
          <cell r="AS52">
            <v>811.42255799999998</v>
          </cell>
          <cell r="AT52">
            <v>818.86144950000005</v>
          </cell>
          <cell r="AU52">
            <v>826.42312509999999</v>
          </cell>
          <cell r="AV52">
            <v>834.11055239999996</v>
          </cell>
          <cell r="AW52">
            <v>841.92596609999998</v>
          </cell>
          <cell r="AX52">
            <v>849.87334199999998</v>
          </cell>
          <cell r="AY52">
            <v>857.95895889999997</v>
          </cell>
          <cell r="AZ52">
            <v>866.19084869999995</v>
          </cell>
          <cell r="BA52">
            <v>941.73804810000001</v>
          </cell>
          <cell r="BB52">
            <v>955.48893710000004</v>
          </cell>
          <cell r="BC52">
            <v>969.56014830000004</v>
          </cell>
          <cell r="BD52">
            <v>983.95336199999997</v>
          </cell>
          <cell r="BE52">
            <v>998.67017920000001</v>
          </cell>
        </row>
        <row r="53">
          <cell r="B53">
            <v>548.7203773</v>
          </cell>
          <cell r="C53">
            <v>554.9455686</v>
          </cell>
          <cell r="D53">
            <v>561.01790540000002</v>
          </cell>
          <cell r="E53">
            <v>566.91308370000002</v>
          </cell>
          <cell r="F53">
            <v>572.64504899999997</v>
          </cell>
          <cell r="G53">
            <v>578.24121950000006</v>
          </cell>
          <cell r="H53">
            <v>583.71610399999997</v>
          </cell>
          <cell r="I53">
            <v>589.08856430000003</v>
          </cell>
          <cell r="J53">
            <v>594.37846779999995</v>
          </cell>
          <cell r="K53">
            <v>599.60415560000001</v>
          </cell>
          <cell r="L53">
            <v>604.81264950000002</v>
          </cell>
          <cell r="M53">
            <v>610.00759749999997</v>
          </cell>
          <cell r="N53">
            <v>615.1918412</v>
          </cell>
          <cell r="O53">
            <v>620.37048330000005</v>
          </cell>
          <cell r="P53">
            <v>625.5498149</v>
          </cell>
          <cell r="Q53">
            <v>630.73677050000003</v>
          </cell>
          <cell r="R53">
            <v>635.93866149999997</v>
          </cell>
          <cell r="S53">
            <v>641.16298300000005</v>
          </cell>
          <cell r="T53">
            <v>646.41726059999996</v>
          </cell>
          <cell r="U53">
            <v>651.70894710000005</v>
          </cell>
          <cell r="V53">
            <v>657.02294300000005</v>
          </cell>
          <cell r="W53">
            <v>662.37391809999997</v>
          </cell>
          <cell r="X53">
            <v>667.77565879999997</v>
          </cell>
          <cell r="Y53">
            <v>673.23922670000002</v>
          </cell>
          <cell r="Z53">
            <v>678.77409050000006</v>
          </cell>
          <cell r="AA53">
            <v>684.32478600000002</v>
          </cell>
          <cell r="AB53">
            <v>689.89049069999999</v>
          </cell>
          <cell r="AC53">
            <v>695.47763069999996</v>
          </cell>
          <cell r="AD53">
            <v>701.09371950000002</v>
          </cell>
          <cell r="AE53">
            <v>706.74703260000001</v>
          </cell>
          <cell r="AF53">
            <v>712.44668109999998</v>
          </cell>
          <cell r="AG53">
            <v>718.20250920000001</v>
          </cell>
          <cell r="AH53">
            <v>724.02487369999994</v>
          </cell>
          <cell r="AI53">
            <v>729.92438679999998</v>
          </cell>
          <cell r="AJ53">
            <v>735.91167240000004</v>
          </cell>
          <cell r="AK53">
            <v>741.9971587</v>
          </cell>
          <cell r="AL53">
            <v>748.17569119999996</v>
          </cell>
          <cell r="AM53">
            <v>754.44656210000005</v>
          </cell>
          <cell r="AN53">
            <v>760.81546109999999</v>
          </cell>
          <cell r="AO53">
            <v>767.29260369999997</v>
          </cell>
          <cell r="AP53">
            <v>773.88984840000001</v>
          </cell>
          <cell r="AQ53">
            <v>780.61549309999998</v>
          </cell>
          <cell r="AR53">
            <v>787.47427040000002</v>
          </cell>
          <cell r="AS53">
            <v>794.46903559999998</v>
          </cell>
          <cell r="AT53">
            <v>801.60280569999998</v>
          </cell>
          <cell r="AU53">
            <v>808.88006310000003</v>
          </cell>
          <cell r="AV53">
            <v>816.30839579999997</v>
          </cell>
          <cell r="AW53">
            <v>823.8962563</v>
          </cell>
          <cell r="AX53">
            <v>831.65234069999997</v>
          </cell>
          <cell r="AY53">
            <v>839.58513600000003</v>
          </cell>
          <cell r="AZ53">
            <v>847.70258320000005</v>
          </cell>
          <cell r="BA53">
            <v>937.09037980000005</v>
          </cell>
          <cell r="BB53">
            <v>949.85519580000005</v>
          </cell>
          <cell r="BC53">
            <v>962.86146629999996</v>
          </cell>
          <cell r="BD53">
            <v>976.11054520000005</v>
          </cell>
          <cell r="BE53">
            <v>989.60395930000004</v>
          </cell>
        </row>
        <row r="54">
          <cell r="B54">
            <v>797.38765790000002</v>
          </cell>
          <cell r="C54">
            <v>806.50177889999998</v>
          </cell>
          <cell r="D54">
            <v>815.45184319999998</v>
          </cell>
          <cell r="E54">
            <v>824.18749700000001</v>
          </cell>
          <cell r="F54">
            <v>832.72201759999996</v>
          </cell>
          <cell r="G54">
            <v>841.09855540000001</v>
          </cell>
          <cell r="H54">
            <v>849.34166319999997</v>
          </cell>
          <cell r="I54">
            <v>857.47983409999995</v>
          </cell>
          <cell r="J54">
            <v>865.54090389999999</v>
          </cell>
          <cell r="K54">
            <v>873.5491988</v>
          </cell>
          <cell r="L54">
            <v>881.57025280000005</v>
          </cell>
          <cell r="M54">
            <v>889.6067951</v>
          </cell>
          <cell r="N54">
            <v>897.66067780000003</v>
          </cell>
          <cell r="O54">
            <v>905.73738779999996</v>
          </cell>
          <cell r="P54">
            <v>913.84429130000001</v>
          </cell>
          <cell r="Q54">
            <v>921.98937000000001</v>
          </cell>
          <cell r="R54">
            <v>930.18096030000004</v>
          </cell>
          <cell r="S54">
            <v>938.42730229999995</v>
          </cell>
          <cell r="T54">
            <v>946.73648560000004</v>
          </cell>
          <cell r="U54">
            <v>955.11653560000002</v>
          </cell>
          <cell r="V54">
            <v>963.54281100000003</v>
          </cell>
          <cell r="W54">
            <v>972.03437840000004</v>
          </cell>
          <cell r="X54">
            <v>980.60937120000006</v>
          </cell>
          <cell r="Y54">
            <v>989.28222210000001</v>
          </cell>
          <cell r="Z54">
            <v>998.06521610000004</v>
          </cell>
          <cell r="AA54">
            <v>1006.875962</v>
          </cell>
          <cell r="AB54">
            <v>1015.711676</v>
          </cell>
          <cell r="AC54">
            <v>1024.580244</v>
          </cell>
          <cell r="AD54">
            <v>1033.491209</v>
          </cell>
          <cell r="AE54">
            <v>1042.45524</v>
          </cell>
          <cell r="AF54">
            <v>1051.4841960000001</v>
          </cell>
          <cell r="AG54">
            <v>1060.590874</v>
          </cell>
          <cell r="AH54">
            <v>1069.788775</v>
          </cell>
          <cell r="AI54">
            <v>1079.091756</v>
          </cell>
          <cell r="AJ54">
            <v>1088.5136890000001</v>
          </cell>
          <cell r="AK54">
            <v>1098.06816</v>
          </cell>
          <cell r="AL54">
            <v>1107.7453029999999</v>
          </cell>
          <cell r="AM54">
            <v>1117.5418279999999</v>
          </cell>
          <cell r="AN54">
            <v>1127.460372</v>
          </cell>
          <cell r="AO54">
            <v>1137.506862</v>
          </cell>
          <cell r="AP54">
            <v>1147.6889100000001</v>
          </cell>
          <cell r="AQ54">
            <v>1158.0148489999999</v>
          </cell>
          <cell r="AR54">
            <v>1168.493377</v>
          </cell>
          <cell r="AS54">
            <v>1179.1332849999999</v>
          </cell>
          <cell r="AT54">
            <v>1189.943244</v>
          </cell>
          <cell r="AU54">
            <v>1200.9316289999999</v>
          </cell>
          <cell r="AV54">
            <v>1212.1027529999999</v>
          </cell>
          <cell r="AW54">
            <v>1223.4598619999999</v>
          </cell>
          <cell r="AX54">
            <v>1235.008734</v>
          </cell>
          <cell r="AY54">
            <v>1246.758493</v>
          </cell>
          <cell r="AZ54">
            <v>1258.720812</v>
          </cell>
          <cell r="BA54">
            <v>1368.503584</v>
          </cell>
          <cell r="BB54">
            <v>1388.4859349999999</v>
          </cell>
          <cell r="BC54">
            <v>1408.933769</v>
          </cell>
          <cell r="BD54">
            <v>1429.8495270000001</v>
          </cell>
          <cell r="BE54">
            <v>1451.2355339999999</v>
          </cell>
        </row>
        <row r="55">
          <cell r="B55">
            <v>797.3828863</v>
          </cell>
          <cell r="C55">
            <v>806.42913490000001</v>
          </cell>
          <cell r="D55">
            <v>815.25326029999997</v>
          </cell>
          <cell r="E55">
            <v>823.81994480000003</v>
          </cell>
          <cell r="F55">
            <v>832.14945320000004</v>
          </cell>
          <cell r="G55">
            <v>840.28162899999995</v>
          </cell>
          <cell r="H55">
            <v>848.23755589999996</v>
          </cell>
          <cell r="I55">
            <v>856.04464329999996</v>
          </cell>
          <cell r="J55">
            <v>863.73176160000003</v>
          </cell>
          <cell r="K55">
            <v>871.32556390000002</v>
          </cell>
          <cell r="L55">
            <v>878.89438040000005</v>
          </cell>
          <cell r="M55">
            <v>886.44351259999996</v>
          </cell>
          <cell r="N55">
            <v>893.9770896</v>
          </cell>
          <cell r="O55">
            <v>901.50252650000004</v>
          </cell>
          <cell r="P55">
            <v>909.02896539999995</v>
          </cell>
          <cell r="Q55">
            <v>916.56648319999999</v>
          </cell>
          <cell r="R55">
            <v>924.12570470000003</v>
          </cell>
          <cell r="S55">
            <v>931.71752149999998</v>
          </cell>
          <cell r="T55">
            <v>939.35286940000003</v>
          </cell>
          <cell r="U55">
            <v>947.04257889999997</v>
          </cell>
          <cell r="V55">
            <v>954.76470759999995</v>
          </cell>
          <cell r="W55">
            <v>962.54057339999997</v>
          </cell>
          <cell r="X55">
            <v>970.39021000000002</v>
          </cell>
          <cell r="Y55">
            <v>978.32969200000002</v>
          </cell>
          <cell r="Z55">
            <v>986.37277879999999</v>
          </cell>
          <cell r="AA55">
            <v>994.43887189999998</v>
          </cell>
          <cell r="AB55">
            <v>1002.526776</v>
          </cell>
          <cell r="AC55">
            <v>1010.645829</v>
          </cell>
          <cell r="AD55">
            <v>1018.806949</v>
          </cell>
          <cell r="AE55">
            <v>1027.0221630000001</v>
          </cell>
          <cell r="AF55">
            <v>1035.304709</v>
          </cell>
          <cell r="AG55">
            <v>1043.668895</v>
          </cell>
          <cell r="AH55">
            <v>1052.129768</v>
          </cell>
          <cell r="AI55">
            <v>1060.7027519999999</v>
          </cell>
          <cell r="AJ55">
            <v>1069.403284</v>
          </cell>
          <cell r="AK55">
            <v>1078.2465179999999</v>
          </cell>
          <cell r="AL55">
            <v>1087.2249629999999</v>
          </cell>
          <cell r="AM55">
            <v>1096.3375920000001</v>
          </cell>
          <cell r="AN55">
            <v>1105.592672</v>
          </cell>
          <cell r="AO55">
            <v>1115.005048</v>
          </cell>
          <cell r="AP55">
            <v>1124.5919530000001</v>
          </cell>
          <cell r="AQ55">
            <v>1134.3654449999999</v>
          </cell>
          <cell r="AR55">
            <v>1144.3324</v>
          </cell>
          <cell r="AS55">
            <v>1154.496969</v>
          </cell>
          <cell r="AT55">
            <v>1164.8635360000001</v>
          </cell>
          <cell r="AU55">
            <v>1175.438613</v>
          </cell>
          <cell r="AV55">
            <v>1186.2332280000001</v>
          </cell>
          <cell r="AW55">
            <v>1197.2596639999999</v>
          </cell>
          <cell r="AX55">
            <v>1208.5305579999999</v>
          </cell>
          <cell r="AY55">
            <v>1220.0582420000001</v>
          </cell>
          <cell r="AZ55">
            <v>1231.854257</v>
          </cell>
          <cell r="BA55">
            <v>1361.7497410000001</v>
          </cell>
          <cell r="BB55">
            <v>1380.2991629999999</v>
          </cell>
          <cell r="BC55">
            <v>1399.1994589999999</v>
          </cell>
          <cell r="BD55">
            <v>1418.4525960000001</v>
          </cell>
          <cell r="BE55">
            <v>1438.060794</v>
          </cell>
        </row>
        <row r="56">
          <cell r="B56">
            <v>724.43120439999996</v>
          </cell>
          <cell r="C56">
            <v>732.71143500000005</v>
          </cell>
          <cell r="D56">
            <v>740.84261909999998</v>
          </cell>
          <cell r="E56">
            <v>748.77900999999997</v>
          </cell>
          <cell r="F56">
            <v>756.53267040000003</v>
          </cell>
          <cell r="G56">
            <v>764.14280240000005</v>
          </cell>
          <cell r="H56">
            <v>771.63171250000005</v>
          </cell>
          <cell r="I56">
            <v>779.02528689999997</v>
          </cell>
          <cell r="J56">
            <v>786.3488145</v>
          </cell>
          <cell r="K56">
            <v>793.62439570000004</v>
          </cell>
          <cell r="L56">
            <v>800.91156869999998</v>
          </cell>
          <cell r="M56">
            <v>808.21281290000002</v>
          </cell>
          <cell r="N56">
            <v>815.529811</v>
          </cell>
          <cell r="O56">
            <v>822.86754780000001</v>
          </cell>
          <cell r="P56">
            <v>830.23271560000001</v>
          </cell>
          <cell r="Q56">
            <v>837.63256569999999</v>
          </cell>
          <cell r="R56">
            <v>845.0746719</v>
          </cell>
          <cell r="S56">
            <v>852.56652029999998</v>
          </cell>
          <cell r="T56">
            <v>860.11546039999996</v>
          </cell>
          <cell r="U56">
            <v>867.72878330000003</v>
          </cell>
          <cell r="V56">
            <v>875.38410220000003</v>
          </cell>
          <cell r="W56">
            <v>883.09873930000003</v>
          </cell>
          <cell r="X56">
            <v>890.88916879999999</v>
          </cell>
          <cell r="Y56">
            <v>898.76850309999998</v>
          </cell>
          <cell r="Z56">
            <v>906.74790289999999</v>
          </cell>
          <cell r="AA56">
            <v>914.75251539999999</v>
          </cell>
          <cell r="AB56">
            <v>922.77981130000001</v>
          </cell>
          <cell r="AC56">
            <v>930.83695550000004</v>
          </cell>
          <cell r="AD56">
            <v>938.93261770000004</v>
          </cell>
          <cell r="AE56">
            <v>947.07649100000003</v>
          </cell>
          <cell r="AF56">
            <v>955.27934849999997</v>
          </cell>
          <cell r="AG56">
            <v>963.55281760000003</v>
          </cell>
          <cell r="AH56">
            <v>971.90916259999995</v>
          </cell>
          <cell r="AI56">
            <v>980.36097340000003</v>
          </cell>
          <cell r="AJ56">
            <v>988.92085250000002</v>
          </cell>
          <cell r="AK56">
            <v>997.60114420000002</v>
          </cell>
          <cell r="AL56">
            <v>1006.392883</v>
          </cell>
          <cell r="AM56">
            <v>1015.293081</v>
          </cell>
          <cell r="AN56">
            <v>1024.3041350000001</v>
          </cell>
          <cell r="AO56">
            <v>1033.4314280000001</v>
          </cell>
          <cell r="AP56">
            <v>1042.681877</v>
          </cell>
          <cell r="AQ56">
            <v>1052.0630510000001</v>
          </cell>
          <cell r="AR56">
            <v>1061.582852</v>
          </cell>
          <cell r="AS56">
            <v>1071.2492689999999</v>
          </cell>
          <cell r="AT56">
            <v>1081.0701779999999</v>
          </cell>
          <cell r="AU56">
            <v>1091.0531880000001</v>
          </cell>
          <cell r="AV56">
            <v>1101.202217</v>
          </cell>
          <cell r="AW56">
            <v>1111.520215</v>
          </cell>
          <cell r="AX56">
            <v>1122.0124310000001</v>
          </cell>
          <cell r="AY56">
            <v>1132.687154</v>
          </cell>
          <cell r="AZ56">
            <v>1143.5549880000001</v>
          </cell>
          <cell r="BA56">
            <v>1243.2932579999999</v>
          </cell>
          <cell r="BB56">
            <v>1261.4473379999999</v>
          </cell>
          <cell r="BC56">
            <v>1280.0243109999999</v>
          </cell>
          <cell r="BD56">
            <v>1299.0263950000001</v>
          </cell>
          <cell r="BE56">
            <v>1318.455704</v>
          </cell>
        </row>
        <row r="57">
          <cell r="B57">
            <v>724.42686930000002</v>
          </cell>
          <cell r="C57">
            <v>732.64543749999996</v>
          </cell>
          <cell r="D57">
            <v>740.66220539999995</v>
          </cell>
          <cell r="E57">
            <v>748.44508670000005</v>
          </cell>
          <cell r="F57">
            <v>756.01249229999996</v>
          </cell>
          <cell r="G57">
            <v>763.40062009999997</v>
          </cell>
          <cell r="H57">
            <v>770.62862480000001</v>
          </cell>
          <cell r="I57">
            <v>777.72140790000003</v>
          </cell>
          <cell r="J57">
            <v>784.70519850000005</v>
          </cell>
          <cell r="K57">
            <v>791.60421080000003</v>
          </cell>
          <cell r="L57">
            <v>798.4805235</v>
          </cell>
          <cell r="M57">
            <v>805.33895280000002</v>
          </cell>
          <cell r="N57">
            <v>812.18325019999997</v>
          </cell>
          <cell r="O57">
            <v>819.02015229999995</v>
          </cell>
          <cell r="P57">
            <v>825.85796470000003</v>
          </cell>
          <cell r="Q57">
            <v>832.70584229999997</v>
          </cell>
          <cell r="R57">
            <v>839.57343790000004</v>
          </cell>
          <cell r="S57">
            <v>846.47064639999996</v>
          </cell>
          <cell r="T57">
            <v>853.40740330000006</v>
          </cell>
          <cell r="U57">
            <v>860.39354790000004</v>
          </cell>
          <cell r="V57">
            <v>867.40914559999999</v>
          </cell>
          <cell r="W57">
            <v>874.4735637</v>
          </cell>
          <cell r="X57">
            <v>881.60500300000001</v>
          </cell>
          <cell r="Y57">
            <v>888.81806740000002</v>
          </cell>
          <cell r="Z57">
            <v>896.12525740000001</v>
          </cell>
          <cell r="AA57">
            <v>903.45334860000003</v>
          </cell>
          <cell r="AB57">
            <v>910.80125499999997</v>
          </cell>
          <cell r="AC57">
            <v>918.17746069999998</v>
          </cell>
          <cell r="AD57">
            <v>925.5918848</v>
          </cell>
          <cell r="AE57">
            <v>933.05545289999998</v>
          </cell>
          <cell r="AF57">
            <v>940.58019349999995</v>
          </cell>
          <cell r="AG57">
            <v>948.17910319999999</v>
          </cell>
          <cell r="AH57">
            <v>955.86585490000004</v>
          </cell>
          <cell r="AI57">
            <v>963.65445899999997</v>
          </cell>
          <cell r="AJ57">
            <v>971.55894139999998</v>
          </cell>
          <cell r="AK57">
            <v>979.59306949999996</v>
          </cell>
          <cell r="AL57">
            <v>987.75003809999998</v>
          </cell>
          <cell r="AM57">
            <v>996.02891320000003</v>
          </cell>
          <cell r="AN57">
            <v>1004.4372059999999</v>
          </cell>
          <cell r="AO57">
            <v>1012.9884029999999</v>
          </cell>
          <cell r="AP57">
            <v>1021.69816</v>
          </cell>
          <cell r="AQ57">
            <v>1030.5774329999999</v>
          </cell>
          <cell r="AR57">
            <v>1039.632468</v>
          </cell>
          <cell r="AS57">
            <v>1048.867037</v>
          </cell>
          <cell r="AT57">
            <v>1058.2851209999999</v>
          </cell>
          <cell r="AU57">
            <v>1067.8926389999999</v>
          </cell>
          <cell r="AV57">
            <v>1077.6996079999999</v>
          </cell>
          <cell r="AW57">
            <v>1087.7171880000001</v>
          </cell>
          <cell r="AX57">
            <v>1097.956858</v>
          </cell>
          <cell r="AY57">
            <v>1108.4298249999999</v>
          </cell>
          <cell r="AZ57">
            <v>1119.1465700000001</v>
          </cell>
          <cell r="BA57">
            <v>1237.1573539999999</v>
          </cell>
          <cell r="BB57">
            <v>1254.009609</v>
          </cell>
          <cell r="BC57">
            <v>1271.1806349999999</v>
          </cell>
          <cell r="BD57">
            <v>1288.672219</v>
          </cell>
          <cell r="BE57">
            <v>1306.4863780000001</v>
          </cell>
        </row>
        <row r="58">
          <cell r="B58">
            <v>1425.667974</v>
          </cell>
          <cell r="C58">
            <v>1441.963182</v>
          </cell>
          <cell r="D58">
            <v>1457.9650280000001</v>
          </cell>
          <cell r="E58">
            <v>1473.583515</v>
          </cell>
          <cell r="F58">
            <v>1488.842394</v>
          </cell>
          <cell r="G58">
            <v>1503.8188170000001</v>
          </cell>
          <cell r="H58">
            <v>1518.556683</v>
          </cell>
          <cell r="I58">
            <v>1533.106937</v>
          </cell>
          <cell r="J58">
            <v>1547.5193469999999</v>
          </cell>
          <cell r="K58">
            <v>1561.8374060000001</v>
          </cell>
          <cell r="L58">
            <v>1576.178283</v>
          </cell>
          <cell r="M58">
            <v>1590.5468599999999</v>
          </cell>
          <cell r="N58">
            <v>1604.9464459999999</v>
          </cell>
          <cell r="O58">
            <v>1619.3868520000001</v>
          </cell>
          <cell r="P58">
            <v>1633.8812479999999</v>
          </cell>
          <cell r="Q58">
            <v>1648.4439050000001</v>
          </cell>
          <cell r="R58">
            <v>1663.089727</v>
          </cell>
          <cell r="S58">
            <v>1677.833447</v>
          </cell>
          <cell r="T58">
            <v>1692.6895280000001</v>
          </cell>
          <cell r="U58">
            <v>1707.6723199999999</v>
          </cell>
          <cell r="V58">
            <v>1722.737764</v>
          </cell>
          <cell r="W58">
            <v>1737.9199510000001</v>
          </cell>
          <cell r="X58">
            <v>1753.251301</v>
          </cell>
          <cell r="Y58">
            <v>1768.757619</v>
          </cell>
          <cell r="Z58">
            <v>1784.460869</v>
          </cell>
          <cell r="AA58">
            <v>1800.2137419999999</v>
          </cell>
          <cell r="AB58">
            <v>1816.0112610000001</v>
          </cell>
          <cell r="AC58">
            <v>1831.867524</v>
          </cell>
          <cell r="AD58">
            <v>1847.7995940000001</v>
          </cell>
          <cell r="AE58">
            <v>1863.826548</v>
          </cell>
          <cell r="AF58">
            <v>1879.9695839999999</v>
          </cell>
          <cell r="AG58">
            <v>1896.2515860000001</v>
          </cell>
          <cell r="AH58">
            <v>1912.69669</v>
          </cell>
          <cell r="AI58">
            <v>1929.3296720000001</v>
          </cell>
          <cell r="AJ58">
            <v>1946.1753329999999</v>
          </cell>
          <cell r="AK58">
            <v>1963.2579659999999</v>
          </cell>
          <cell r="AL58">
            <v>1980.559927</v>
          </cell>
          <cell r="AM58">
            <v>1998.0753380000001</v>
          </cell>
          <cell r="AN58">
            <v>2015.8089110000001</v>
          </cell>
          <cell r="AO58">
            <v>2033.771242</v>
          </cell>
          <cell r="AP58">
            <v>2051.9759439999998</v>
          </cell>
          <cell r="AQ58">
            <v>2070.4379130000002</v>
          </cell>
          <cell r="AR58">
            <v>2089.1726990000002</v>
          </cell>
          <cell r="AS58">
            <v>2108.196023</v>
          </cell>
          <cell r="AT58">
            <v>2127.523385</v>
          </cell>
          <cell r="AU58">
            <v>2147.1697589999999</v>
          </cell>
          <cell r="AV58">
            <v>2167.1428559999999</v>
          </cell>
          <cell r="AW58">
            <v>2187.4484819999998</v>
          </cell>
          <cell r="AX58">
            <v>2208.0969660000001</v>
          </cell>
          <cell r="AY58">
            <v>2229.104621</v>
          </cell>
          <cell r="AZ58">
            <v>2250.492315</v>
          </cell>
          <cell r="BA58">
            <v>2311.4076319999999</v>
          </cell>
          <cell r="BB58">
            <v>2341.1783350000001</v>
          </cell>
          <cell r="BC58">
            <v>2371.645669</v>
          </cell>
          <cell r="BD58">
            <v>2402.8138439999998</v>
          </cell>
          <cell r="BE58">
            <v>2434.686631</v>
          </cell>
        </row>
        <row r="59">
          <cell r="B59">
            <v>1425.659443</v>
          </cell>
          <cell r="C59">
            <v>1441.8333</v>
          </cell>
          <cell r="D59">
            <v>1457.6099770000001</v>
          </cell>
          <cell r="E59">
            <v>1472.926361</v>
          </cell>
          <cell r="F59">
            <v>1487.8186940000001</v>
          </cell>
          <cell r="G59">
            <v>1502.358217</v>
          </cell>
          <cell r="H59">
            <v>1516.582627</v>
          </cell>
          <cell r="I59">
            <v>1530.5409299999999</v>
          </cell>
          <cell r="J59">
            <v>1544.2847449999999</v>
          </cell>
          <cell r="K59">
            <v>1557.8617240000001</v>
          </cell>
          <cell r="L59">
            <v>1571.3940379999999</v>
          </cell>
          <cell r="M59">
            <v>1584.8911639999999</v>
          </cell>
          <cell r="N59">
            <v>1598.3604849999999</v>
          </cell>
          <cell r="O59">
            <v>1611.815259</v>
          </cell>
          <cell r="P59">
            <v>1625.271831</v>
          </cell>
          <cell r="Q59">
            <v>1638.748218</v>
          </cell>
          <cell r="R59">
            <v>1652.2634149999999</v>
          </cell>
          <cell r="S59">
            <v>1665.8368969999999</v>
          </cell>
          <cell r="T59">
            <v>1679.4882150000001</v>
          </cell>
          <cell r="U59">
            <v>1693.2367320000001</v>
          </cell>
          <cell r="V59">
            <v>1707.0432189999999</v>
          </cell>
          <cell r="W59">
            <v>1720.9457890000001</v>
          </cell>
          <cell r="X59">
            <v>1734.98026</v>
          </cell>
          <cell r="Y59">
            <v>1749.175373</v>
          </cell>
          <cell r="Z59">
            <v>1763.5557289999999</v>
          </cell>
          <cell r="AA59">
            <v>1777.977222</v>
          </cell>
          <cell r="AB59">
            <v>1792.4377159999999</v>
          </cell>
          <cell r="AC59">
            <v>1806.9539070000001</v>
          </cell>
          <cell r="AD59">
            <v>1821.5453150000001</v>
          </cell>
          <cell r="AE59">
            <v>1836.233442</v>
          </cell>
          <cell r="AF59">
            <v>1851.041958</v>
          </cell>
          <cell r="AG59">
            <v>1865.996441</v>
          </cell>
          <cell r="AH59">
            <v>1881.123799</v>
          </cell>
          <cell r="AI59">
            <v>1896.4516040000001</v>
          </cell>
          <cell r="AJ59">
            <v>1912.007458</v>
          </cell>
          <cell r="AK59">
            <v>1927.818454</v>
          </cell>
          <cell r="AL59">
            <v>1943.8712009999999</v>
          </cell>
          <cell r="AM59">
            <v>1960.163859</v>
          </cell>
          <cell r="AN59">
            <v>1976.711211</v>
          </cell>
          <cell r="AO59">
            <v>1993.539798</v>
          </cell>
          <cell r="AP59">
            <v>2010.6804299999999</v>
          </cell>
          <cell r="AQ59">
            <v>2028.154667</v>
          </cell>
          <cell r="AR59">
            <v>2045.974802</v>
          </cell>
          <cell r="AS59">
            <v>2064.1482569999998</v>
          </cell>
          <cell r="AT59">
            <v>2082.682867</v>
          </cell>
          <cell r="AU59">
            <v>2101.5902809999998</v>
          </cell>
          <cell r="AV59">
            <v>2120.8902109999999</v>
          </cell>
          <cell r="AW59">
            <v>2140.6046190000002</v>
          </cell>
          <cell r="AX59">
            <v>2160.7560979999998</v>
          </cell>
          <cell r="AY59">
            <v>2181.3667</v>
          </cell>
          <cell r="AZ59">
            <v>2202.4570549999999</v>
          </cell>
          <cell r="BA59">
            <v>2348.0538369999999</v>
          </cell>
          <cell r="BB59">
            <v>2379.1126669999999</v>
          </cell>
          <cell r="BC59">
            <v>2410.8315600000001</v>
          </cell>
          <cell r="BD59">
            <v>2443.2137870000001</v>
          </cell>
          <cell r="BE59">
            <v>2476.2628920000002</v>
          </cell>
        </row>
        <row r="60">
          <cell r="B60">
            <v>518.28476020000005</v>
          </cell>
          <cell r="C60">
            <v>524.20874209999999</v>
          </cell>
          <cell r="D60">
            <v>530.02609059999997</v>
          </cell>
          <cell r="E60">
            <v>535.70407690000002</v>
          </cell>
          <cell r="F60">
            <v>541.25133110000002</v>
          </cell>
          <cell r="G60">
            <v>546.69589970000004</v>
          </cell>
          <cell r="H60">
            <v>552.05374180000001</v>
          </cell>
          <cell r="I60">
            <v>557.34337719999996</v>
          </cell>
          <cell r="J60">
            <v>562.58289850000006</v>
          </cell>
          <cell r="K60">
            <v>567.78811719999999</v>
          </cell>
          <cell r="L60">
            <v>573.00162909999995</v>
          </cell>
          <cell r="M60">
            <v>578.22520810000003</v>
          </cell>
          <cell r="N60">
            <v>583.460058</v>
          </cell>
          <cell r="O60">
            <v>588.70974509999996</v>
          </cell>
          <cell r="P60">
            <v>593.97905730000002</v>
          </cell>
          <cell r="Q60">
            <v>599.27318260000004</v>
          </cell>
          <cell r="R60">
            <v>604.59753939999996</v>
          </cell>
          <cell r="S60">
            <v>609.95748360000005</v>
          </cell>
          <cell r="T60">
            <v>615.35827340000003</v>
          </cell>
          <cell r="U60">
            <v>620.80512499999998</v>
          </cell>
          <cell r="V60">
            <v>626.28202199999998</v>
          </cell>
          <cell r="W60">
            <v>631.80135749999999</v>
          </cell>
          <cell r="X60">
            <v>637.3749176</v>
          </cell>
          <cell r="Y60">
            <v>643.01208350000002</v>
          </cell>
          <cell r="Z60">
            <v>648.72083989999999</v>
          </cell>
          <cell r="AA60">
            <v>654.44763450000005</v>
          </cell>
          <cell r="AB60">
            <v>660.19065760000001</v>
          </cell>
          <cell r="AC60">
            <v>665.9550352</v>
          </cell>
          <cell r="AD60">
            <v>671.7469701</v>
          </cell>
          <cell r="AE60">
            <v>677.573397</v>
          </cell>
          <cell r="AF60">
            <v>683.44202329999996</v>
          </cell>
          <cell r="AG60">
            <v>689.36116770000001</v>
          </cell>
          <cell r="AH60">
            <v>695.3396047</v>
          </cell>
          <cell r="AI60">
            <v>701.38634130000003</v>
          </cell>
          <cell r="AJ60">
            <v>707.51039400000002</v>
          </cell>
          <cell r="AK60">
            <v>713.72059439999998</v>
          </cell>
          <cell r="AL60">
            <v>720.01052800000002</v>
          </cell>
          <cell r="AM60">
            <v>726.37805779999997</v>
          </cell>
          <cell r="AN60">
            <v>732.82489740000005</v>
          </cell>
          <cell r="AO60">
            <v>739.35489859999996</v>
          </cell>
          <cell r="AP60">
            <v>745.97301030000006</v>
          </cell>
          <cell r="AQ60">
            <v>752.68464779999999</v>
          </cell>
          <cell r="AR60">
            <v>759.49546439999995</v>
          </cell>
          <cell r="AS60">
            <v>766.4111752</v>
          </cell>
          <cell r="AT60">
            <v>773.43741509999995</v>
          </cell>
          <cell r="AU60">
            <v>780.57962810000004</v>
          </cell>
          <cell r="AV60">
            <v>787.84061699999995</v>
          </cell>
          <cell r="AW60">
            <v>795.22249260000001</v>
          </cell>
          <cell r="AX60">
            <v>802.72901019999995</v>
          </cell>
          <cell r="AY60">
            <v>810.36610029999997</v>
          </cell>
          <cell r="AZ60">
            <v>818.14134920000004</v>
          </cell>
          <cell r="BA60">
            <v>826.75095950000002</v>
          </cell>
          <cell r="BB60">
            <v>837.11272180000003</v>
          </cell>
          <cell r="BC60">
            <v>847.72050979999995</v>
          </cell>
          <cell r="BD60">
            <v>858.57579580000004</v>
          </cell>
          <cell r="BE60">
            <v>869.67987830000004</v>
          </cell>
        </row>
        <row r="61">
          <cell r="B61">
            <v>518.28165869999998</v>
          </cell>
          <cell r="C61">
            <v>524.16152499999998</v>
          </cell>
          <cell r="D61">
            <v>529.89701600000001</v>
          </cell>
          <cell r="E61">
            <v>535.46517589999996</v>
          </cell>
          <cell r="F61">
            <v>540.87917649999997</v>
          </cell>
          <cell r="G61">
            <v>546.1649152</v>
          </cell>
          <cell r="H61">
            <v>551.33609590000003</v>
          </cell>
          <cell r="I61">
            <v>556.41053409999995</v>
          </cell>
          <cell r="J61">
            <v>561.40699510000002</v>
          </cell>
          <cell r="K61">
            <v>566.34280260000003</v>
          </cell>
          <cell r="L61">
            <v>571.26236989999995</v>
          </cell>
          <cell r="M61">
            <v>576.16914280000003</v>
          </cell>
          <cell r="N61">
            <v>581.0658052</v>
          </cell>
          <cell r="O61">
            <v>585.95717669999999</v>
          </cell>
          <cell r="P61">
            <v>590.84919939999997</v>
          </cell>
          <cell r="Q61">
            <v>595.74842330000001</v>
          </cell>
          <cell r="R61">
            <v>600.66175399999997</v>
          </cell>
          <cell r="S61">
            <v>605.596271</v>
          </cell>
          <cell r="T61">
            <v>610.5590823</v>
          </cell>
          <cell r="U61">
            <v>615.55722739999999</v>
          </cell>
          <cell r="V61">
            <v>620.57644440000001</v>
          </cell>
          <cell r="W61">
            <v>625.63058920000003</v>
          </cell>
          <cell r="X61">
            <v>630.73268350000001</v>
          </cell>
          <cell r="Y61">
            <v>635.89317540000002</v>
          </cell>
          <cell r="Z61">
            <v>641.12100820000001</v>
          </cell>
          <cell r="AA61">
            <v>646.36379450000004</v>
          </cell>
          <cell r="AB61">
            <v>651.62075730000004</v>
          </cell>
          <cell r="AC61">
            <v>656.89796650000005</v>
          </cell>
          <cell r="AD61">
            <v>662.2025185</v>
          </cell>
          <cell r="AE61">
            <v>667.54223000000002</v>
          </cell>
          <cell r="AF61">
            <v>672.92570650000005</v>
          </cell>
          <cell r="AG61">
            <v>678.36224630000004</v>
          </cell>
          <cell r="AH61">
            <v>683.86163150000004</v>
          </cell>
          <cell r="AI61">
            <v>689.43388570000002</v>
          </cell>
          <cell r="AJ61">
            <v>695.0890435</v>
          </cell>
          <cell r="AK61">
            <v>700.83695460000001</v>
          </cell>
          <cell r="AL61">
            <v>706.67275029999996</v>
          </cell>
          <cell r="AM61">
            <v>712.59576240000001</v>
          </cell>
          <cell r="AN61">
            <v>718.61136469999997</v>
          </cell>
          <cell r="AO61">
            <v>724.72920599999998</v>
          </cell>
          <cell r="AP61">
            <v>730.96048710000002</v>
          </cell>
          <cell r="AQ61">
            <v>737.31304560000001</v>
          </cell>
          <cell r="AR61">
            <v>743.79135150000002</v>
          </cell>
          <cell r="AS61">
            <v>750.39810179999995</v>
          </cell>
          <cell r="AT61">
            <v>757.13614600000005</v>
          </cell>
          <cell r="AU61">
            <v>764.00971809999999</v>
          </cell>
          <cell r="AV61">
            <v>771.02598490000003</v>
          </cell>
          <cell r="AW61">
            <v>778.19293019999998</v>
          </cell>
          <cell r="AX61">
            <v>785.51876770000001</v>
          </cell>
          <cell r="AY61">
            <v>793.01151349999998</v>
          </cell>
          <cell r="AZ61">
            <v>800.67866809999998</v>
          </cell>
          <cell r="BA61">
            <v>843.12812159999999</v>
          </cell>
          <cell r="BB61">
            <v>854.19711310000002</v>
          </cell>
          <cell r="BC61">
            <v>865.50899930000003</v>
          </cell>
          <cell r="BD61">
            <v>877.06487609999999</v>
          </cell>
          <cell r="BE61">
            <v>888.86592389999998</v>
          </cell>
        </row>
        <row r="62">
          <cell r="B62">
            <v>3989.8344940000002</v>
          </cell>
          <cell r="C62">
            <v>4035.4382019999998</v>
          </cell>
          <cell r="D62">
            <v>4080.221031</v>
          </cell>
          <cell r="E62">
            <v>4123.9310290000003</v>
          </cell>
          <cell r="F62">
            <v>4166.6346309999999</v>
          </cell>
          <cell r="G62">
            <v>4208.5477440000004</v>
          </cell>
          <cell r="H62">
            <v>4249.7932229999997</v>
          </cell>
          <cell r="I62">
            <v>4290.513637</v>
          </cell>
          <cell r="J62">
            <v>4330.8482640000002</v>
          </cell>
          <cell r="K62">
            <v>4370.9188260000001</v>
          </cell>
          <cell r="L62">
            <v>4411.0532290000001</v>
          </cell>
          <cell r="M62">
            <v>4451.2651299999998</v>
          </cell>
          <cell r="N62">
            <v>4491.5637960000004</v>
          </cell>
          <cell r="O62">
            <v>4531.9766820000004</v>
          </cell>
          <cell r="P62">
            <v>4572.540645</v>
          </cell>
          <cell r="Q62">
            <v>4613.2956219999996</v>
          </cell>
          <cell r="R62">
            <v>4654.2833270000001</v>
          </cell>
          <cell r="S62">
            <v>4695.5449879999996</v>
          </cell>
          <cell r="T62">
            <v>4737.1210840000003</v>
          </cell>
          <cell r="U62">
            <v>4779.0517719999998</v>
          </cell>
          <cell r="V62">
            <v>4821.2137540000003</v>
          </cell>
          <cell r="W62">
            <v>4863.7024330000004</v>
          </cell>
          <cell r="X62">
            <v>4906.6085430000003</v>
          </cell>
          <cell r="Y62">
            <v>4950.0042979999998</v>
          </cell>
          <cell r="Z62">
            <v>4993.9511689999999</v>
          </cell>
          <cell r="AA62">
            <v>5038.0369000000001</v>
          </cell>
          <cell r="AB62">
            <v>5082.2475610000001</v>
          </cell>
          <cell r="AC62">
            <v>5126.6226120000001</v>
          </cell>
          <cell r="AD62">
            <v>5171.2098020000003</v>
          </cell>
          <cell r="AE62">
            <v>5216.0625179999997</v>
          </cell>
          <cell r="AF62">
            <v>5261.2400909999997</v>
          </cell>
          <cell r="AG62">
            <v>5306.8065610000003</v>
          </cell>
          <cell r="AH62">
            <v>5352.8294729999998</v>
          </cell>
          <cell r="AI62">
            <v>5399.3781660000004</v>
          </cell>
          <cell r="AJ62">
            <v>5446.5220509999999</v>
          </cell>
          <cell r="AK62">
            <v>5494.3291129999998</v>
          </cell>
          <cell r="AL62">
            <v>5542.749973</v>
          </cell>
          <cell r="AM62">
            <v>5591.76818</v>
          </cell>
          <cell r="AN62">
            <v>5641.3969269999998</v>
          </cell>
          <cell r="AO62">
            <v>5691.6658639999996</v>
          </cell>
          <cell r="AP62">
            <v>5742.6130899999998</v>
          </cell>
          <cell r="AQ62">
            <v>5794.2802899999997</v>
          </cell>
          <cell r="AR62">
            <v>5846.7109870000004</v>
          </cell>
          <cell r="AS62">
            <v>5899.9491749999997</v>
          </cell>
          <cell r="AT62">
            <v>5954.0382330000002</v>
          </cell>
          <cell r="AU62">
            <v>6009.0200690000001</v>
          </cell>
          <cell r="AV62">
            <v>6064.91626</v>
          </cell>
          <cell r="AW62">
            <v>6121.7430549999999</v>
          </cell>
          <cell r="AX62">
            <v>6179.529364</v>
          </cell>
          <cell r="AY62">
            <v>6238.3208379999996</v>
          </cell>
          <cell r="AZ62">
            <v>6298.1758799999998</v>
          </cell>
          <cell r="BA62">
            <v>6279.5823499999997</v>
          </cell>
          <cell r="BB62">
            <v>6367.1195879999996</v>
          </cell>
          <cell r="BC62">
            <v>6456.9473399999997</v>
          </cell>
          <cell r="BD62">
            <v>6549.0697090000003</v>
          </cell>
          <cell r="BE62">
            <v>6643.4899400000004</v>
          </cell>
        </row>
        <row r="63">
          <cell r="B63">
            <v>3989.810618</v>
          </cell>
          <cell r="C63">
            <v>4035.0747179999998</v>
          </cell>
          <cell r="D63">
            <v>4079.2273960000002</v>
          </cell>
          <cell r="E63">
            <v>4122.0919329999997</v>
          </cell>
          <cell r="F63">
            <v>4163.7697289999996</v>
          </cell>
          <cell r="G63">
            <v>4204.460145</v>
          </cell>
          <cell r="H63">
            <v>4244.268677</v>
          </cell>
          <cell r="I63">
            <v>4283.3324700000003</v>
          </cell>
          <cell r="J63">
            <v>4321.7959819999996</v>
          </cell>
          <cell r="K63">
            <v>4359.7925750000004</v>
          </cell>
          <cell r="L63">
            <v>4397.6641479999998</v>
          </cell>
          <cell r="M63">
            <v>4435.4372279999998</v>
          </cell>
          <cell r="N63">
            <v>4473.1324759999998</v>
          </cell>
          <cell r="O63">
            <v>4510.786994</v>
          </cell>
          <cell r="P63">
            <v>4548.4465250000003</v>
          </cell>
          <cell r="Q63">
            <v>4586.1614920000002</v>
          </cell>
          <cell r="R63">
            <v>4623.9850550000001</v>
          </cell>
          <cell r="S63">
            <v>4661.9717129999999</v>
          </cell>
          <cell r="T63">
            <v>4700.1761850000003</v>
          </cell>
          <cell r="U63">
            <v>4738.6526629999998</v>
          </cell>
          <cell r="V63">
            <v>4777.291354</v>
          </cell>
          <cell r="W63">
            <v>4816.198926</v>
          </cell>
          <cell r="X63">
            <v>4855.4756189999998</v>
          </cell>
          <cell r="Y63">
            <v>4895.2018669999998</v>
          </cell>
          <cell r="Z63">
            <v>4935.4465140000002</v>
          </cell>
          <cell r="AA63">
            <v>4975.8062769999997</v>
          </cell>
          <cell r="AB63">
            <v>5016.2751719999997</v>
          </cell>
          <cell r="AC63">
            <v>5056.8999260000001</v>
          </cell>
          <cell r="AD63">
            <v>5097.7351710000003</v>
          </cell>
          <cell r="AE63">
            <v>5138.841077</v>
          </cell>
          <cell r="AF63">
            <v>5180.2838940000001</v>
          </cell>
          <cell r="AG63">
            <v>5222.1351999999997</v>
          </cell>
          <cell r="AH63">
            <v>5264.4702989999996</v>
          </cell>
          <cell r="AI63">
            <v>5307.3663550000001</v>
          </cell>
          <cell r="AJ63">
            <v>5350.9006149999996</v>
          </cell>
          <cell r="AK63">
            <v>5395.1489039999997</v>
          </cell>
          <cell r="AL63">
            <v>5440.0737429999999</v>
          </cell>
          <cell r="AM63">
            <v>5485.6699859999999</v>
          </cell>
          <cell r="AN63">
            <v>5531.979002</v>
          </cell>
          <cell r="AO63">
            <v>5579.0750699999999</v>
          </cell>
          <cell r="AP63">
            <v>5627.044414</v>
          </cell>
          <cell r="AQ63">
            <v>5675.9473710000002</v>
          </cell>
          <cell r="AR63">
            <v>5725.8183499999996</v>
          </cell>
          <cell r="AS63">
            <v>5776.6781129999999</v>
          </cell>
          <cell r="AT63">
            <v>5828.548597</v>
          </cell>
          <cell r="AU63">
            <v>5881.4623949999996</v>
          </cell>
          <cell r="AV63">
            <v>5935.4746789999999</v>
          </cell>
          <cell r="AW63">
            <v>5990.6469079999997</v>
          </cell>
          <cell r="AX63">
            <v>6047.0423119999996</v>
          </cell>
          <cell r="AY63">
            <v>6104.7226039999996</v>
          </cell>
          <cell r="AZ63">
            <v>6163.7455200000004</v>
          </cell>
          <cell r="BA63">
            <v>6275.9039229999998</v>
          </cell>
          <cell r="BB63">
            <v>6358.980654</v>
          </cell>
          <cell r="BC63">
            <v>6443.9139329999998</v>
          </cell>
          <cell r="BD63">
            <v>6530.7056890000003</v>
          </cell>
          <cell r="BE63">
            <v>6619.3587230000003</v>
          </cell>
        </row>
        <row r="64">
          <cell r="B64">
            <v>4700.1840309999998</v>
          </cell>
          <cell r="C64">
            <v>4754.459965</v>
          </cell>
          <cell r="D64">
            <v>4808.8709550000003</v>
          </cell>
          <cell r="E64">
            <v>4863.1931009999998</v>
          </cell>
          <cell r="F64">
            <v>4917.3852939999997</v>
          </cell>
          <cell r="G64">
            <v>4971.5247259999996</v>
          </cell>
          <cell r="H64">
            <v>5025.5109549999997</v>
          </cell>
          <cell r="I64">
            <v>5079.3206689999997</v>
          </cell>
          <cell r="J64">
            <v>5132.9922420000003</v>
          </cell>
          <cell r="K64">
            <v>5186.587415</v>
          </cell>
          <cell r="L64">
            <v>5240.5593699999999</v>
          </cell>
          <cell r="M64">
            <v>5294.8432240000002</v>
          </cell>
          <cell r="N64">
            <v>5349.3530129999999</v>
          </cell>
          <cell r="O64">
            <v>5404.0458339999996</v>
          </cell>
          <cell r="P64">
            <v>5458.9096950000003</v>
          </cell>
          <cell r="Q64">
            <v>5513.9485409999998</v>
          </cell>
          <cell r="R64">
            <v>5569.1754190000001</v>
          </cell>
          <cell r="S64">
            <v>5624.6061410000002</v>
          </cell>
          <cell r="T64">
            <v>5680.2569270000004</v>
          </cell>
          <cell r="U64">
            <v>5736.1441480000003</v>
          </cell>
          <cell r="V64">
            <v>5792.0145110000003</v>
          </cell>
          <cell r="W64">
            <v>5847.9710320000004</v>
          </cell>
          <cell r="X64">
            <v>5904.1249680000001</v>
          </cell>
          <cell r="Y64">
            <v>5960.553347</v>
          </cell>
          <cell r="Z64">
            <v>6017.3088449999996</v>
          </cell>
          <cell r="AA64">
            <v>6073.676074</v>
          </cell>
          <cell r="AB64">
            <v>6129.5692639999997</v>
          </cell>
          <cell r="AC64">
            <v>6185.0275339999998</v>
          </cell>
          <cell r="AD64">
            <v>6240.1090210000002</v>
          </cell>
          <cell r="AE64">
            <v>6294.8737549999996</v>
          </cell>
          <cell r="AF64">
            <v>6349.382533</v>
          </cell>
          <cell r="AG64">
            <v>6403.6969779999999</v>
          </cell>
          <cell r="AH64">
            <v>6457.8802759999999</v>
          </cell>
          <cell r="AI64">
            <v>6511.9969510000001</v>
          </cell>
          <cell r="AJ64">
            <v>6566.1120989999999</v>
          </cell>
          <cell r="AK64">
            <v>6620.2904879999996</v>
          </cell>
          <cell r="AL64">
            <v>6674.4207319999996</v>
          </cell>
          <cell r="AM64">
            <v>6728.4429490000002</v>
          </cell>
          <cell r="AN64">
            <v>6782.3538369999997</v>
          </cell>
          <cell r="AO64">
            <v>6836.1841839999997</v>
          </cell>
          <cell r="AP64">
            <v>6889.9822270000004</v>
          </cell>
          <cell r="AQ64">
            <v>6943.8032759999996</v>
          </cell>
          <cell r="AR64">
            <v>6997.7057489999997</v>
          </cell>
          <cell r="AS64">
            <v>7051.7490109999999</v>
          </cell>
          <cell r="AT64">
            <v>7105.992013</v>
          </cell>
          <cell r="AU64">
            <v>7160.4923989999998</v>
          </cell>
          <cell r="AV64">
            <v>7215.2909760000002</v>
          </cell>
          <cell r="AW64">
            <v>7270.4177810000001</v>
          </cell>
          <cell r="AX64">
            <v>7325.90967</v>
          </cell>
          <cell r="AY64">
            <v>7381.8166039999996</v>
          </cell>
          <cell r="AZ64">
            <v>7438.1998359999998</v>
          </cell>
          <cell r="BA64">
            <v>7835.2333630000003</v>
          </cell>
          <cell r="BB64">
            <v>7924.841547</v>
          </cell>
          <cell r="BC64">
            <v>8016.2188239999996</v>
          </cell>
          <cell r="BD64">
            <v>8109.3837100000001</v>
          </cell>
          <cell r="BE64">
            <v>8204.3534830000008</v>
          </cell>
        </row>
        <row r="65">
          <cell r="B65">
            <v>4700.167434</v>
          </cell>
          <cell r="C65">
            <v>4754.0593390000004</v>
          </cell>
          <cell r="D65">
            <v>4807.9001250000001</v>
          </cell>
          <cell r="E65">
            <v>4861.7229120000002</v>
          </cell>
          <cell r="F65">
            <v>4915.6672150000004</v>
          </cell>
          <cell r="G65">
            <v>4969.8948529999998</v>
          </cell>
          <cell r="H65">
            <v>5024.3321249999999</v>
          </cell>
          <cell r="I65">
            <v>5078.9718149999999</v>
          </cell>
          <cell r="J65">
            <v>5133.8668610000004</v>
          </cell>
          <cell r="K65">
            <v>5189.0877630000005</v>
          </cell>
          <cell r="L65">
            <v>5245.0871040000002</v>
          </cell>
          <cell r="M65">
            <v>5301.7925349999996</v>
          </cell>
          <cell r="N65">
            <v>5359.1068029999997</v>
          </cell>
          <cell r="O65">
            <v>5416.975171</v>
          </cell>
          <cell r="P65">
            <v>5475.3733860000002</v>
          </cell>
          <cell r="Q65">
            <v>5534.2897540000004</v>
          </cell>
          <cell r="R65">
            <v>5593.7146860000003</v>
          </cell>
          <cell r="S65">
            <v>5653.6368110000003</v>
          </cell>
          <cell r="T65">
            <v>5714.0426589999997</v>
          </cell>
          <cell r="U65">
            <v>5774.9177339999997</v>
          </cell>
          <cell r="V65">
            <v>5835.977879</v>
          </cell>
          <cell r="W65">
            <v>5897.2952800000003</v>
          </cell>
          <cell r="X65">
            <v>5958.9515039999997</v>
          </cell>
          <cell r="Y65">
            <v>6020.9952389999999</v>
          </cell>
          <cell r="Z65">
            <v>6083.4523390000004</v>
          </cell>
          <cell r="AA65">
            <v>6145.5825940000004</v>
          </cell>
          <cell r="AB65">
            <v>6207.2786669999996</v>
          </cell>
          <cell r="AC65">
            <v>6268.5610310000002</v>
          </cell>
          <cell r="AD65">
            <v>6329.4715889999998</v>
          </cell>
          <cell r="AE65">
            <v>6390.0562369999998</v>
          </cell>
          <cell r="AF65">
            <v>6450.3635340000001</v>
          </cell>
          <cell r="AG65">
            <v>6510.4451740000004</v>
          </cell>
          <cell r="AH65">
            <v>6570.3558990000001</v>
          </cell>
          <cell r="AI65">
            <v>6630.1528749999998</v>
          </cell>
          <cell r="AJ65">
            <v>6689.8948419999997</v>
          </cell>
          <cell r="AK65">
            <v>6749.6413220000004</v>
          </cell>
          <cell r="AL65">
            <v>6809.2825009999997</v>
          </cell>
          <cell r="AM65">
            <v>6868.7617529999998</v>
          </cell>
          <cell r="AN65">
            <v>6927.989544</v>
          </cell>
          <cell r="AO65">
            <v>6986.8432329999996</v>
          </cell>
          <cell r="AP65">
            <v>7045.2283669999997</v>
          </cell>
          <cell r="AQ65">
            <v>7103.0878460000004</v>
          </cell>
          <cell r="AR65">
            <v>7160.3883569999998</v>
          </cell>
          <cell r="AS65">
            <v>7217.1180480000003</v>
          </cell>
          <cell r="AT65">
            <v>7273.2925400000004</v>
          </cell>
          <cell r="AU65">
            <v>7328.9586230000004</v>
          </cell>
          <cell r="AV65">
            <v>7384.2058569999999</v>
          </cell>
          <cell r="AW65">
            <v>7439.1402269999999</v>
          </cell>
          <cell r="AX65">
            <v>7493.8752999999997</v>
          </cell>
          <cell r="AY65">
            <v>7548.5266110000002</v>
          </cell>
          <cell r="AZ65">
            <v>7603.207609</v>
          </cell>
          <cell r="BA65">
            <v>7874.7870460000004</v>
          </cell>
          <cell r="BB65">
            <v>7959.7424099999998</v>
          </cell>
          <cell r="BC65">
            <v>8045.8550219999997</v>
          </cell>
          <cell r="BD65">
            <v>8133.1440060000004</v>
          </cell>
          <cell r="BE65">
            <v>8221.6304949999994</v>
          </cell>
        </row>
        <row r="66">
          <cell r="B66">
            <v>65.174139780000004</v>
          </cell>
          <cell r="C66">
            <v>65.919078560000003</v>
          </cell>
          <cell r="D66">
            <v>66.650608250000005</v>
          </cell>
          <cell r="E66">
            <v>67.364613180000006</v>
          </cell>
          <cell r="F66">
            <v>68.062178579999994</v>
          </cell>
          <cell r="G66">
            <v>68.746831319999998</v>
          </cell>
          <cell r="H66">
            <v>69.420578210000002</v>
          </cell>
          <cell r="I66">
            <v>70.085748140000007</v>
          </cell>
          <cell r="J66">
            <v>70.744616239999999</v>
          </cell>
          <cell r="K66">
            <v>71.399170799999993</v>
          </cell>
          <cell r="L66">
            <v>72.05476822</v>
          </cell>
          <cell r="M66">
            <v>72.711631580000002</v>
          </cell>
          <cell r="N66">
            <v>73.369912240000005</v>
          </cell>
          <cell r="O66">
            <v>74.030058690000004</v>
          </cell>
          <cell r="P66">
            <v>74.692672990000005</v>
          </cell>
          <cell r="Q66">
            <v>75.35840752</v>
          </cell>
          <cell r="R66">
            <v>76.027943649999997</v>
          </cell>
          <cell r="S66">
            <v>76.701954889999996</v>
          </cell>
          <cell r="T66">
            <v>77.381102440000006</v>
          </cell>
          <cell r="U66">
            <v>78.066042249999995</v>
          </cell>
          <cell r="V66">
            <v>78.754760270000006</v>
          </cell>
          <cell r="W66">
            <v>79.448814900000002</v>
          </cell>
          <cell r="X66">
            <v>80.149688280000007</v>
          </cell>
          <cell r="Y66">
            <v>80.858560049999994</v>
          </cell>
          <cell r="Z66">
            <v>81.576434320000004</v>
          </cell>
          <cell r="AA66">
            <v>82.296576860000002</v>
          </cell>
          <cell r="AB66">
            <v>83.018760150000006</v>
          </cell>
          <cell r="AC66">
            <v>83.743628760000007</v>
          </cell>
          <cell r="AD66">
            <v>84.471962680000004</v>
          </cell>
          <cell r="AE66">
            <v>85.204633959999995</v>
          </cell>
          <cell r="AF66">
            <v>85.942611810000002</v>
          </cell>
          <cell r="AG66">
            <v>86.686942299999998</v>
          </cell>
          <cell r="AH66">
            <v>87.438728789999999</v>
          </cell>
          <cell r="AI66">
            <v>88.199103960000002</v>
          </cell>
          <cell r="AJ66">
            <v>88.969201589999997</v>
          </cell>
          <cell r="AK66">
            <v>89.750132269999995</v>
          </cell>
          <cell r="AL66">
            <v>90.541089369999995</v>
          </cell>
          <cell r="AM66">
            <v>91.341804159999995</v>
          </cell>
          <cell r="AN66">
            <v>92.152492140000007</v>
          </cell>
          <cell r="AO66">
            <v>92.973637670000002</v>
          </cell>
          <cell r="AP66">
            <v>93.805863070000001</v>
          </cell>
          <cell r="AQ66">
            <v>94.649849290000006</v>
          </cell>
          <cell r="AR66">
            <v>95.50630726</v>
          </cell>
          <cell r="AS66">
            <v>96.375955640000001</v>
          </cell>
          <cell r="AT66">
            <v>97.259503019999997</v>
          </cell>
          <cell r="AU66">
            <v>98.157633970000006</v>
          </cell>
          <cell r="AV66">
            <v>99.070700970000004</v>
          </cell>
          <cell r="AW66">
            <v>99.998969419999995</v>
          </cell>
          <cell r="AX66">
            <v>100.9429116</v>
          </cell>
          <cell r="AY66">
            <v>101.9032732</v>
          </cell>
          <cell r="AZ66">
            <v>102.8810082</v>
          </cell>
          <cell r="BA66">
            <v>111.85405609999999</v>
          </cell>
          <cell r="BB66">
            <v>113.4873051</v>
          </cell>
          <cell r="BC66">
            <v>115.1586001</v>
          </cell>
          <cell r="BD66">
            <v>116.8681406</v>
          </cell>
          <cell r="BE66">
            <v>118.6161168</v>
          </cell>
        </row>
        <row r="67">
          <cell r="B67">
            <v>65.173749760000007</v>
          </cell>
          <cell r="C67">
            <v>65.913141039999999</v>
          </cell>
          <cell r="D67">
            <v>66.63437716</v>
          </cell>
          <cell r="E67">
            <v>67.334571449999999</v>
          </cell>
          <cell r="F67">
            <v>68.015380269999994</v>
          </cell>
          <cell r="G67">
            <v>68.680060190000006</v>
          </cell>
          <cell r="H67">
            <v>69.330334480000005</v>
          </cell>
          <cell r="I67">
            <v>69.968443429999994</v>
          </cell>
          <cell r="J67">
            <v>70.596746769999996</v>
          </cell>
          <cell r="K67">
            <v>71.21742295</v>
          </cell>
          <cell r="L67">
            <v>71.836056940000006</v>
          </cell>
          <cell r="M67">
            <v>72.453082030000004</v>
          </cell>
          <cell r="N67">
            <v>73.068835730000004</v>
          </cell>
          <cell r="O67">
            <v>73.683924099999999</v>
          </cell>
          <cell r="P67">
            <v>74.299094370000006</v>
          </cell>
          <cell r="Q67">
            <v>74.915170180000004</v>
          </cell>
          <cell r="R67">
            <v>75.533019920000001</v>
          </cell>
          <cell r="S67">
            <v>76.153533820000007</v>
          </cell>
          <cell r="T67">
            <v>76.777605719999997</v>
          </cell>
          <cell r="U67">
            <v>77.40612084</v>
          </cell>
          <cell r="V67">
            <v>78.037285740000002</v>
          </cell>
          <cell r="W67">
            <v>78.672842810000006</v>
          </cell>
          <cell r="X67">
            <v>79.314429500000003</v>
          </cell>
          <cell r="Y67">
            <v>79.963359679999996</v>
          </cell>
          <cell r="Z67">
            <v>80.620757949999998</v>
          </cell>
          <cell r="AA67">
            <v>81.280036620000004</v>
          </cell>
          <cell r="AB67">
            <v>81.941097979999995</v>
          </cell>
          <cell r="AC67">
            <v>82.60470531</v>
          </cell>
          <cell r="AD67">
            <v>83.271751010000003</v>
          </cell>
          <cell r="AE67">
            <v>83.94321798</v>
          </cell>
          <cell r="AF67">
            <v>84.620188400000004</v>
          </cell>
          <cell r="AG67">
            <v>85.303831509999995</v>
          </cell>
          <cell r="AH67">
            <v>85.995377410000003</v>
          </cell>
          <cell r="AI67">
            <v>86.696086559999998</v>
          </cell>
          <cell r="AJ67">
            <v>87.407220809999998</v>
          </cell>
          <cell r="AK67">
            <v>88.130018759999999</v>
          </cell>
          <cell r="AL67">
            <v>88.863868170000003</v>
          </cell>
          <cell r="AM67">
            <v>89.608685010000002</v>
          </cell>
          <cell r="AN67">
            <v>90.365145029999994</v>
          </cell>
          <cell r="AO67">
            <v>91.134461580000007</v>
          </cell>
          <cell r="AP67">
            <v>91.918043150000003</v>
          </cell>
          <cell r="AQ67">
            <v>92.71687532</v>
          </cell>
          <cell r="AR67">
            <v>93.531520169999993</v>
          </cell>
          <cell r="AS67">
            <v>94.362316879999995</v>
          </cell>
          <cell r="AT67">
            <v>95.209623750000006</v>
          </cell>
          <cell r="AU67">
            <v>96.073973190000004</v>
          </cell>
          <cell r="AV67">
            <v>96.956266459999995</v>
          </cell>
          <cell r="AW67">
            <v>97.857507499999997</v>
          </cell>
          <cell r="AX67">
            <v>98.778729170000005</v>
          </cell>
          <cell r="AY67">
            <v>99.720939520000002</v>
          </cell>
          <cell r="AZ67">
            <v>100.6850817</v>
          </cell>
          <cell r="BA67">
            <v>111.3020337</v>
          </cell>
          <cell r="BB67">
            <v>112.8181628</v>
          </cell>
          <cell r="BC67">
            <v>114.36297039999999</v>
          </cell>
          <cell r="BD67">
            <v>115.93661729999999</v>
          </cell>
          <cell r="BE67">
            <v>117.53928500000001</v>
          </cell>
        </row>
      </sheetData>
      <sheetData sheetId="6">
        <row r="3">
          <cell r="F3">
            <v>32317.940999999999</v>
          </cell>
          <cell r="G3">
            <v>31939.351060000001</v>
          </cell>
          <cell r="H3">
            <v>31768.191719999999</v>
          </cell>
          <cell r="I3">
            <v>31737.829959999999</v>
          </cell>
          <cell r="J3">
            <v>31803.955259999999</v>
          </cell>
          <cell r="K3">
            <v>31937.514220000001</v>
          </cell>
          <cell r="L3">
            <v>32115.51138</v>
          </cell>
          <cell r="M3">
            <v>32325.26943</v>
          </cell>
          <cell r="N3">
            <v>32558.188969999999</v>
          </cell>
          <cell r="O3">
            <v>32808.313889999998</v>
          </cell>
          <cell r="P3">
            <v>33078.186179999997</v>
          </cell>
          <cell r="Q3">
            <v>33357.535109999997</v>
          </cell>
          <cell r="R3">
            <v>33643.84994</v>
          </cell>
          <cell r="S3">
            <v>33935.092490000003</v>
          </cell>
          <cell r="T3">
            <v>34229.704729999998</v>
          </cell>
          <cell r="U3">
            <v>34526.539510000002</v>
          </cell>
          <cell r="V3">
            <v>34824.762110000003</v>
          </cell>
          <cell r="W3">
            <v>35123.76324</v>
          </cell>
          <cell r="X3">
            <v>35423.086609999998</v>
          </cell>
          <cell r="Y3">
            <v>35722.376519999998</v>
          </cell>
          <cell r="Z3">
            <v>36016.488279999998</v>
          </cell>
          <cell r="AA3">
            <v>36310.366090000003</v>
          </cell>
          <cell r="AB3">
            <v>36603.908589999999</v>
          </cell>
          <cell r="AC3">
            <v>36897.089549999997</v>
          </cell>
          <cell r="AD3">
            <v>37189.852480000001</v>
          </cell>
          <cell r="AE3">
            <v>37468.418180000001</v>
          </cell>
          <cell r="AF3">
            <v>37740.819349999998</v>
          </cell>
          <cell r="AG3">
            <v>38007.610309999996</v>
          </cell>
          <cell r="AH3">
            <v>38269.616699999999</v>
          </cell>
          <cell r="AI3">
            <v>38527.714789999998</v>
          </cell>
          <cell r="AJ3">
            <v>38782.708189999998</v>
          </cell>
          <cell r="AK3">
            <v>39035.281309999998</v>
          </cell>
          <cell r="AL3">
            <v>39285.994639999997</v>
          </cell>
          <cell r="AM3">
            <v>39535.303099999997</v>
          </cell>
          <cell r="AN3">
            <v>39783.5821</v>
          </cell>
          <cell r="AO3">
            <v>40031.151830000003</v>
          </cell>
          <cell r="AP3">
            <v>40275.203150000001</v>
          </cell>
          <cell r="AQ3">
            <v>40516.205370000003</v>
          </cell>
          <cell r="AR3">
            <v>40754.676310000003</v>
          </cell>
          <cell r="AS3">
            <v>40991.210679999997</v>
          </cell>
          <cell r="AT3">
            <v>41226.437819999999</v>
          </cell>
          <cell r="AU3">
            <v>41460.972439999998</v>
          </cell>
          <cell r="AV3">
            <v>41695.375950000001</v>
          </cell>
          <cell r="AW3">
            <v>41930.137009999999</v>
          </cell>
          <cell r="AX3">
            <v>42165.667159999997</v>
          </cell>
          <cell r="AY3">
            <v>42402.304819999998</v>
          </cell>
          <cell r="AZ3">
            <v>42640.620459999998</v>
          </cell>
          <cell r="BA3">
            <v>42880.748749999999</v>
          </cell>
          <cell r="BB3">
            <v>43122.228230000001</v>
          </cell>
          <cell r="BC3">
            <v>43364.557209999999</v>
          </cell>
          <cell r="BD3">
            <v>43607.449289999997</v>
          </cell>
          <cell r="BE3">
            <v>46008.79161</v>
          </cell>
          <cell r="BF3">
            <v>46338.604979999996</v>
          </cell>
          <cell r="BG3">
            <v>46669.607629999999</v>
          </cell>
          <cell r="BH3">
            <v>47001.910230000001</v>
          </cell>
          <cell r="BI3">
            <v>47335.641969999997</v>
          </cell>
        </row>
        <row r="4">
          <cell r="F4">
            <v>32271.24</v>
          </cell>
          <cell r="G4">
            <v>31874.833890000002</v>
          </cell>
          <cell r="H4">
            <v>31684.918229999999</v>
          </cell>
          <cell r="I4">
            <v>31635.349719999998</v>
          </cell>
          <cell r="J4">
            <v>31682.127850000001</v>
          </cell>
          <cell r="K4">
            <v>31796.38855</v>
          </cell>
          <cell r="L4">
            <v>31955.28557</v>
          </cell>
          <cell r="M4">
            <v>32146.20822</v>
          </cell>
          <cell r="N4">
            <v>32360.59434</v>
          </cell>
          <cell r="O4">
            <v>32592.506450000001</v>
          </cell>
          <cell r="P4">
            <v>32844.42914</v>
          </cell>
          <cell r="Q4">
            <v>33106.156289999999</v>
          </cell>
          <cell r="R4">
            <v>33375.173629999998</v>
          </cell>
          <cell r="S4">
            <v>33649.436690000002</v>
          </cell>
          <cell r="T4">
            <v>33927.377840000001</v>
          </cell>
          <cell r="U4">
            <v>34207.837330000002</v>
          </cell>
          <cell r="V4">
            <v>34489.965450000003</v>
          </cell>
          <cell r="W4">
            <v>34773.136140000002</v>
          </cell>
          <cell r="X4">
            <v>35056.875010000003</v>
          </cell>
          <cell r="Y4">
            <v>35340.807240000002</v>
          </cell>
          <cell r="Z4">
            <v>35619.816500000001</v>
          </cell>
          <cell r="AA4">
            <v>35898.776440000001</v>
          </cell>
          <cell r="AB4">
            <v>36177.562420000002</v>
          </cell>
          <cell r="AC4">
            <v>36456.123399999997</v>
          </cell>
          <cell r="AD4">
            <v>36734.377529999998</v>
          </cell>
          <cell r="AE4">
            <v>36998.661039999999</v>
          </cell>
          <cell r="AF4">
            <v>37256.902309999998</v>
          </cell>
          <cell r="AG4">
            <v>37509.6227</v>
          </cell>
          <cell r="AH4">
            <v>37757.609859999997</v>
          </cell>
          <cell r="AI4">
            <v>38001.699099999998</v>
          </cell>
          <cell r="AJ4">
            <v>38242.651319999997</v>
          </cell>
          <cell r="AK4">
            <v>38481.106879999999</v>
          </cell>
          <cell r="AL4">
            <v>38717.580900000001</v>
          </cell>
          <cell r="AM4">
            <v>38952.48143</v>
          </cell>
          <cell r="AN4">
            <v>39186.135130000002</v>
          </cell>
          <cell r="AO4">
            <v>39418.81121</v>
          </cell>
          <cell r="AP4">
            <v>39647.683830000002</v>
          </cell>
          <cell r="AQ4">
            <v>39873.165889999997</v>
          </cell>
          <cell r="AR4">
            <v>40095.714460000003</v>
          </cell>
          <cell r="AS4">
            <v>40315.858350000002</v>
          </cell>
          <cell r="AT4">
            <v>40534.156060000001</v>
          </cell>
          <cell r="AU4">
            <v>40751.146630000003</v>
          </cell>
          <cell r="AV4">
            <v>40967.311110000002</v>
          </cell>
          <cell r="AW4">
            <v>41183.053070000002</v>
          </cell>
          <cell r="AX4">
            <v>41398.693850000003</v>
          </cell>
          <cell r="AY4">
            <v>41614.476199999997</v>
          </cell>
          <cell r="AZ4">
            <v>41830.86421</v>
          </cell>
          <cell r="BA4">
            <v>42047.883710000002</v>
          </cell>
          <cell r="BB4">
            <v>42264.965129999997</v>
          </cell>
          <cell r="BC4">
            <v>42481.491499999996</v>
          </cell>
          <cell r="BD4">
            <v>42697.04952</v>
          </cell>
          <cell r="BE4">
            <v>45733.742980000003</v>
          </cell>
          <cell r="BF4">
            <v>46096.605170000003</v>
          </cell>
          <cell r="BG4">
            <v>46464.389629999998</v>
          </cell>
          <cell r="BH4">
            <v>46837.523480000003</v>
          </cell>
          <cell r="BI4">
            <v>47216.482490000002</v>
          </cell>
        </row>
        <row r="12">
          <cell r="F12">
            <v>44.765000000000001</v>
          </cell>
          <cell r="G12">
            <v>62.524489260000003</v>
          </cell>
          <cell r="H12">
            <v>81.212913090000001</v>
          </cell>
          <cell r="I12">
            <v>100.34546640000001</v>
          </cell>
          <cell r="J12">
            <v>119.6152986</v>
          </cell>
          <cell r="K12">
            <v>138.83508409999999</v>
          </cell>
          <cell r="L12">
            <v>157.85716120000001</v>
          </cell>
          <cell r="M12">
            <v>176.6156373</v>
          </cell>
          <cell r="N12">
            <v>195.07372649999999</v>
          </cell>
          <cell r="O12">
            <v>213.2130421</v>
          </cell>
          <cell r="P12">
            <v>231.09054839999999</v>
          </cell>
          <cell r="Q12">
            <v>248.64227</v>
          </cell>
          <cell r="R12">
            <v>265.87175159999998</v>
          </cell>
          <cell r="S12">
            <v>282.78528399999999</v>
          </cell>
          <cell r="T12">
            <v>299.39243449999998</v>
          </cell>
          <cell r="U12">
            <v>315.70575830000001</v>
          </cell>
          <cell r="V12">
            <v>331.74016760000001</v>
          </cell>
          <cell r="W12">
            <v>347.51235800000001</v>
          </cell>
          <cell r="X12">
            <v>363.04034830000001</v>
          </cell>
          <cell r="Y12">
            <v>378.34317950000002</v>
          </cell>
          <cell r="Z12">
            <v>393.39283289999997</v>
          </cell>
          <cell r="AA12">
            <v>408.25931809999997</v>
          </cell>
          <cell r="AB12">
            <v>422.96586300000001</v>
          </cell>
          <cell r="AC12">
            <v>437.53719050000001</v>
          </cell>
          <cell r="AD12">
            <v>451.99858360000002</v>
          </cell>
          <cell r="AE12">
            <v>466.23568010000002</v>
          </cell>
          <cell r="AF12">
            <v>480.3520848</v>
          </cell>
          <cell r="AG12">
            <v>494.38064900000001</v>
          </cell>
          <cell r="AH12">
            <v>508.35924949999998</v>
          </cell>
          <cell r="AI12">
            <v>522.32871079999995</v>
          </cell>
          <cell r="AJ12">
            <v>536.33163660000002</v>
          </cell>
          <cell r="AK12">
            <v>550.41197350000004</v>
          </cell>
          <cell r="AL12">
            <v>564.61498589999997</v>
          </cell>
          <cell r="AM12">
            <v>578.98747530000003</v>
          </cell>
          <cell r="AN12">
            <v>593.5781164</v>
          </cell>
          <cell r="AO12">
            <v>608.43782329999999</v>
          </cell>
          <cell r="AP12">
            <v>623.58350780000001</v>
          </cell>
          <cell r="AQ12">
            <v>639.07150249999995</v>
          </cell>
          <cell r="AR12">
            <v>654.96250339999995</v>
          </cell>
          <cell r="AS12">
            <v>671.32230270000002</v>
          </cell>
          <cell r="AT12">
            <v>688.22169469999994</v>
          </cell>
          <cell r="AU12">
            <v>705.73626999999999</v>
          </cell>
          <cell r="AV12">
            <v>723.94630359999996</v>
          </cell>
          <cell r="AW12">
            <v>742.93685370000003</v>
          </cell>
          <cell r="AX12">
            <v>762.79805229999999</v>
          </cell>
          <cell r="AY12">
            <v>783.62552670000002</v>
          </cell>
          <cell r="AZ12">
            <v>805.52559880000001</v>
          </cell>
          <cell r="BA12">
            <v>828.60709129999998</v>
          </cell>
          <cell r="BB12">
            <v>852.97813710000003</v>
          </cell>
          <cell r="BC12">
            <v>878.75404060000005</v>
          </cell>
          <cell r="BD12">
            <v>906.06173360000003</v>
          </cell>
          <cell r="BE12">
            <v>270.4199448</v>
          </cell>
          <cell r="BF12">
            <v>237.33092400000001</v>
          </cell>
          <cell r="BG12">
            <v>200.5086518</v>
          </cell>
          <cell r="BH12">
            <v>159.6366142</v>
          </cell>
          <cell r="BI12">
            <v>114.3681741</v>
          </cell>
        </row>
        <row r="20">
          <cell r="F20">
            <v>1.9359999999999999</v>
          </cell>
          <cell r="G20">
            <v>1.9926811069999999</v>
          </cell>
          <cell r="H20">
            <v>2.0605754809999999</v>
          </cell>
          <cell r="I20">
            <v>2.1347755259999999</v>
          </cell>
          <cell r="J20">
            <v>2.2121081760000001</v>
          </cell>
          <cell r="K20">
            <v>2.2905826399999998</v>
          </cell>
          <cell r="L20">
            <v>2.3686494059999998</v>
          </cell>
          <cell r="M20">
            <v>2.4455663470000002</v>
          </cell>
          <cell r="N20">
            <v>2.5208953850000002</v>
          </cell>
          <cell r="O20">
            <v>2.594390352</v>
          </cell>
          <cell r="P20">
            <v>2.6664891919999998</v>
          </cell>
          <cell r="Q20">
            <v>2.736552563</v>
          </cell>
          <cell r="R20">
            <v>2.8045605550000001</v>
          </cell>
          <cell r="S20">
            <v>2.870517532</v>
          </cell>
          <cell r="T20">
            <v>2.9344542800000002</v>
          </cell>
          <cell r="U20">
            <v>2.9964236799999999</v>
          </cell>
          <cell r="V20">
            <v>3.0564937689999998</v>
          </cell>
          <cell r="W20">
            <v>3.1147415679999999</v>
          </cell>
          <cell r="X20">
            <v>3.1712479330000001</v>
          </cell>
          <cell r="Y20">
            <v>3.226093927</v>
          </cell>
          <cell r="Z20">
            <v>3.2789547610000001</v>
          </cell>
          <cell r="AA20">
            <v>3.3303317629999998</v>
          </cell>
          <cell r="AB20">
            <v>3.3803068760000001</v>
          </cell>
          <cell r="AC20">
            <v>3.4289622959999999</v>
          </cell>
          <cell r="AD20">
            <v>3.476372155</v>
          </cell>
          <cell r="AE20">
            <v>3.5214643880000001</v>
          </cell>
          <cell r="AF20">
            <v>3.5649585799999999</v>
          </cell>
          <cell r="AG20">
            <v>3.6069589049999999</v>
          </cell>
          <cell r="AH20">
            <v>3.6475888080000001</v>
          </cell>
          <cell r="AI20">
            <v>3.6869731689999998</v>
          </cell>
          <cell r="AJ20">
            <v>3.725228274</v>
          </cell>
          <cell r="AK20">
            <v>3.7624579909999998</v>
          </cell>
          <cell r="AL20">
            <v>3.798753359</v>
          </cell>
          <cell r="AM20">
            <v>3.8341941020000001</v>
          </cell>
          <cell r="AN20">
            <v>3.868850787</v>
          </cell>
          <cell r="AO20">
            <v>3.9027868859999999</v>
          </cell>
          <cell r="AP20">
            <v>3.935803639</v>
          </cell>
          <cell r="AQ20">
            <v>3.9679683300000002</v>
          </cell>
          <cell r="AR20">
            <v>3.999350443</v>
          </cell>
          <cell r="AS20">
            <v>4.0300241379999999</v>
          </cell>
          <cell r="AT20">
            <v>4.0600648880000003</v>
          </cell>
          <cell r="AU20">
            <v>4.0895454679999999</v>
          </cell>
          <cell r="AV20">
            <v>4.1185327579999997</v>
          </cell>
          <cell r="AW20">
            <v>4.1470860890000001</v>
          </cell>
          <cell r="AX20">
            <v>4.1752568200000004</v>
          </cell>
          <cell r="AY20">
            <v>4.2030885939999996</v>
          </cell>
          <cell r="AZ20">
            <v>4.2306425110000001</v>
          </cell>
          <cell r="BA20">
            <v>4.2579420649999999</v>
          </cell>
          <cell r="BB20">
            <v>4.2849594340000001</v>
          </cell>
          <cell r="BC20">
            <v>4.3116608269999999</v>
          </cell>
          <cell r="BD20">
            <v>4.3380276420000001</v>
          </cell>
          <cell r="BE20">
            <v>4.6286853649999999</v>
          </cell>
          <cell r="BF20">
            <v>4.6688759529999997</v>
          </cell>
          <cell r="BG20">
            <v>4.7093404809999999</v>
          </cell>
          <cell r="BH20">
            <v>4.7501298930000004</v>
          </cell>
          <cell r="BI20">
            <v>4.7912988260000002</v>
          </cell>
        </row>
        <row r="28">
          <cell r="F28">
            <v>32317.940999999999</v>
          </cell>
          <cell r="G28">
            <v>31939.413820000002</v>
          </cell>
          <cell r="H28">
            <v>31767.999100000001</v>
          </cell>
          <cell r="I28">
            <v>31737.15164</v>
          </cell>
          <cell r="J28">
            <v>31802.68003</v>
          </cell>
          <cell r="K28">
            <v>31935.599470000001</v>
          </cell>
          <cell r="L28">
            <v>32112.91791</v>
          </cell>
          <cell r="M28">
            <v>32321.922279999999</v>
          </cell>
          <cell r="N28">
            <v>32553.970389999999</v>
          </cell>
          <cell r="O28">
            <v>32803.076229999999</v>
          </cell>
          <cell r="P28">
            <v>33071.77132</v>
          </cell>
          <cell r="Q28">
            <v>33349.797509999997</v>
          </cell>
          <cell r="R28">
            <v>33634.667130000002</v>
          </cell>
          <cell r="S28">
            <v>33924.373959999997</v>
          </cell>
          <cell r="T28">
            <v>34217.393909999999</v>
          </cell>
          <cell r="U28">
            <v>34512.610350000003</v>
          </cell>
          <cell r="V28">
            <v>34809.215429999997</v>
          </cell>
          <cell r="W28">
            <v>35106.618929999997</v>
          </cell>
          <cell r="X28">
            <v>35404.376470000003</v>
          </cell>
          <cell r="Y28">
            <v>35702.13867</v>
          </cell>
          <cell r="Z28">
            <v>35994.763850000003</v>
          </cell>
          <cell r="AA28">
            <v>36287.188699999999</v>
          </cell>
          <cell r="AB28">
            <v>36579.305939999998</v>
          </cell>
          <cell r="AC28">
            <v>36871.079380000003</v>
          </cell>
          <cell r="AD28">
            <v>37162.44212</v>
          </cell>
          <cell r="AE28">
            <v>37439.611779999999</v>
          </cell>
          <cell r="AF28">
            <v>37710.603329999998</v>
          </cell>
          <cell r="AG28">
            <v>37975.96632</v>
          </cell>
          <cell r="AH28">
            <v>38236.518279999997</v>
          </cell>
          <cell r="AI28">
            <v>38493.128989999997</v>
          </cell>
          <cell r="AJ28">
            <v>38746.598279999998</v>
          </cell>
          <cell r="AK28">
            <v>38997.608639999999</v>
          </cell>
          <cell r="AL28">
            <v>39246.720880000001</v>
          </cell>
          <cell r="AM28">
            <v>39494.391770000002</v>
          </cell>
          <cell r="AN28">
            <v>39740.999049999999</v>
          </cell>
          <cell r="AO28">
            <v>39986.865640000004</v>
          </cell>
          <cell r="AP28">
            <v>40229.181219999999</v>
          </cell>
          <cell r="AQ28">
            <v>40468.41491</v>
          </cell>
          <cell r="AR28">
            <v>40705.087169999999</v>
          </cell>
          <cell r="AS28">
            <v>40939.791899999997</v>
          </cell>
          <cell r="AT28">
            <v>41173.159339999998</v>
          </cell>
          <cell r="AU28">
            <v>41405.829059999996</v>
          </cell>
          <cell r="AV28">
            <v>41638.327899999997</v>
          </cell>
          <cell r="AW28">
            <v>41870.727639999997</v>
          </cell>
          <cell r="AX28">
            <v>42103.02061</v>
          </cell>
          <cell r="AY28">
            <v>42335.294150000002</v>
          </cell>
          <cell r="AZ28">
            <v>42568.02403</v>
          </cell>
          <cell r="BA28">
            <v>42801.495869999999</v>
          </cell>
          <cell r="BB28">
            <v>43036.027990000002</v>
          </cell>
          <cell r="BC28">
            <v>43271.928520000001</v>
          </cell>
          <cell r="BD28">
            <v>43509.473530000003</v>
          </cell>
          <cell r="BE28">
            <v>45939.1077</v>
          </cell>
          <cell r="BF28">
            <v>46264.987730000001</v>
          </cell>
          <cell r="BG28">
            <v>46592.00649</v>
          </cell>
          <cell r="BH28">
            <v>46920.289089999998</v>
          </cell>
          <cell r="BI28">
            <v>47249.974520000003</v>
          </cell>
        </row>
        <row r="29">
          <cell r="F29">
            <v>32271.24</v>
          </cell>
          <cell r="G29">
            <v>31874.892759999999</v>
          </cell>
          <cell r="H29">
            <v>31684.715349999999</v>
          </cell>
          <cell r="I29">
            <v>31634.649519999999</v>
          </cell>
          <cell r="J29">
            <v>31680.81164</v>
          </cell>
          <cell r="K29">
            <v>31794.404869999998</v>
          </cell>
          <cell r="L29">
            <v>31952.585709999999</v>
          </cell>
          <cell r="M29">
            <v>32142.707170000001</v>
          </cell>
          <cell r="N29">
            <v>32356.163619999999</v>
          </cell>
          <cell r="O29">
            <v>32586.986649999999</v>
          </cell>
          <cell r="P29">
            <v>32837.648759999996</v>
          </cell>
          <cell r="Q29">
            <v>33097.954919999996</v>
          </cell>
          <cell r="R29">
            <v>33365.411990000001</v>
          </cell>
          <cell r="S29">
            <v>33638.005340000003</v>
          </cell>
          <cell r="T29">
            <v>33914.198929999999</v>
          </cell>
          <cell r="U29">
            <v>34192.861140000001</v>
          </cell>
          <cell r="V29">
            <v>34473.166570000001</v>
          </cell>
          <cell r="W29">
            <v>34754.50563</v>
          </cell>
          <cell r="X29">
            <v>35036.413119999997</v>
          </cell>
          <cell r="Y29">
            <v>35318.517720000003</v>
          </cell>
          <cell r="Z29">
            <v>35595.703800000003</v>
          </cell>
          <cell r="AA29">
            <v>35872.833830000003</v>
          </cell>
          <cell r="AB29">
            <v>36149.773829999998</v>
          </cell>
          <cell r="AC29">
            <v>36426.459170000002</v>
          </cell>
          <cell r="AD29">
            <v>36702.793689999999</v>
          </cell>
          <cell r="AE29">
            <v>36965.109490000003</v>
          </cell>
          <cell r="AF29">
            <v>37221.311309999997</v>
          </cell>
          <cell r="AG29">
            <v>37471.910929999998</v>
          </cell>
          <cell r="AH29">
            <v>37717.682569999997</v>
          </cell>
          <cell r="AI29">
            <v>37959.449260000001</v>
          </cell>
          <cell r="AJ29">
            <v>38197.961779999998</v>
          </cell>
          <cell r="AK29">
            <v>38433.851669999996</v>
          </cell>
          <cell r="AL29">
            <v>38667.626940000002</v>
          </cell>
          <cell r="AM29">
            <v>38899.689400000003</v>
          </cell>
          <cell r="AN29">
            <v>39130.35931</v>
          </cell>
          <cell r="AO29">
            <v>39359.89918</v>
          </cell>
          <cell r="AP29">
            <v>39585.473870000002</v>
          </cell>
          <cell r="AQ29">
            <v>39807.485460000004</v>
          </cell>
          <cell r="AR29">
            <v>40026.382089999999</v>
          </cell>
          <cell r="AS29">
            <v>40242.67929</v>
          </cell>
          <cell r="AT29">
            <v>40456.922919999997</v>
          </cell>
          <cell r="AU29">
            <v>40669.661840000001</v>
          </cell>
          <cell r="AV29">
            <v>40881.326280000001</v>
          </cell>
          <cell r="AW29">
            <v>41091.890290000003</v>
          </cell>
          <cell r="AX29">
            <v>41301.24224</v>
          </cell>
          <cell r="AY29">
            <v>41509.356359999998</v>
          </cell>
          <cell r="AZ29">
            <v>41716.580650000004</v>
          </cell>
          <cell r="BA29">
            <v>41923.066709999999</v>
          </cell>
          <cell r="BB29">
            <v>42128.988440000001</v>
          </cell>
          <cell r="BC29">
            <v>42334.49912</v>
          </cell>
          <cell r="BD29">
            <v>42539.709089999997</v>
          </cell>
          <cell r="BE29">
            <v>45601.084470000002</v>
          </cell>
          <cell r="BF29">
            <v>45952.474289999998</v>
          </cell>
          <cell r="BG29">
            <v>46307.97365</v>
          </cell>
          <cell r="BH29">
            <v>46667.953820000002</v>
          </cell>
          <cell r="BI29">
            <v>47032.82314</v>
          </cell>
        </row>
        <row r="37">
          <cell r="F37">
            <v>44.765000000000001</v>
          </cell>
          <cell r="G37">
            <v>62.528375959999998</v>
          </cell>
          <cell r="H37">
            <v>81.223196360000003</v>
          </cell>
          <cell r="I37">
            <v>100.3674043</v>
          </cell>
          <cell r="J37">
            <v>119.65639229999999</v>
          </cell>
          <cell r="K37">
            <v>138.90418539999999</v>
          </cell>
          <cell r="L37">
            <v>157.96378809999999</v>
          </cell>
          <cell r="M37">
            <v>176.76984100000001</v>
          </cell>
          <cell r="N37">
            <v>195.286258</v>
          </cell>
          <cell r="O37">
            <v>213.49567200000001</v>
          </cell>
          <cell r="P37">
            <v>231.45667019999999</v>
          </cell>
          <cell r="Q37">
            <v>249.10676280000001</v>
          </cell>
          <cell r="R37">
            <v>266.45143089999999</v>
          </cell>
          <cell r="S37">
            <v>283.49911400000002</v>
          </cell>
          <cell r="T37">
            <v>300.26168560000002</v>
          </cell>
          <cell r="U37">
            <v>316.75412010000002</v>
          </cell>
          <cell r="V37">
            <v>332.99386329999999</v>
          </cell>
          <cell r="W37">
            <v>349.0002288</v>
          </cell>
          <cell r="X37">
            <v>364.79394439999999</v>
          </cell>
          <cell r="Y37">
            <v>380.39687609999999</v>
          </cell>
          <cell r="Z37">
            <v>395.78327380000002</v>
          </cell>
          <cell r="AA37">
            <v>411.02689750000002</v>
          </cell>
          <cell r="AB37">
            <v>426.15434770000002</v>
          </cell>
          <cell r="AC37">
            <v>441.19396860000001</v>
          </cell>
          <cell r="AD37">
            <v>456.17496190000003</v>
          </cell>
          <cell r="AE37">
            <v>470.98391659999999</v>
          </cell>
          <cell r="AF37">
            <v>485.73034760000002</v>
          </cell>
          <cell r="AG37">
            <v>500.45192969999999</v>
          </cell>
          <cell r="AH37">
            <v>515.19183250000003</v>
          </cell>
          <cell r="AI37">
            <v>529.9966885</v>
          </cell>
          <cell r="AJ37">
            <v>544.9154423</v>
          </cell>
          <cell r="AK37">
            <v>559.99892450000004</v>
          </cell>
          <cell r="AL37">
            <v>575.29986010000005</v>
          </cell>
          <cell r="AM37">
            <v>590.87312489999999</v>
          </cell>
          <cell r="AN37">
            <v>606.77612360000001</v>
          </cell>
          <cell r="AO37">
            <v>623.06921320000004</v>
          </cell>
          <cell r="AP37">
            <v>639.77739729999996</v>
          </cell>
          <cell r="AQ37">
            <v>656.96765909999999</v>
          </cell>
          <cell r="AR37">
            <v>674.71226420000005</v>
          </cell>
          <cell r="AS37">
            <v>693.08949250000001</v>
          </cell>
          <cell r="AT37">
            <v>712.18365040000003</v>
          </cell>
          <cell r="AU37">
            <v>732.08537060000003</v>
          </cell>
          <cell r="AV37">
            <v>752.89121599999999</v>
          </cell>
          <cell r="AW37">
            <v>774.69888200000003</v>
          </cell>
          <cell r="AX37">
            <v>797.61231799999996</v>
          </cell>
          <cell r="AY37">
            <v>821.7446099</v>
          </cell>
          <cell r="AZ37">
            <v>847.22347709999997</v>
          </cell>
          <cell r="BA37">
            <v>874.18292459999998</v>
          </cell>
          <cell r="BB37">
            <v>902.76732130000005</v>
          </cell>
          <cell r="BC37">
            <v>933.13148950000004</v>
          </cell>
          <cell r="BD37">
            <v>965.44113370000002</v>
          </cell>
          <cell r="BE37">
            <v>333.40671650000002</v>
          </cell>
          <cell r="BF37">
            <v>307.85780840000001</v>
          </cell>
          <cell r="BG37">
            <v>279.3378955</v>
          </cell>
          <cell r="BH37">
            <v>247.6007549</v>
          </cell>
          <cell r="BI37">
            <v>212.3770069</v>
          </cell>
        </row>
        <row r="45">
          <cell r="F45">
            <v>1.9359999999999999</v>
          </cell>
          <cell r="G45">
            <v>1.9926860529999999</v>
          </cell>
          <cell r="H45">
            <v>2.0605585130000001</v>
          </cell>
          <cell r="I45">
            <v>2.1347165119999998</v>
          </cell>
          <cell r="J45">
            <v>2.21199652</v>
          </cell>
          <cell r="K45">
            <v>2.2904132819999998</v>
          </cell>
          <cell r="L45">
            <v>2.3684174979999999</v>
          </cell>
          <cell r="M45">
            <v>2.4452639729999999</v>
          </cell>
          <cell r="N45">
            <v>2.5205109179999998</v>
          </cell>
          <cell r="O45">
            <v>2.5939094520000001</v>
          </cell>
          <cell r="P45">
            <v>2.665896359</v>
          </cell>
          <cell r="Q45">
            <v>2.7358330739999999</v>
          </cell>
          <cell r="R45">
            <v>2.803701335</v>
          </cell>
          <cell r="S45">
            <v>2.8695079190000001</v>
          </cell>
          <cell r="T45">
            <v>2.9332862180000001</v>
          </cell>
          <cell r="U45">
            <v>2.9950914690000001</v>
          </cell>
          <cell r="V45">
            <v>3.0549937840000001</v>
          </cell>
          <cell r="W45">
            <v>3.1130716270000001</v>
          </cell>
          <cell r="X45">
            <v>3.1694067029999999</v>
          </cell>
          <cell r="Y45">
            <v>3.2240804569999999</v>
          </cell>
          <cell r="Z45">
            <v>3.2767682420000002</v>
          </cell>
          <cell r="AA45">
            <v>3.3279705229999998</v>
          </cell>
          <cell r="AB45">
            <v>3.3777685239999999</v>
          </cell>
          <cell r="AC45">
            <v>3.426243339</v>
          </cell>
          <cell r="AD45">
            <v>3.4734679260000001</v>
          </cell>
          <cell r="AE45">
            <v>3.5183698739999998</v>
          </cell>
          <cell r="AF45">
            <v>3.5616667830000002</v>
          </cell>
          <cell r="AG45">
            <v>3.60346199</v>
          </cell>
          <cell r="AH45">
            <v>3.6438777689999999</v>
          </cell>
          <cell r="AI45">
            <v>3.6830379120000001</v>
          </cell>
          <cell r="AJ45">
            <v>3.721057788</v>
          </cell>
          <cell r="AK45">
            <v>3.7580404440000001</v>
          </cell>
          <cell r="AL45">
            <v>3.7940762380000002</v>
          </cell>
          <cell r="AM45">
            <v>3.8292442800000002</v>
          </cell>
          <cell r="AN45">
            <v>3.863614514</v>
          </cell>
          <cell r="AO45">
            <v>3.8972497509999999</v>
          </cell>
          <cell r="AP45">
            <v>3.9299503570000001</v>
          </cell>
          <cell r="AQ45">
            <v>3.9617826030000001</v>
          </cell>
          <cell r="AR45">
            <v>3.9928151139999999</v>
          </cell>
          <cell r="AS45">
            <v>4.0231208189999998</v>
          </cell>
          <cell r="AT45">
            <v>4.0527740080000001</v>
          </cell>
          <cell r="AU45">
            <v>4.0818481469999996</v>
          </cell>
          <cell r="AV45">
            <v>4.1104057330000003</v>
          </cell>
          <cell r="AW45">
            <v>4.1384698459999996</v>
          </cell>
          <cell r="AX45">
            <v>4.1660547540000001</v>
          </cell>
          <cell r="AY45">
            <v>4.1931803209999998</v>
          </cell>
          <cell r="AZ45">
            <v>4.2198963970000003</v>
          </cell>
          <cell r="BA45">
            <v>4.2462354940000004</v>
          </cell>
          <cell r="BB45">
            <v>4.2722309550000004</v>
          </cell>
          <cell r="BC45">
            <v>4.2979134480000001</v>
          </cell>
          <cell r="BD45">
            <v>4.3233091129999996</v>
          </cell>
          <cell r="BE45">
            <v>4.6165073259999998</v>
          </cell>
          <cell r="BF45">
            <v>4.6556279380000003</v>
          </cell>
          <cell r="BG45">
            <v>4.6949460810000003</v>
          </cell>
          <cell r="BH45">
            <v>4.7345074699999996</v>
          </cell>
          <cell r="BI45">
            <v>4.7743605000000002</v>
          </cell>
        </row>
        <row r="104">
          <cell r="F104">
            <v>3.476542051</v>
          </cell>
          <cell r="G104">
            <v>7.105756339</v>
          </cell>
          <cell r="H104">
            <v>11.181736859999999</v>
          </cell>
          <cell r="I104">
            <v>15.179186619999999</v>
          </cell>
          <cell r="J104">
            <v>18.91197244</v>
          </cell>
          <cell r="K104">
            <v>22.32312465</v>
          </cell>
          <cell r="L104">
            <v>25.396548429999999</v>
          </cell>
          <cell r="M104">
            <v>28.205922959999999</v>
          </cell>
          <cell r="N104">
            <v>30.81852426</v>
          </cell>
          <cell r="O104">
            <v>33.299761519999997</v>
          </cell>
          <cell r="P104">
            <v>35.735850939999999</v>
          </cell>
          <cell r="Q104">
            <v>38.07086219</v>
          </cell>
          <cell r="R104">
            <v>40.36456767</v>
          </cell>
          <cell r="S104">
            <v>42.627747040000003</v>
          </cell>
          <cell r="T104">
            <v>44.863639810000002</v>
          </cell>
          <cell r="U104">
            <v>47.073213129999999</v>
          </cell>
          <cell r="V104">
            <v>49.261551230000002</v>
          </cell>
          <cell r="W104">
            <v>51.442964779999997</v>
          </cell>
          <cell r="X104">
            <v>53.630823300000003</v>
          </cell>
          <cell r="Y104">
            <v>55.835754129999998</v>
          </cell>
          <cell r="Z104">
            <v>58.043070200000003</v>
          </cell>
          <cell r="AA104">
            <v>60.318316430000003</v>
          </cell>
          <cell r="AB104">
            <v>62.640666869999997</v>
          </cell>
          <cell r="AC104">
            <v>65.012233449999997</v>
          </cell>
          <cell r="AD104">
            <v>67.434660940000001</v>
          </cell>
          <cell r="AE104">
            <v>69.843708370000002</v>
          </cell>
          <cell r="AF104">
            <v>72.363493120000001</v>
          </cell>
          <cell r="AG104">
            <v>74.960824900000006</v>
          </cell>
          <cell r="AH104">
            <v>77.636571829999994</v>
          </cell>
          <cell r="AI104">
            <v>80.390508400000002</v>
          </cell>
          <cell r="AJ104">
            <v>83.221609779999994</v>
          </cell>
          <cell r="AK104">
            <v>86.127635560000002</v>
          </cell>
          <cell r="AL104">
            <v>89.10489742</v>
          </cell>
          <cell r="AM104">
            <v>92.149748650000006</v>
          </cell>
          <cell r="AN104">
            <v>95.258911080000004</v>
          </cell>
          <cell r="AO104">
            <v>98.42948518</v>
          </cell>
          <cell r="AP104">
            <v>101.6419653</v>
          </cell>
          <cell r="AQ104">
            <v>104.9042929</v>
          </cell>
          <cell r="AR104">
            <v>108.2126277</v>
          </cell>
          <cell r="AS104">
            <v>111.566425</v>
          </cell>
          <cell r="AT104">
            <v>114.96671720000001</v>
          </cell>
          <cell r="AU104">
            <v>118.4144194</v>
          </cell>
          <cell r="AV104">
            <v>121.9092338</v>
          </cell>
          <cell r="AW104">
            <v>125.4504122</v>
          </cell>
          <cell r="AX104">
            <v>129.0368914</v>
          </cell>
          <cell r="AY104">
            <v>132.6672973</v>
          </cell>
          <cell r="AZ104">
            <v>136.34281519999999</v>
          </cell>
          <cell r="BA104">
            <v>140.0667143</v>
          </cell>
          <cell r="BB104">
            <v>143.8381732</v>
          </cell>
          <cell r="BC104">
            <v>147.65153240000001</v>
          </cell>
          <cell r="BD104">
            <v>151.49915910000001</v>
          </cell>
          <cell r="BE104">
            <v>22.97561808</v>
          </cell>
          <cell r="BF104">
            <v>23.049233709999999</v>
          </cell>
          <cell r="BG104">
            <v>23.122476450000001</v>
          </cell>
          <cell r="BH104">
            <v>23.195350779999998</v>
          </cell>
          <cell r="BI104">
            <v>23.267860880000001</v>
          </cell>
        </row>
        <row r="105">
          <cell r="F105">
            <v>68.80476281</v>
          </cell>
          <cell r="G105">
            <v>75.437780540000006</v>
          </cell>
          <cell r="H105">
            <v>81.568034179999998</v>
          </cell>
          <cell r="I105">
            <v>87.181510130000007</v>
          </cell>
          <cell r="J105">
            <v>92.628014199999996</v>
          </cell>
          <cell r="K105">
            <v>98.104155270000007</v>
          </cell>
          <cell r="L105">
            <v>103.09668430000001</v>
          </cell>
          <cell r="M105">
            <v>108.28103849999999</v>
          </cell>
          <cell r="N105">
            <v>113.6743731</v>
          </cell>
          <cell r="O105">
            <v>119.2645526</v>
          </cell>
          <cell r="P105">
            <v>126.0630075</v>
          </cell>
          <cell r="Q105">
            <v>131.9709733</v>
          </cell>
          <cell r="R105">
            <v>137.9908408</v>
          </cell>
          <cell r="S105">
            <v>144.09373650000001</v>
          </cell>
          <cell r="T105">
            <v>150.2594331</v>
          </cell>
          <cell r="U105">
            <v>156.4743417</v>
          </cell>
          <cell r="V105">
            <v>162.72281659999999</v>
          </cell>
          <cell r="W105">
            <v>168.9754045</v>
          </cell>
          <cell r="X105">
            <v>175.1975194</v>
          </cell>
          <cell r="Y105">
            <v>181.3557476</v>
          </cell>
          <cell r="Z105">
            <v>186.72993159999999</v>
          </cell>
          <cell r="AA105">
            <v>192.6608449</v>
          </cell>
          <cell r="AB105">
            <v>198.44528890000001</v>
          </cell>
          <cell r="AC105">
            <v>204.0768084</v>
          </cell>
          <cell r="AD105">
            <v>209.5566355</v>
          </cell>
          <cell r="AE105">
            <v>213.00960889999999</v>
          </cell>
          <cell r="AF105">
            <v>217.2976506</v>
          </cell>
          <cell r="AG105">
            <v>221.43323799999999</v>
          </cell>
          <cell r="AH105">
            <v>225.4278132</v>
          </cell>
          <cell r="AI105">
            <v>229.29458679999999</v>
          </cell>
          <cell r="AJ105">
            <v>233.0468147</v>
          </cell>
          <cell r="AK105">
            <v>236.69721200000001</v>
          </cell>
          <cell r="AL105">
            <v>240.257767</v>
          </cell>
          <cell r="AM105">
            <v>243.7388206</v>
          </cell>
          <cell r="AN105">
            <v>247.14895129999999</v>
          </cell>
          <cell r="AO105">
            <v>250.49517420000001</v>
          </cell>
          <cell r="AP105">
            <v>253.38378890000001</v>
          </cell>
          <cell r="AQ105">
            <v>256.22130959999998</v>
          </cell>
          <cell r="AR105">
            <v>259.01294050000001</v>
          </cell>
          <cell r="AS105">
            <v>261.7615121</v>
          </cell>
          <cell r="AT105">
            <v>264.46842079999999</v>
          </cell>
          <cell r="AU105">
            <v>267.13465889999998</v>
          </cell>
          <cell r="AV105">
            <v>269.76154050000002</v>
          </cell>
          <cell r="AW105">
            <v>272.35046940000001</v>
          </cell>
          <cell r="AX105">
            <v>274.90291300000001</v>
          </cell>
          <cell r="AY105">
            <v>277.4204173</v>
          </cell>
          <cell r="AZ105">
            <v>279.93627320000002</v>
          </cell>
          <cell r="BA105">
            <v>282.41762990000001</v>
          </cell>
          <cell r="BB105">
            <v>284.86580609999999</v>
          </cell>
          <cell r="BC105">
            <v>287.2839376</v>
          </cell>
          <cell r="BD105">
            <v>289.67584790000001</v>
          </cell>
          <cell r="BE105">
            <v>476.70896579999999</v>
          </cell>
          <cell r="BF105">
            <v>481.95657119999998</v>
          </cell>
          <cell r="BG105">
            <v>487.1573343</v>
          </cell>
          <cell r="BH105">
            <v>492.3115464</v>
          </cell>
          <cell r="BI105">
            <v>497.41941509999998</v>
          </cell>
        </row>
        <row r="106">
          <cell r="F106">
            <v>408.28039699999999</v>
          </cell>
          <cell r="G106">
            <v>422.38730770000001</v>
          </cell>
          <cell r="H106">
            <v>436.24218080000003</v>
          </cell>
          <cell r="I106">
            <v>449.14030359999998</v>
          </cell>
          <cell r="J106">
            <v>461.70146319999998</v>
          </cell>
          <cell r="K106">
            <v>474.26816819999999</v>
          </cell>
          <cell r="L106">
            <v>485.27109059999998</v>
          </cell>
          <cell r="M106">
            <v>496.53094129999999</v>
          </cell>
          <cell r="N106">
            <v>508.05981439999999</v>
          </cell>
          <cell r="O106">
            <v>519.8250845</v>
          </cell>
          <cell r="P106">
            <v>534.69144240000003</v>
          </cell>
          <cell r="Q106">
            <v>546.79456219999997</v>
          </cell>
          <cell r="R106">
            <v>558.99140269999998</v>
          </cell>
          <cell r="S106">
            <v>571.24336170000004</v>
          </cell>
          <cell r="T106">
            <v>583.52564500000005</v>
          </cell>
          <cell r="U106">
            <v>595.82339109999998</v>
          </cell>
          <cell r="V106">
            <v>608.12058290000004</v>
          </cell>
          <cell r="W106">
            <v>620.38631950000001</v>
          </cell>
          <cell r="X106">
            <v>632.58564899999999</v>
          </cell>
          <cell r="Y106">
            <v>644.68606279999995</v>
          </cell>
          <cell r="Z106">
            <v>654.72693000000004</v>
          </cell>
          <cell r="AA106">
            <v>666.53068140000005</v>
          </cell>
          <cell r="AB106">
            <v>678.15813949999995</v>
          </cell>
          <cell r="AC106">
            <v>689.60487290000003</v>
          </cell>
          <cell r="AD106">
            <v>700.87404660000004</v>
          </cell>
          <cell r="AE106">
            <v>706.70157640000002</v>
          </cell>
          <cell r="AF106">
            <v>715.12773000000004</v>
          </cell>
          <cell r="AG106">
            <v>723.37072469999998</v>
          </cell>
          <cell r="AH106">
            <v>731.44333819999997</v>
          </cell>
          <cell r="AI106">
            <v>739.36005409999996</v>
          </cell>
          <cell r="AJ106">
            <v>747.13538349999999</v>
          </cell>
          <cell r="AK106">
            <v>754.78338710000003</v>
          </cell>
          <cell r="AL106">
            <v>762.31758009999999</v>
          </cell>
          <cell r="AM106">
            <v>769.74974840000004</v>
          </cell>
          <cell r="AN106">
            <v>777.08976589999997</v>
          </cell>
          <cell r="AO106">
            <v>784.34579880000001</v>
          </cell>
          <cell r="AP106">
            <v>790.40197860000001</v>
          </cell>
          <cell r="AQ106">
            <v>796.38810750000005</v>
          </cell>
          <cell r="AR106">
            <v>802.31107629999997</v>
          </cell>
          <cell r="AS106">
            <v>808.17459459999998</v>
          </cell>
          <cell r="AT106">
            <v>813.98039100000005</v>
          </cell>
          <cell r="AU106">
            <v>819.72960799999998</v>
          </cell>
          <cell r="AV106">
            <v>825.42382120000002</v>
          </cell>
          <cell r="AW106">
            <v>831.06472329999997</v>
          </cell>
          <cell r="AX106">
            <v>836.65409910000005</v>
          </cell>
          <cell r="AY106">
            <v>842.1938543</v>
          </cell>
          <cell r="AZ106">
            <v>847.77613069999995</v>
          </cell>
          <cell r="BA106">
            <v>853.31078520000005</v>
          </cell>
          <cell r="BB106">
            <v>858.80004989999998</v>
          </cell>
          <cell r="BC106">
            <v>864.24791540000001</v>
          </cell>
          <cell r="BD106">
            <v>869.65894390000005</v>
          </cell>
          <cell r="BE106">
            <v>1081.1689630000001</v>
          </cell>
          <cell r="BF106">
            <v>1090.184426</v>
          </cell>
          <cell r="BG106">
            <v>1099.142771</v>
          </cell>
          <cell r="BH106">
            <v>1108.044478</v>
          </cell>
          <cell r="BI106">
            <v>1116.890073</v>
          </cell>
        </row>
        <row r="107">
          <cell r="F107">
            <v>954.38155940000001</v>
          </cell>
          <cell r="G107">
            <v>950.79697429999999</v>
          </cell>
          <cell r="H107">
            <v>948.88109740000004</v>
          </cell>
          <cell r="I107">
            <v>947.53635770000005</v>
          </cell>
          <cell r="J107">
            <v>946.24975749999999</v>
          </cell>
          <cell r="K107">
            <v>944.8082177</v>
          </cell>
          <cell r="L107">
            <v>943.12626709999995</v>
          </cell>
          <cell r="M107">
            <v>941.16529160000005</v>
          </cell>
          <cell r="N107">
            <v>938.90739150000002</v>
          </cell>
          <cell r="O107">
            <v>936.35717829999999</v>
          </cell>
          <cell r="P107">
            <v>933.53815380000003</v>
          </cell>
          <cell r="Q107">
            <v>930.47937730000001</v>
          </cell>
          <cell r="R107">
            <v>927.22092720000001</v>
          </cell>
          <cell r="S107">
            <v>923.80264780000005</v>
          </cell>
          <cell r="T107">
            <v>920.25477149999995</v>
          </cell>
          <cell r="U107">
            <v>916.59850879999999</v>
          </cell>
          <cell r="V107">
            <v>912.85800159999997</v>
          </cell>
          <cell r="W107">
            <v>909.0786779</v>
          </cell>
          <cell r="X107">
            <v>905.31621050000001</v>
          </cell>
          <cell r="Y107">
            <v>901.62607019999996</v>
          </cell>
          <cell r="Z107">
            <v>898.06232899999998</v>
          </cell>
          <cell r="AA107">
            <v>894.67469649999998</v>
          </cell>
          <cell r="AB107">
            <v>891.49476259999994</v>
          </cell>
          <cell r="AC107">
            <v>888.53401729999996</v>
          </cell>
          <cell r="AD107">
            <v>885.78957349999996</v>
          </cell>
          <cell r="AE107">
            <v>883.25495060000003</v>
          </cell>
          <cell r="AF107">
            <v>880.92321960000004</v>
          </cell>
          <cell r="AG107">
            <v>878.77926249999996</v>
          </cell>
          <cell r="AH107">
            <v>876.80081189999999</v>
          </cell>
          <cell r="AI107">
            <v>874.96345280000003</v>
          </cell>
          <cell r="AJ107">
            <v>873.24358240000004</v>
          </cell>
          <cell r="AK107">
            <v>871.61966359999997</v>
          </cell>
          <cell r="AL107">
            <v>870.07256629999995</v>
          </cell>
          <cell r="AM107">
            <v>868.58661800000004</v>
          </cell>
          <cell r="AN107">
            <v>867.1495142</v>
          </cell>
          <cell r="AO107">
            <v>865.75180030000001</v>
          </cell>
          <cell r="AP107">
            <v>864.38470989999996</v>
          </cell>
          <cell r="AQ107">
            <v>863.03738099999998</v>
          </cell>
          <cell r="AR107">
            <v>861.70295250000004</v>
          </cell>
          <cell r="AS107">
            <v>860.37837669999999</v>
          </cell>
          <cell r="AT107">
            <v>859.0629232</v>
          </cell>
          <cell r="AU107">
            <v>857.75658329999999</v>
          </cell>
          <cell r="AV107">
            <v>856.45891730000005</v>
          </cell>
          <cell r="AW107">
            <v>855.16963310000006</v>
          </cell>
          <cell r="AX107">
            <v>853.8885927</v>
          </cell>
          <cell r="AY107">
            <v>852.61571060000006</v>
          </cell>
          <cell r="AZ107">
            <v>851.35027790000004</v>
          </cell>
          <cell r="BA107">
            <v>850.09013779999998</v>
          </cell>
          <cell r="BB107">
            <v>848.83226609999997</v>
          </cell>
          <cell r="BC107">
            <v>847.57359480000002</v>
          </cell>
          <cell r="BD107">
            <v>846.31162119999999</v>
          </cell>
          <cell r="BE107">
            <v>524.96822689999999</v>
          </cell>
          <cell r="BF107">
            <v>519.65419159999999</v>
          </cell>
          <cell r="BG107">
            <v>514.41976720000002</v>
          </cell>
          <cell r="BH107">
            <v>509.26440919999999</v>
          </cell>
          <cell r="BI107">
            <v>504.18760109999999</v>
          </cell>
        </row>
        <row r="108">
          <cell r="F108">
            <v>878.79999729999997</v>
          </cell>
          <cell r="G108">
            <v>868.32324340000002</v>
          </cell>
          <cell r="H108">
            <v>858.97928030000003</v>
          </cell>
          <cell r="I108">
            <v>850.62682440000003</v>
          </cell>
          <cell r="J108">
            <v>842.99286870000003</v>
          </cell>
          <cell r="K108">
            <v>835.80858790000002</v>
          </cell>
          <cell r="L108">
            <v>828.85873890000005</v>
          </cell>
          <cell r="M108">
            <v>821.99848510000004</v>
          </cell>
          <cell r="N108">
            <v>815.15217299999995</v>
          </cell>
          <cell r="O108">
            <v>808.29688510000005</v>
          </cell>
          <cell r="P108">
            <v>801.44065239999998</v>
          </cell>
          <cell r="Q108">
            <v>794.60367040000006</v>
          </cell>
          <cell r="R108">
            <v>787.8062516</v>
          </cell>
          <cell r="S108">
            <v>781.06592579999995</v>
          </cell>
          <cell r="T108">
            <v>774.39479519999998</v>
          </cell>
          <cell r="U108">
            <v>767.7996369</v>
          </cell>
          <cell r="V108">
            <v>761.28339979999998</v>
          </cell>
          <cell r="W108">
            <v>754.84724329999995</v>
          </cell>
          <cell r="X108">
            <v>748.49222050000003</v>
          </cell>
          <cell r="Y108">
            <v>742.21871399999998</v>
          </cell>
          <cell r="Z108">
            <v>736.02609870000003</v>
          </cell>
          <cell r="AA108">
            <v>729.91271099999994</v>
          </cell>
          <cell r="AB108">
            <v>723.87705000000005</v>
          </cell>
          <cell r="AC108">
            <v>717.91686979999997</v>
          </cell>
          <cell r="AD108">
            <v>712.02947419999998</v>
          </cell>
          <cell r="AE108">
            <v>706.21170470000004</v>
          </cell>
          <cell r="AF108">
            <v>700.45960130000003</v>
          </cell>
          <cell r="AG108">
            <v>694.77112699999998</v>
          </cell>
          <cell r="AH108">
            <v>689.14376730000004</v>
          </cell>
          <cell r="AI108">
            <v>683.57474850000006</v>
          </cell>
          <cell r="AJ108">
            <v>678.06119909999995</v>
          </cell>
          <cell r="AK108">
            <v>672.60037910000005</v>
          </cell>
          <cell r="AL108">
            <v>667.18985610000004</v>
          </cell>
          <cell r="AM108">
            <v>661.82708070000001</v>
          </cell>
          <cell r="AN108">
            <v>656.5094527</v>
          </cell>
          <cell r="AO108">
            <v>651.2344306</v>
          </cell>
          <cell r="AP108">
            <v>646.00055729999997</v>
          </cell>
          <cell r="AQ108">
            <v>640.80860140000004</v>
          </cell>
          <cell r="AR108">
            <v>635.65749110000002</v>
          </cell>
          <cell r="AS108">
            <v>630.54460900000004</v>
          </cell>
          <cell r="AT108">
            <v>625.466859</v>
          </cell>
          <cell r="AU108">
            <v>620.42152209999995</v>
          </cell>
          <cell r="AV108">
            <v>615.40675099999999</v>
          </cell>
          <cell r="AW108">
            <v>610.42078119999996</v>
          </cell>
          <cell r="AX108">
            <v>605.46183980000001</v>
          </cell>
          <cell r="AY108">
            <v>600.52820039999995</v>
          </cell>
          <cell r="AZ108">
            <v>595.61839910000003</v>
          </cell>
          <cell r="BA108">
            <v>590.73126739999998</v>
          </cell>
          <cell r="BB108">
            <v>585.86745889999997</v>
          </cell>
          <cell r="BC108">
            <v>581.02862489999995</v>
          </cell>
          <cell r="BD108">
            <v>576.21640119999995</v>
          </cell>
          <cell r="BE108">
            <v>630.2942673</v>
          </cell>
          <cell r="BF108">
            <v>626.75182099999995</v>
          </cell>
          <cell r="BG108">
            <v>623.22951149999994</v>
          </cell>
          <cell r="BH108">
            <v>619.72726850000004</v>
          </cell>
          <cell r="BI108">
            <v>616.24502619999998</v>
          </cell>
        </row>
        <row r="109">
          <cell r="F109">
            <v>139.85209269999999</v>
          </cell>
          <cell r="G109">
            <v>137.95076789999999</v>
          </cell>
          <cell r="H109">
            <v>136.0747442</v>
          </cell>
          <cell r="I109">
            <v>134.22890770000001</v>
          </cell>
          <cell r="J109">
            <v>132.41620030000001</v>
          </cell>
          <cell r="K109">
            <v>130.6368722</v>
          </cell>
          <cell r="L109">
            <v>128.88911440000001</v>
          </cell>
          <cell r="M109">
            <v>127.170196</v>
          </cell>
          <cell r="N109">
            <v>125.4775862</v>
          </cell>
          <cell r="O109">
            <v>123.80933229999999</v>
          </cell>
          <cell r="P109">
            <v>122.1641394</v>
          </cell>
          <cell r="Q109">
            <v>120.5412357</v>
          </cell>
          <cell r="R109">
            <v>118.9400406</v>
          </cell>
          <cell r="S109">
            <v>117.36014659999999</v>
          </cell>
          <cell r="T109">
            <v>115.8012615</v>
          </cell>
          <cell r="U109">
            <v>114.2631334</v>
          </cell>
          <cell r="V109">
            <v>112.7454985</v>
          </cell>
          <cell r="W109">
            <v>111.2480559</v>
          </cell>
          <cell r="X109">
            <v>109.77048739999999</v>
          </cell>
          <cell r="Y109">
            <v>108.31246969999999</v>
          </cell>
          <cell r="Z109">
            <v>106.873648</v>
          </cell>
          <cell r="AA109">
            <v>105.4536571</v>
          </cell>
          <cell r="AB109">
            <v>104.0522084</v>
          </cell>
          <cell r="AC109">
            <v>102.6690438</v>
          </cell>
          <cell r="AD109">
            <v>101.3039115</v>
          </cell>
          <cell r="AE109">
            <v>99.956488019999995</v>
          </cell>
          <cell r="AF109">
            <v>98.626386740000001</v>
          </cell>
          <cell r="AG109">
            <v>97.313339929999998</v>
          </cell>
          <cell r="AH109">
            <v>96.017150490000006</v>
          </cell>
          <cell r="AI109">
            <v>94.737642649999998</v>
          </cell>
          <cell r="AJ109">
            <v>93.47464927</v>
          </cell>
          <cell r="AK109">
            <v>92.228009119999996</v>
          </cell>
          <cell r="AL109">
            <v>90.997563700000001</v>
          </cell>
          <cell r="AM109">
            <v>89.783146869999996</v>
          </cell>
          <cell r="AN109">
            <v>88.584578149999999</v>
          </cell>
          <cell r="AO109">
            <v>87.401659530000003</v>
          </cell>
          <cell r="AP109">
            <v>86.234171129999993</v>
          </cell>
          <cell r="AQ109">
            <v>85.081878790000005</v>
          </cell>
          <cell r="AR109">
            <v>83.94452837</v>
          </cell>
          <cell r="AS109">
            <v>82.821853509999997</v>
          </cell>
          <cell r="AT109">
            <v>81.713584760000003</v>
          </cell>
          <cell r="AU109">
            <v>80.619459410000005</v>
          </cell>
          <cell r="AV109">
            <v>79.539229169999999</v>
          </cell>
          <cell r="AW109">
            <v>78.472657350000006</v>
          </cell>
          <cell r="AX109">
            <v>77.419518199999999</v>
          </cell>
          <cell r="AY109">
            <v>76.37959678</v>
          </cell>
          <cell r="AZ109">
            <v>75.35259241</v>
          </cell>
          <cell r="BA109">
            <v>74.337923459999999</v>
          </cell>
          <cell r="BB109">
            <v>73.335282329999998</v>
          </cell>
          <cell r="BC109">
            <v>72.344658699999997</v>
          </cell>
          <cell r="BD109">
            <v>71.366201119999999</v>
          </cell>
          <cell r="BE109">
            <v>73.136080030000002</v>
          </cell>
          <cell r="BF109">
            <v>72.266466910000005</v>
          </cell>
          <cell r="BG109">
            <v>71.408305409999997</v>
          </cell>
          <cell r="BH109">
            <v>70.561469470000006</v>
          </cell>
          <cell r="BI109">
            <v>69.725838089999996</v>
          </cell>
        </row>
        <row r="110">
          <cell r="F110">
            <v>3.874567114</v>
          </cell>
          <cell r="G110">
            <v>3.724543325</v>
          </cell>
          <cell r="H110">
            <v>3.581032961</v>
          </cell>
          <cell r="I110">
            <v>3.443894615</v>
          </cell>
          <cell r="J110">
            <v>3.3129371320000001</v>
          </cell>
          <cell r="K110">
            <v>3.1878741239999999</v>
          </cell>
          <cell r="L110">
            <v>3.0683460349999998</v>
          </cell>
          <cell r="M110">
            <v>2.9539733479999999</v>
          </cell>
          <cell r="N110">
            <v>2.844414929</v>
          </cell>
          <cell r="O110">
            <v>2.7393816709999999</v>
          </cell>
          <cell r="P110">
            <v>2.6386352689999999</v>
          </cell>
          <cell r="Q110">
            <v>2.541976359</v>
          </cell>
          <cell r="R110">
            <v>2.449221917</v>
          </cell>
          <cell r="S110">
            <v>2.36020311</v>
          </cell>
          <cell r="T110">
            <v>2.2747622179999998</v>
          </cell>
          <cell r="U110">
            <v>2.1927488350000002</v>
          </cell>
          <cell r="V110">
            <v>2.1140178700000001</v>
          </cell>
          <cell r="W110">
            <v>2.0384291870000002</v>
          </cell>
          <cell r="X110">
            <v>1.965847103</v>
          </cell>
          <cell r="Y110">
            <v>1.896140878</v>
          </cell>
          <cell r="Z110">
            <v>1.8291834250000001</v>
          </cell>
          <cell r="AA110">
            <v>1.7648524699999999</v>
          </cell>
          <cell r="AB110">
            <v>1.703035233</v>
          </cell>
          <cell r="AC110">
            <v>1.643625573</v>
          </cell>
          <cell r="AD110">
            <v>1.5865224</v>
          </cell>
          <cell r="AE110">
            <v>1.5316255510000001</v>
          </cell>
          <cell r="AF110">
            <v>1.4788357990000001</v>
          </cell>
          <cell r="AG110">
            <v>1.428063439</v>
          </cell>
          <cell r="AH110">
            <v>1.379226107</v>
          </cell>
          <cell r="AI110">
            <v>1.3322462239999999</v>
          </cell>
          <cell r="AJ110">
            <v>1.287050078</v>
          </cell>
          <cell r="AK110">
            <v>1.2435673519999999</v>
          </cell>
          <cell r="AL110">
            <v>1.201730674</v>
          </cell>
          <cell r="AM110">
            <v>1.161475341</v>
          </cell>
          <cell r="AN110">
            <v>1.122738971</v>
          </cell>
          <cell r="AO110">
            <v>1.0854612429999999</v>
          </cell>
          <cell r="AP110">
            <v>1.049582977</v>
          </cell>
          <cell r="AQ110">
            <v>1.0150454760000001</v>
          </cell>
          <cell r="AR110">
            <v>0.98179257509999995</v>
          </cell>
          <cell r="AS110">
            <v>0.94977101249999996</v>
          </cell>
          <cell r="AT110">
            <v>0.91893024239999999</v>
          </cell>
          <cell r="AU110">
            <v>0.88922218080000004</v>
          </cell>
          <cell r="AV110">
            <v>0.86060098159999998</v>
          </cell>
          <cell r="AW110">
            <v>0.83302303779999998</v>
          </cell>
          <cell r="AX110">
            <v>0.80644684820000001</v>
          </cell>
          <cell r="AY110">
            <v>0.78083287339999996</v>
          </cell>
          <cell r="AZ110">
            <v>0.75613993410000002</v>
          </cell>
          <cell r="BA110">
            <v>0.7323186733</v>
          </cell>
          <cell r="BB110">
            <v>0.70933012900000003</v>
          </cell>
          <cell r="BC110">
            <v>0.68714612770000005</v>
          </cell>
          <cell r="BD110">
            <v>0.66574453950000001</v>
          </cell>
          <cell r="BE110">
            <v>0.72578483000000005</v>
          </cell>
          <cell r="BF110">
            <v>0.70667312709999996</v>
          </cell>
          <cell r="BG110">
            <v>0.68819737540000003</v>
          </cell>
          <cell r="BH110">
            <v>0.67033503049999998</v>
          </cell>
          <cell r="BI110">
            <v>0.65306457139999996</v>
          </cell>
        </row>
        <row r="112">
          <cell r="F112">
            <v>3.476542051</v>
          </cell>
          <cell r="G112">
            <v>5.728073051</v>
          </cell>
          <cell r="H112">
            <v>7.9853327690000002</v>
          </cell>
          <cell r="I112">
            <v>10.056993159999999</v>
          </cell>
          <cell r="J112">
            <v>11.813775550000001</v>
          </cell>
          <cell r="K112">
            <v>13.135113049999999</v>
          </cell>
          <cell r="L112">
            <v>16.15393199</v>
          </cell>
          <cell r="M112">
            <v>19.75269544</v>
          </cell>
          <cell r="N112">
            <v>23.48079997</v>
          </cell>
          <cell r="O112">
            <v>27.241878190000001</v>
          </cell>
          <cell r="P112">
            <v>31.07973024</v>
          </cell>
          <cell r="Q112">
            <v>34.932012139999998</v>
          </cell>
          <cell r="R112">
            <v>38.841569</v>
          </cell>
          <cell r="S112">
            <v>42.802409760000003</v>
          </cell>
          <cell r="T112">
            <v>46.80474676</v>
          </cell>
          <cell r="U112">
            <v>50.837775039999997</v>
          </cell>
          <cell r="V112">
            <v>54.89135598</v>
          </cell>
          <cell r="W112">
            <v>58.956484690000003</v>
          </cell>
          <cell r="X112">
            <v>63.025449279999997</v>
          </cell>
          <cell r="Y112">
            <v>67.091797499999998</v>
          </cell>
          <cell r="Z112">
            <v>71.123265340000003</v>
          </cell>
          <cell r="AA112">
            <v>75.167216609999997</v>
          </cell>
          <cell r="AB112">
            <v>79.193368809999996</v>
          </cell>
          <cell r="AC112">
            <v>83.198907149999997</v>
          </cell>
          <cell r="AD112">
            <v>87.181618319999998</v>
          </cell>
          <cell r="AE112">
            <v>91.066165269999999</v>
          </cell>
          <cell r="AF112">
            <v>94.957345329999995</v>
          </cell>
          <cell r="AG112">
            <v>98.811551129999998</v>
          </cell>
          <cell r="AH112">
            <v>102.6238754</v>
          </cell>
          <cell r="AI112">
            <v>106.3894359</v>
          </cell>
          <cell r="AJ112">
            <v>110.10311110000001</v>
          </cell>
          <cell r="AK112">
            <v>113.7593318</v>
          </cell>
          <cell r="AL112">
            <v>117.351805</v>
          </cell>
          <cell r="AM112">
            <v>120.8730642</v>
          </cell>
          <cell r="AN112">
            <v>124.31372930000001</v>
          </cell>
          <cell r="AO112">
            <v>127.6613107</v>
          </cell>
          <cell r="AP112">
            <v>130.8814342</v>
          </cell>
          <cell r="AQ112">
            <v>133.95688329999999</v>
          </cell>
          <cell r="AR112">
            <v>137.56506379999999</v>
          </cell>
          <cell r="AS112">
            <v>141.5536601</v>
          </cell>
          <cell r="AT112">
            <v>145.3316256</v>
          </cell>
          <cell r="AU112">
            <v>148.41456109999999</v>
          </cell>
          <cell r="AV112">
            <v>151.23299410000001</v>
          </cell>
          <cell r="AW112">
            <v>153.9309112</v>
          </cell>
          <cell r="AX112">
            <v>156.59355400000001</v>
          </cell>
          <cell r="AY112">
            <v>159.27890690000001</v>
          </cell>
          <cell r="AZ112">
            <v>162.01159480000001</v>
          </cell>
          <cell r="BA112">
            <v>164.7907611</v>
          </cell>
          <cell r="BB112">
            <v>167.6083659</v>
          </cell>
          <cell r="BC112">
            <v>170.45590920000001</v>
          </cell>
          <cell r="BD112">
            <v>173.32683470000001</v>
          </cell>
          <cell r="BE112">
            <v>23.02165338</v>
          </cell>
          <cell r="BF112">
            <v>23.098603359999998</v>
          </cell>
          <cell r="BG112">
            <v>23.175166600000001</v>
          </cell>
          <cell r="BH112">
            <v>23.251348539999999</v>
          </cell>
          <cell r="BI112">
            <v>23.327155260000001</v>
          </cell>
        </row>
        <row r="113">
          <cell r="F113">
            <v>68.80476281</v>
          </cell>
          <cell r="G113">
            <v>77.167332369999997</v>
          </cell>
          <cell r="H113">
            <v>86.062930530000003</v>
          </cell>
          <cell r="I113">
            <v>95.154023350000003</v>
          </cell>
          <cell r="J113">
            <v>104.87926899999999</v>
          </cell>
          <cell r="K113">
            <v>115.8549111</v>
          </cell>
          <cell r="L113">
            <v>123.87554950000001</v>
          </cell>
          <cell r="M113">
            <v>130.66967320000001</v>
          </cell>
          <cell r="N113">
            <v>136.90724130000001</v>
          </cell>
          <cell r="O113">
            <v>142.87874619999999</v>
          </cell>
          <cell r="P113">
            <v>149.7503117</v>
          </cell>
          <cell r="Q113">
            <v>155.5153186</v>
          </cell>
          <cell r="R113">
            <v>161.25078730000001</v>
          </cell>
          <cell r="S113">
            <v>166.9828522</v>
          </cell>
          <cell r="T113">
            <v>172.7120276</v>
          </cell>
          <cell r="U113">
            <v>178.40844820000001</v>
          </cell>
          <cell r="V113">
            <v>184.05438810000001</v>
          </cell>
          <cell r="W113">
            <v>189.64195699999999</v>
          </cell>
          <cell r="X113">
            <v>195.16968790000001</v>
          </cell>
          <cell r="Y113">
            <v>200.63973630000001</v>
          </cell>
          <cell r="Z113">
            <v>205.36952769999999</v>
          </cell>
          <cell r="AA113">
            <v>210.73683919999999</v>
          </cell>
          <cell r="AB113">
            <v>216.0615919</v>
          </cell>
          <cell r="AC113">
            <v>221.34753459999999</v>
          </cell>
          <cell r="AD113">
            <v>226.5977163</v>
          </cell>
          <cell r="AE113">
            <v>229.94070550000001</v>
          </cell>
          <cell r="AF113">
            <v>234.24730159999999</v>
          </cell>
          <cell r="AG113">
            <v>238.52996479999999</v>
          </cell>
          <cell r="AH113">
            <v>242.79333969999999</v>
          </cell>
          <cell r="AI113">
            <v>247.04126120000001</v>
          </cell>
          <cell r="AJ113">
            <v>251.2771276</v>
          </cell>
          <cell r="AK113">
            <v>255.5042004</v>
          </cell>
          <cell r="AL113">
            <v>259.7259138</v>
          </cell>
          <cell r="AM113">
            <v>263.9462613</v>
          </cell>
          <cell r="AN113">
            <v>268.1703205</v>
          </cell>
          <cell r="AO113">
            <v>272.40501330000001</v>
          </cell>
          <cell r="AP113">
            <v>276.26089639999998</v>
          </cell>
          <cell r="AQ113">
            <v>280.15592149999998</v>
          </cell>
          <cell r="AR113">
            <v>283.636865</v>
          </cell>
          <cell r="AS113">
            <v>286.72411419999997</v>
          </cell>
          <cell r="AT113">
            <v>289.76669340000001</v>
          </cell>
          <cell r="AU113">
            <v>293.40424739999997</v>
          </cell>
          <cell r="AV113">
            <v>297.96970379999999</v>
          </cell>
          <cell r="AW113">
            <v>303.59847710000003</v>
          </cell>
          <cell r="AX113">
            <v>310.03447240000003</v>
          </cell>
          <cell r="AY113">
            <v>316.89266939999999</v>
          </cell>
          <cell r="AZ113">
            <v>323.89568919999999</v>
          </cell>
          <cell r="BA113">
            <v>330.82163530000003</v>
          </cell>
          <cell r="BB113">
            <v>337.57341960000002</v>
          </cell>
          <cell r="BC113">
            <v>344.10990390000001</v>
          </cell>
          <cell r="BD113">
            <v>350.4195206</v>
          </cell>
          <cell r="BE113">
            <v>505.70694400000002</v>
          </cell>
          <cell r="BF113">
            <v>512.00260160000005</v>
          </cell>
          <cell r="BG113">
            <v>518.24737849999997</v>
          </cell>
          <cell r="BH113">
            <v>524.44232790000001</v>
          </cell>
          <cell r="BI113">
            <v>530.58864100000005</v>
          </cell>
        </row>
        <row r="114">
          <cell r="F114">
            <v>408.28039699999999</v>
          </cell>
          <cell r="G114">
            <v>425.42588030000002</v>
          </cell>
          <cell r="H114">
            <v>444.23758850000002</v>
          </cell>
          <cell r="I114">
            <v>463.33273500000001</v>
          </cell>
          <cell r="J114">
            <v>483.26884669999998</v>
          </cell>
          <cell r="K114">
            <v>504.7456555</v>
          </cell>
          <cell r="L114">
            <v>522.5659296</v>
          </cell>
          <cell r="M114">
            <v>539.5354092</v>
          </cell>
          <cell r="N114">
            <v>556.21261630000004</v>
          </cell>
          <cell r="O114">
            <v>572.80595689999996</v>
          </cell>
          <cell r="P114">
            <v>592.31937660000006</v>
          </cell>
          <cell r="Q114">
            <v>608.99810030000003</v>
          </cell>
          <cell r="R114">
            <v>625.80070169999999</v>
          </cell>
          <cell r="S114">
            <v>642.76047170000004</v>
          </cell>
          <cell r="T114">
            <v>659.84276050000005</v>
          </cell>
          <cell r="U114">
            <v>676.92005730000005</v>
          </cell>
          <cell r="V114">
            <v>693.91094880000003</v>
          </cell>
          <cell r="W114">
            <v>710.77070630000003</v>
          </cell>
          <cell r="X114">
            <v>727.47903659999997</v>
          </cell>
          <cell r="Y114">
            <v>744.030213</v>
          </cell>
          <cell r="Z114">
            <v>758.49839859999997</v>
          </cell>
          <cell r="AA114">
            <v>774.7437377</v>
          </cell>
          <cell r="AB114">
            <v>790.85126149999996</v>
          </cell>
          <cell r="AC114">
            <v>806.82740579999995</v>
          </cell>
          <cell r="AD114">
            <v>822.6776443</v>
          </cell>
          <cell r="AE114">
            <v>833.14355650000005</v>
          </cell>
          <cell r="AF114">
            <v>846.27830440000002</v>
          </cell>
          <cell r="AG114">
            <v>859.30303160000005</v>
          </cell>
          <cell r="AH114">
            <v>872.22493380000003</v>
          </cell>
          <cell r="AI114">
            <v>885.04922160000001</v>
          </cell>
          <cell r="AJ114">
            <v>897.77992759999995</v>
          </cell>
          <cell r="AK114">
            <v>910.42052020000006</v>
          </cell>
          <cell r="AL114">
            <v>922.97444589999998</v>
          </cell>
          <cell r="AM114">
            <v>935.44569230000002</v>
          </cell>
          <cell r="AN114">
            <v>947.83943710000005</v>
          </cell>
          <cell r="AO114">
            <v>960.16287769999997</v>
          </cell>
          <cell r="AP114">
            <v>971.30360510000003</v>
          </cell>
          <cell r="AQ114">
            <v>982.40166399999998</v>
          </cell>
          <cell r="AR114">
            <v>991.87768530000005</v>
          </cell>
          <cell r="AS114">
            <v>999.65642690000004</v>
          </cell>
          <cell r="AT114">
            <v>1006.542068</v>
          </cell>
          <cell r="AU114">
            <v>1013.509907</v>
          </cell>
          <cell r="AV114">
            <v>1021.076558</v>
          </cell>
          <cell r="AW114">
            <v>1029.4893380000001</v>
          </cell>
          <cell r="AX114">
            <v>1038.5672219999999</v>
          </cell>
          <cell r="AY114">
            <v>1047.9775810000001</v>
          </cell>
          <cell r="AZ114">
            <v>1057.5365099999999</v>
          </cell>
          <cell r="BA114">
            <v>1066.9860819999999</v>
          </cell>
          <cell r="BB114">
            <v>1076.24227</v>
          </cell>
          <cell r="BC114">
            <v>1085.2712449999999</v>
          </cell>
          <cell r="BD114">
            <v>1094.0653789999999</v>
          </cell>
          <cell r="BE114">
            <v>1097.5222470000001</v>
          </cell>
          <cell r="BF114">
            <v>1106.9728580000001</v>
          </cell>
          <cell r="BG114">
            <v>1116.3591220000001</v>
          </cell>
          <cell r="BH114">
            <v>1125.682438</v>
          </cell>
          <cell r="BI114">
            <v>1134.9443100000001</v>
          </cell>
        </row>
        <row r="115">
          <cell r="F115">
            <v>954.38155940000001</v>
          </cell>
          <cell r="G115">
            <v>947.73355909999998</v>
          </cell>
          <cell r="H115">
            <v>941.2283711</v>
          </cell>
          <cell r="I115">
            <v>934.42179599999997</v>
          </cell>
          <cell r="J115">
            <v>926.613923</v>
          </cell>
          <cell r="K115">
            <v>916.7632711</v>
          </cell>
          <cell r="L115">
            <v>909.83929139999998</v>
          </cell>
          <cell r="M115">
            <v>904.82341440000005</v>
          </cell>
          <cell r="N115">
            <v>900.81661789999998</v>
          </cell>
          <cell r="O115">
            <v>897.29041529999995</v>
          </cell>
          <cell r="P115">
            <v>893.93724150000003</v>
          </cell>
          <cell r="Q115">
            <v>890.56817960000001</v>
          </cell>
          <cell r="R115">
            <v>887.07247070000005</v>
          </cell>
          <cell r="S115">
            <v>883.39455250000003</v>
          </cell>
          <cell r="T115">
            <v>879.55087639999999</v>
          </cell>
          <cell r="U115">
            <v>875.63410969999995</v>
          </cell>
          <cell r="V115">
            <v>871.69072659999995</v>
          </cell>
          <cell r="W115">
            <v>867.74371870000004</v>
          </cell>
          <cell r="X115">
            <v>863.80423559999997</v>
          </cell>
          <cell r="Y115">
            <v>859.8775521</v>
          </cell>
          <cell r="Z115">
            <v>855.96605980000004</v>
          </cell>
          <cell r="AA115">
            <v>852.0704806</v>
          </cell>
          <cell r="AB115">
            <v>848.19141909999996</v>
          </cell>
          <cell r="AC115">
            <v>844.32893769999998</v>
          </cell>
          <cell r="AD115">
            <v>840.48298269999998</v>
          </cell>
          <cell r="AE115">
            <v>836.65341279999996</v>
          </cell>
          <cell r="AF115">
            <v>832.83924190000005</v>
          </cell>
          <cell r="AG115">
            <v>829.04051460000005</v>
          </cell>
          <cell r="AH115">
            <v>825.25687040000003</v>
          </cell>
          <cell r="AI115">
            <v>821.48793460000002</v>
          </cell>
          <cell r="AJ115">
            <v>817.73330780000003</v>
          </cell>
          <cell r="AK115">
            <v>813.99254670000005</v>
          </cell>
          <cell r="AL115">
            <v>810.26513609999995</v>
          </cell>
          <cell r="AM115">
            <v>806.55044280000004</v>
          </cell>
          <cell r="AN115">
            <v>802.84763539999994</v>
          </cell>
          <cell r="AO115">
            <v>799.15554020000002</v>
          </cell>
          <cell r="AP115">
            <v>795.47228819999998</v>
          </cell>
          <cell r="AQ115">
            <v>791.7942554</v>
          </cell>
          <cell r="AR115">
            <v>788.11404700000003</v>
          </cell>
          <cell r="AS115">
            <v>784.411877</v>
          </cell>
          <cell r="AT115">
            <v>780.60532309999996</v>
          </cell>
          <cell r="AU115">
            <v>776.02279439999995</v>
          </cell>
          <cell r="AV115">
            <v>769.69298920000006</v>
          </cell>
          <cell r="AW115">
            <v>761.28186489999996</v>
          </cell>
          <cell r="AX115">
            <v>751.25609280000003</v>
          </cell>
          <cell r="AY115">
            <v>740.34198370000001</v>
          </cell>
          <cell r="AZ115">
            <v>729.13852229999998</v>
          </cell>
          <cell r="BA115">
            <v>718.02455210000005</v>
          </cell>
          <cell r="BB115">
            <v>707.20177409999997</v>
          </cell>
          <cell r="BC115">
            <v>696.76091010000005</v>
          </cell>
          <cell r="BD115">
            <v>686.73197579999999</v>
          </cell>
          <cell r="BE115">
            <v>484.04968780000002</v>
          </cell>
          <cell r="BF115">
            <v>477.39374570000001</v>
          </cell>
          <cell r="BG115">
            <v>470.83057000000002</v>
          </cell>
          <cell r="BH115">
            <v>464.35802790000002</v>
          </cell>
          <cell r="BI115">
            <v>457.97382290000002</v>
          </cell>
        </row>
        <row r="116">
          <cell r="F116">
            <v>878.79999729999997</v>
          </cell>
          <cell r="G116">
            <v>867.99168829999996</v>
          </cell>
          <cell r="H116">
            <v>857.32652840000003</v>
          </cell>
          <cell r="I116">
            <v>846.67891440000005</v>
          </cell>
          <cell r="J116">
            <v>835.88055569999995</v>
          </cell>
          <cell r="K116">
            <v>824.77851780000003</v>
          </cell>
          <cell r="L116">
            <v>813.27390969999999</v>
          </cell>
          <cell r="M116">
            <v>801.3549008</v>
          </cell>
          <cell r="N116">
            <v>789.14539549999995</v>
          </cell>
          <cell r="O116">
            <v>776.7734888</v>
          </cell>
          <cell r="P116">
            <v>764.32659490000003</v>
          </cell>
          <cell r="Q116">
            <v>751.8475062</v>
          </cell>
          <cell r="R116">
            <v>739.34799480000004</v>
          </cell>
          <cell r="S116">
            <v>726.83085089999997</v>
          </cell>
          <cell r="T116">
            <v>714.32411479999996</v>
          </cell>
          <cell r="U116">
            <v>701.90383759999997</v>
          </cell>
          <cell r="V116">
            <v>689.63336709999999</v>
          </cell>
          <cell r="W116">
            <v>677.55190149999999</v>
          </cell>
          <cell r="X116">
            <v>665.67834619999996</v>
          </cell>
          <cell r="Y116">
            <v>654.01803910000001</v>
          </cell>
          <cell r="Z116">
            <v>642.56726289999995</v>
          </cell>
          <cell r="AA116">
            <v>631.31682420000004</v>
          </cell>
          <cell r="AB116">
            <v>620.25834780000002</v>
          </cell>
          <cell r="AC116">
            <v>609.38487090000001</v>
          </cell>
          <cell r="AD116">
            <v>598.69058659999996</v>
          </cell>
          <cell r="AE116">
            <v>588.16768039999999</v>
          </cell>
          <cell r="AF116">
            <v>577.80377250000004</v>
          </cell>
          <cell r="AG116">
            <v>567.589158</v>
          </cell>
          <cell r="AH116">
            <v>557.5175534</v>
          </cell>
          <cell r="AI116">
            <v>547.58542769999997</v>
          </cell>
          <cell r="AJ116">
            <v>537.79111399999999</v>
          </cell>
          <cell r="AK116">
            <v>528.13412989999995</v>
          </cell>
          <cell r="AL116">
            <v>518.61463570000001</v>
          </cell>
          <cell r="AM116">
            <v>509.23298940000001</v>
          </cell>
          <cell r="AN116">
            <v>499.98939739999997</v>
          </cell>
          <cell r="AO116">
            <v>490.88367030000001</v>
          </cell>
          <cell r="AP116">
            <v>481.91459550000002</v>
          </cell>
          <cell r="AQ116">
            <v>473.0791926</v>
          </cell>
          <cell r="AR116">
            <v>465.74037019999997</v>
          </cell>
          <cell r="AS116">
            <v>460.12527019999999</v>
          </cell>
          <cell r="AT116">
            <v>455.75433459999999</v>
          </cell>
          <cell r="AU116">
            <v>452.16890740000002</v>
          </cell>
          <cell r="AV116">
            <v>449.06078609999997</v>
          </cell>
          <cell r="AW116">
            <v>446.23763279999997</v>
          </cell>
          <cell r="AX116">
            <v>443.58474239999998</v>
          </cell>
          <cell r="AY116">
            <v>441.0354198</v>
          </cell>
          <cell r="AZ116">
            <v>438.55136599999997</v>
          </cell>
          <cell r="BA116">
            <v>436.1107179</v>
          </cell>
          <cell r="BB116">
            <v>433.70100409999998</v>
          </cell>
          <cell r="BC116">
            <v>431.31511519999998</v>
          </cell>
          <cell r="BD116">
            <v>428.94898769999998</v>
          </cell>
          <cell r="BE116">
            <v>627.43126419999999</v>
          </cell>
          <cell r="BF116">
            <v>623.80247299999996</v>
          </cell>
          <cell r="BG116">
            <v>620.1914491</v>
          </cell>
          <cell r="BH116">
            <v>616.59806479999997</v>
          </cell>
          <cell r="BI116">
            <v>613.02212169999996</v>
          </cell>
        </row>
        <row r="117">
          <cell r="F117">
            <v>139.85209269999999</v>
          </cell>
          <cell r="G117">
            <v>137.95558740000001</v>
          </cell>
          <cell r="H117">
            <v>136.08700809999999</v>
          </cell>
          <cell r="I117">
            <v>134.24968179999999</v>
          </cell>
          <cell r="J117">
            <v>132.4452435</v>
          </cell>
          <cell r="K117">
            <v>130.6731905</v>
          </cell>
          <cell r="L117">
            <v>128.9314918</v>
          </cell>
          <cell r="M117">
            <v>127.21751829999999</v>
          </cell>
          <cell r="N117">
            <v>125.52896699999999</v>
          </cell>
          <cell r="O117">
            <v>123.8641006</v>
          </cell>
          <cell r="P117">
            <v>122.22178510000001</v>
          </cell>
          <cell r="Q117">
            <v>120.6013514</v>
          </cell>
          <cell r="R117">
            <v>119.0022838</v>
          </cell>
          <cell r="S117">
            <v>117.4241936</v>
          </cell>
          <cell r="T117">
            <v>115.8667741</v>
          </cell>
          <cell r="U117">
            <v>114.3297414</v>
          </cell>
          <cell r="V117">
            <v>112.8128002</v>
          </cell>
          <cell r="W117">
            <v>111.3156299</v>
          </cell>
          <cell r="X117">
            <v>109.83788749999999</v>
          </cell>
          <cell r="Y117">
            <v>108.3792203</v>
          </cell>
          <cell r="Z117">
            <v>106.93924699999999</v>
          </cell>
          <cell r="AA117">
            <v>105.51758390000001</v>
          </cell>
          <cell r="AB117">
            <v>104.11393030000001</v>
          </cell>
          <cell r="AC117">
            <v>102.72802799999999</v>
          </cell>
          <cell r="AD117">
            <v>101.3596343</v>
          </cell>
          <cell r="AE117">
            <v>100.0084444</v>
          </cell>
          <cell r="AF117">
            <v>98.674095919999999</v>
          </cell>
          <cell r="AG117">
            <v>97.356333120000002</v>
          </cell>
          <cell r="AH117">
            <v>96.054975470000002</v>
          </cell>
          <cell r="AI117">
            <v>94.76986891</v>
          </cell>
          <cell r="AJ117">
            <v>93.500870460000002</v>
          </cell>
          <cell r="AK117">
            <v>92.247841910000005</v>
          </cell>
          <cell r="AL117">
            <v>91.010643819999999</v>
          </cell>
          <cell r="AM117">
            <v>89.789128739999995</v>
          </cell>
          <cell r="AN117">
            <v>88.583135220000003</v>
          </cell>
          <cell r="AO117">
            <v>87.392484109999998</v>
          </cell>
          <cell r="AP117">
            <v>86.216964919999995</v>
          </cell>
          <cell r="AQ117">
            <v>85.05633186</v>
          </cell>
          <cell r="AR117">
            <v>83.910327420000002</v>
          </cell>
          <cell r="AS117">
            <v>82.778824709999995</v>
          </cell>
          <cell r="AT117">
            <v>81.661712589999993</v>
          </cell>
          <cell r="AU117">
            <v>80.558756000000002</v>
          </cell>
          <cell r="AV117">
            <v>79.469460699999999</v>
          </cell>
          <cell r="AW117">
            <v>78.393544259999999</v>
          </cell>
          <cell r="AX117">
            <v>77.330968499999997</v>
          </cell>
          <cell r="AY117">
            <v>76.281824499999999</v>
          </cell>
          <cell r="AZ117">
            <v>75.246216290000007</v>
          </cell>
          <cell r="BA117">
            <v>74.224191730000001</v>
          </cell>
          <cell r="BB117">
            <v>73.215719219999997</v>
          </cell>
          <cell r="BC117">
            <v>72.220695309999996</v>
          </cell>
          <cell r="BD117">
            <v>71.238965390000004</v>
          </cell>
          <cell r="BE117">
            <v>71.569973329999996</v>
          </cell>
          <cell r="BF117">
            <v>70.642954649999993</v>
          </cell>
          <cell r="BG117">
            <v>69.727825420000002</v>
          </cell>
          <cell r="BH117">
            <v>68.824426950000003</v>
          </cell>
          <cell r="BI117">
            <v>67.932590059999995</v>
          </cell>
        </row>
        <row r="118">
          <cell r="F118">
            <v>3.874567114</v>
          </cell>
          <cell r="G118">
            <v>3.7242530579999999</v>
          </cell>
          <cell r="H118">
            <v>3.5803475370000002</v>
          </cell>
          <cell r="I118">
            <v>3.442841262</v>
          </cell>
          <cell r="J118">
            <v>3.3116002280000001</v>
          </cell>
          <cell r="K118">
            <v>3.1863415850000001</v>
          </cell>
          <cell r="L118">
            <v>3.0666881849999998</v>
          </cell>
          <cell r="M118">
            <v>2.9522407089999998</v>
          </cell>
          <cell r="N118">
            <v>2.8426427159999998</v>
          </cell>
          <cell r="O118">
            <v>2.7375930880000001</v>
          </cell>
          <cell r="P118">
            <v>2.6368448070000001</v>
          </cell>
          <cell r="Q118">
            <v>2.5401923169999998</v>
          </cell>
          <cell r="R118">
            <v>2.4474481730000002</v>
          </cell>
          <cell r="S118">
            <v>2.3584408379999999</v>
          </cell>
          <cell r="T118">
            <v>2.2730110859999999</v>
          </cell>
          <cell r="U118">
            <v>2.1910076360000001</v>
          </cell>
          <cell r="V118">
            <v>2.1122844750000001</v>
          </cell>
          <cell r="W118">
            <v>2.0366999610000001</v>
          </cell>
          <cell r="X118">
            <v>1.9641170320000001</v>
          </cell>
          <cell r="Y118">
            <v>1.8944038219999999</v>
          </cell>
          <cell r="Z118">
            <v>1.827432489</v>
          </cell>
          <cell r="AA118">
            <v>1.7630804440000001</v>
          </cell>
          <cell r="AB118">
            <v>1.7012348310000001</v>
          </cell>
          <cell r="AC118">
            <v>1.641789803</v>
          </cell>
          <cell r="AD118">
            <v>1.5846448</v>
          </cell>
          <cell r="AE118">
            <v>1.52970041</v>
          </cell>
          <cell r="AF118">
            <v>1.4768584300000001</v>
          </cell>
          <cell r="AG118">
            <v>1.4260300290000001</v>
          </cell>
          <cell r="AH118">
            <v>1.377133637</v>
          </cell>
          <cell r="AI118">
            <v>1.330092345</v>
          </cell>
          <cell r="AJ118">
            <v>1.284832996</v>
          </cell>
          <cell r="AK118">
            <v>1.241285752</v>
          </cell>
          <cell r="AL118">
            <v>1.199383718</v>
          </cell>
          <cell r="AM118">
            <v>1.1590625590000001</v>
          </cell>
          <cell r="AN118">
            <v>1.120260163</v>
          </cell>
          <cell r="AO118">
            <v>1.0829164099999999</v>
          </cell>
          <cell r="AP118">
            <v>1.0469725540000001</v>
          </cell>
          <cell r="AQ118">
            <v>1.0123709780000001</v>
          </cell>
          <cell r="AR118">
            <v>0.97905609090000001</v>
          </cell>
          <cell r="AS118">
            <v>0.94697448549999996</v>
          </cell>
          <cell r="AT118">
            <v>0.91607486439999997</v>
          </cell>
          <cell r="AU118">
            <v>0.88630532630000003</v>
          </cell>
          <cell r="AV118">
            <v>0.85760837779999999</v>
          </cell>
          <cell r="AW118">
            <v>0.82993687949999995</v>
          </cell>
          <cell r="AX118">
            <v>0.80325428909999996</v>
          </cell>
          <cell r="AY118">
            <v>0.77753014170000001</v>
          </cell>
          <cell r="AZ118">
            <v>0.75273588280000003</v>
          </cell>
          <cell r="BA118">
            <v>0.72884252439999997</v>
          </cell>
          <cell r="BB118">
            <v>0.70581989310000004</v>
          </cell>
          <cell r="BC118">
            <v>0.68363687809999996</v>
          </cell>
          <cell r="BD118">
            <v>0.66226205959999995</v>
          </cell>
          <cell r="BE118">
            <v>0.67613615360000001</v>
          </cell>
          <cell r="BF118">
            <v>0.65614706970000003</v>
          </cell>
          <cell r="BG118">
            <v>0.6368516139</v>
          </cell>
          <cell r="BH118">
            <v>0.61822360580000002</v>
          </cell>
          <cell r="BI118">
            <v>0.6002375418</v>
          </cell>
        </row>
        <row r="205">
          <cell r="E205" t="str">
            <v>YG_toe_2</v>
          </cell>
          <cell r="F205">
            <v>148.75861549999999</v>
          </cell>
          <cell r="G205">
            <v>150.0164058</v>
          </cell>
          <cell r="H205">
            <v>151.1706269</v>
          </cell>
          <cell r="I205">
            <v>152.3847069</v>
          </cell>
          <cell r="J205">
            <v>153.72155470000001</v>
          </cell>
          <cell r="K205">
            <v>155.18758450000001</v>
          </cell>
          <cell r="L205">
            <v>156.6798919</v>
          </cell>
          <cell r="M205">
            <v>158.2375007</v>
          </cell>
          <cell r="N205">
            <v>159.8526138</v>
          </cell>
          <cell r="O205">
            <v>161.51584220000001</v>
          </cell>
          <cell r="P205">
            <v>163.37123700000001</v>
          </cell>
          <cell r="Q205">
            <v>165.1563093</v>
          </cell>
          <cell r="R205">
            <v>166.954812</v>
          </cell>
          <cell r="S205">
            <v>168.77493079999999</v>
          </cell>
          <cell r="T205">
            <v>170.61850459999999</v>
          </cell>
          <cell r="U205">
            <v>172.4859113</v>
          </cell>
          <cell r="V205">
            <v>174.3775919</v>
          </cell>
          <cell r="W205">
            <v>176.29367149999999</v>
          </cell>
          <cell r="X205">
            <v>178.23454330000001</v>
          </cell>
          <cell r="Y205">
            <v>180.20082249999999</v>
          </cell>
          <cell r="Z205">
            <v>182.08247940000001</v>
          </cell>
          <cell r="AA205">
            <v>184.06936300000001</v>
          </cell>
          <cell r="AB205">
            <v>186.09790810000001</v>
          </cell>
          <cell r="AC205">
            <v>188.16150339999999</v>
          </cell>
          <cell r="AD205">
            <v>190.25858070000001</v>
          </cell>
          <cell r="AE205">
            <v>192.07088010000001</v>
          </cell>
          <cell r="AF205">
            <v>193.99048239999999</v>
          </cell>
          <cell r="AG205">
            <v>195.93686360000001</v>
          </cell>
          <cell r="AH205">
            <v>197.9073357</v>
          </cell>
          <cell r="AI205">
            <v>199.90387240000001</v>
          </cell>
          <cell r="AJ205">
            <v>201.92910259999999</v>
          </cell>
          <cell r="AK205">
            <v>203.98527870000001</v>
          </cell>
          <cell r="AL205">
            <v>206.0742698</v>
          </cell>
          <cell r="AM205">
            <v>208.1974079</v>
          </cell>
          <cell r="AN205">
            <v>210.3555552</v>
          </cell>
          <cell r="AO205">
            <v>212.54920000000001</v>
          </cell>
          <cell r="AP205">
            <v>214.7018435</v>
          </cell>
          <cell r="AQ205">
            <v>216.86716910000001</v>
          </cell>
          <cell r="AR205">
            <v>219.05432339999999</v>
          </cell>
          <cell r="AS205">
            <v>221.267383</v>
          </cell>
          <cell r="AT205">
            <v>223.50880240000001</v>
          </cell>
          <cell r="AU205">
            <v>225.78020179999999</v>
          </cell>
          <cell r="AV205">
            <v>228.08296730000001</v>
          </cell>
          <cell r="AW205">
            <v>230.41812479999999</v>
          </cell>
          <cell r="AX205">
            <v>232.78639949999999</v>
          </cell>
          <cell r="AY205">
            <v>235.1882732</v>
          </cell>
          <cell r="AZ205">
            <v>237.62225649999999</v>
          </cell>
          <cell r="BA205">
            <v>240.08708630000001</v>
          </cell>
          <cell r="BB205">
            <v>242.58780530000001</v>
          </cell>
          <cell r="BC205">
            <v>245.1288543</v>
          </cell>
          <cell r="BD205">
            <v>247.71310020000001</v>
          </cell>
          <cell r="BE205">
            <v>260.51870730000002</v>
          </cell>
          <cell r="BF205">
            <v>264.01853419999998</v>
          </cell>
          <cell r="BG205">
            <v>267.57925560000001</v>
          </cell>
          <cell r="BH205">
            <v>271.20175319999998</v>
          </cell>
          <cell r="BI205">
            <v>274.88702260000002</v>
          </cell>
        </row>
        <row r="206">
          <cell r="E206" t="str">
            <v>YG_toe_ccoa_2</v>
          </cell>
          <cell r="F206">
            <v>2.3955988709999998</v>
          </cell>
          <cell r="G206">
            <v>2.4209896689999999</v>
          </cell>
          <cell r="H206">
            <v>2.4479949890000001</v>
          </cell>
          <cell r="I206">
            <v>2.4776516389999999</v>
          </cell>
          <cell r="J206">
            <v>2.5100293749999998</v>
          </cell>
          <cell r="K206">
            <v>2.5448242219999999</v>
          </cell>
          <cell r="L206">
            <v>2.5801478549999999</v>
          </cell>
          <cell r="M206">
            <v>2.616737455</v>
          </cell>
          <cell r="N206">
            <v>2.6545778590000002</v>
          </cell>
          <cell r="O206">
            <v>2.693544073</v>
          </cell>
          <cell r="P206">
            <v>2.7361969479999999</v>
          </cell>
          <cell r="Q206">
            <v>2.7779197760000001</v>
          </cell>
          <cell r="R206">
            <v>2.8200995400000002</v>
          </cell>
          <cell r="S206">
            <v>2.8629783820000001</v>
          </cell>
          <cell r="T206">
            <v>2.906578917</v>
          </cell>
          <cell r="U206">
            <v>2.9508913849999998</v>
          </cell>
          <cell r="V206">
            <v>2.9959110500000001</v>
          </cell>
          <cell r="W206">
            <v>3.0416356819999999</v>
          </cell>
          <cell r="X206">
            <v>3.0880699360000001</v>
          </cell>
          <cell r="Y206">
            <v>3.1352217420000001</v>
          </cell>
          <cell r="Z206">
            <v>3.1810996650000001</v>
          </cell>
          <cell r="AA206">
            <v>3.2290980930000002</v>
          </cell>
          <cell r="AB206">
            <v>3.2781421499999999</v>
          </cell>
          <cell r="AC206">
            <v>3.328025024</v>
          </cell>
          <cell r="AD206">
            <v>3.378713785</v>
          </cell>
          <cell r="AE206">
            <v>3.4244028659999999</v>
          </cell>
          <cell r="AF206">
            <v>3.4721523809999999</v>
          </cell>
          <cell r="AG206">
            <v>3.520691748</v>
          </cell>
          <cell r="AH206">
            <v>3.5697993669999999</v>
          </cell>
          <cell r="AI206">
            <v>3.6194669309999998</v>
          </cell>
          <cell r="AJ206">
            <v>3.6697239009999998</v>
          </cell>
          <cell r="AK206">
            <v>3.7205996099999998</v>
          </cell>
          <cell r="AL206">
            <v>3.7721171349999998</v>
          </cell>
          <cell r="AM206">
            <v>3.824290435</v>
          </cell>
          <cell r="AN206">
            <v>3.8771258899999999</v>
          </cell>
          <cell r="AO206">
            <v>3.930624302</v>
          </cell>
          <cell r="AP206">
            <v>3.9833569930000001</v>
          </cell>
          <cell r="AQ206">
            <v>4.0362872650000003</v>
          </cell>
          <cell r="AR206">
            <v>4.089619312</v>
          </cell>
          <cell r="AS206">
            <v>4.1434070470000002</v>
          </cell>
          <cell r="AT206">
            <v>4.1976769520000001</v>
          </cell>
          <cell r="AU206">
            <v>4.2524493379999999</v>
          </cell>
          <cell r="AV206">
            <v>4.3077446110000004</v>
          </cell>
          <cell r="AW206">
            <v>4.3635800849999997</v>
          </cell>
          <cell r="AX206">
            <v>4.4199702270000003</v>
          </cell>
          <cell r="AY206">
            <v>4.476926948</v>
          </cell>
          <cell r="AZ206">
            <v>4.5345899269999999</v>
          </cell>
          <cell r="BA206">
            <v>4.5929735779999996</v>
          </cell>
          <cell r="BB206">
            <v>4.6521196209999998</v>
          </cell>
          <cell r="BC206">
            <v>4.7120368020000001</v>
          </cell>
          <cell r="BD206">
            <v>4.7727151289999998</v>
          </cell>
          <cell r="BE206">
            <v>5.3030612970000002</v>
          </cell>
          <cell r="BF206">
            <v>5.3926175350000003</v>
          </cell>
          <cell r="BG206">
            <v>5.4835762130000001</v>
          </cell>
          <cell r="BH206">
            <v>5.5759606100000001</v>
          </cell>
          <cell r="BI206">
            <v>5.6697948240000002</v>
          </cell>
        </row>
        <row r="209">
          <cell r="E209" t="str">
            <v>YG_toe_ccoi_2</v>
          </cell>
          <cell r="F209">
            <v>1.0975851219999999</v>
          </cell>
          <cell r="G209">
            <v>1.106419906</v>
          </cell>
          <cell r="H209">
            <v>1.1141230129999999</v>
          </cell>
          <cell r="I209">
            <v>1.122574803</v>
          </cell>
          <cell r="J209">
            <v>1.132387743</v>
          </cell>
          <cell r="K209">
            <v>1.1435579730000001</v>
          </cell>
          <cell r="L209">
            <v>1.155297013</v>
          </cell>
          <cell r="M209">
            <v>1.1677361449999999</v>
          </cell>
          <cell r="N209">
            <v>1.1807751470000001</v>
          </cell>
          <cell r="O209">
            <v>1.194295498</v>
          </cell>
          <cell r="P209">
            <v>1.20921755</v>
          </cell>
          <cell r="Q209">
            <v>1.2238207299999999</v>
          </cell>
          <cell r="R209">
            <v>1.238535137</v>
          </cell>
          <cell r="S209">
            <v>1.2534475730000001</v>
          </cell>
          <cell r="T209">
            <v>1.268564381</v>
          </cell>
          <cell r="U209">
            <v>1.2838795119999999</v>
          </cell>
          <cell r="V209">
            <v>1.299391857</v>
          </cell>
          <cell r="W209">
            <v>1.315097806</v>
          </cell>
          <cell r="X209">
            <v>1.3309969109999999</v>
          </cell>
          <cell r="Y209">
            <v>1.3470907910000001</v>
          </cell>
          <cell r="Z209">
            <v>1.3626341239999999</v>
          </cell>
          <cell r="AA209">
            <v>1.378860432</v>
          </cell>
          <cell r="AB209">
            <v>1.3954201989999999</v>
          </cell>
          <cell r="AC209">
            <v>1.412231461</v>
          </cell>
          <cell r="AD209">
            <v>1.4292790049999999</v>
          </cell>
          <cell r="AE209">
            <v>1.4444037009999999</v>
          </cell>
          <cell r="AF209">
            <v>1.4601321519999999</v>
          </cell>
          <cell r="AG209">
            <v>1.4760923379999999</v>
          </cell>
          <cell r="AH209">
            <v>1.4922107490000001</v>
          </cell>
          <cell r="AI209">
            <v>1.5084914380000001</v>
          </cell>
          <cell r="AJ209">
            <v>1.524952584</v>
          </cell>
          <cell r="AK209">
            <v>1.541610897</v>
          </cell>
          <cell r="AL209">
            <v>1.5584813</v>
          </cell>
          <cell r="AM209">
            <v>1.5755749290000001</v>
          </cell>
          <cell r="AN209">
            <v>1.5928997149999999</v>
          </cell>
          <cell r="AO209">
            <v>1.6104611529999999</v>
          </cell>
          <cell r="AP209">
            <v>1.6277326809999999</v>
          </cell>
          <cell r="AQ209">
            <v>1.645054236</v>
          </cell>
          <cell r="AR209">
            <v>1.6625179210000001</v>
          </cell>
          <cell r="AS209">
            <v>1.680155206</v>
          </cell>
          <cell r="AT209">
            <v>1.697983791</v>
          </cell>
          <cell r="AU209">
            <v>1.716015571</v>
          </cell>
          <cell r="AV209">
            <v>1.734262569</v>
          </cell>
          <cell r="AW209">
            <v>1.752734349</v>
          </cell>
          <cell r="AX209">
            <v>1.7714382740000001</v>
          </cell>
          <cell r="AY209">
            <v>1.7903798339999999</v>
          </cell>
          <cell r="AZ209">
            <v>1.809553902</v>
          </cell>
          <cell r="BA209">
            <v>1.8289587380000001</v>
          </cell>
          <cell r="BB209">
            <v>1.848620642</v>
          </cell>
          <cell r="BC209">
            <v>1.868559455</v>
          </cell>
          <cell r="BD209">
            <v>1.88878601</v>
          </cell>
          <cell r="BE209">
            <v>2.0573651060000002</v>
          </cell>
          <cell r="BF209">
            <v>2.086709532</v>
          </cell>
          <cell r="BG209">
            <v>2.1165431620000001</v>
          </cell>
          <cell r="BH209">
            <v>2.146877581</v>
          </cell>
          <cell r="BI209">
            <v>2.1777251980000001</v>
          </cell>
        </row>
        <row r="212">
          <cell r="E212" t="str">
            <v>YG_toe_cfut_2</v>
          </cell>
          <cell r="F212">
            <v>42.409971220000003</v>
          </cell>
          <cell r="G212">
            <v>42.683900829999999</v>
          </cell>
          <cell r="H212">
            <v>42.937552410000002</v>
          </cell>
          <cell r="I212">
            <v>43.23948042</v>
          </cell>
          <cell r="J212">
            <v>43.606777610000002</v>
          </cell>
          <cell r="K212">
            <v>44.03430445</v>
          </cell>
          <cell r="L212">
            <v>44.489183060000002</v>
          </cell>
          <cell r="M212">
            <v>44.976276249999998</v>
          </cell>
          <cell r="N212">
            <v>45.488876939999997</v>
          </cell>
          <cell r="O212">
            <v>46.021494709999999</v>
          </cell>
          <cell r="P212">
            <v>46.608583090000003</v>
          </cell>
          <cell r="Q212">
            <v>47.181684990000001</v>
          </cell>
          <cell r="R212">
            <v>47.763006070000003</v>
          </cell>
          <cell r="S212">
            <v>48.352808869999997</v>
          </cell>
          <cell r="T212">
            <v>48.950468129999997</v>
          </cell>
          <cell r="U212">
            <v>49.55544922</v>
          </cell>
          <cell r="V212">
            <v>50.167487289999997</v>
          </cell>
          <cell r="W212">
            <v>50.786374520000003</v>
          </cell>
          <cell r="X212">
            <v>51.412046109999999</v>
          </cell>
          <cell r="Y212">
            <v>52.044508100000002</v>
          </cell>
          <cell r="Z212">
            <v>52.655312819999999</v>
          </cell>
          <cell r="AA212">
            <v>53.293436049999997</v>
          </cell>
          <cell r="AB212">
            <v>53.940963580000002</v>
          </cell>
          <cell r="AC212">
            <v>54.596805570000001</v>
          </cell>
          <cell r="AD212">
            <v>55.260830830000003</v>
          </cell>
          <cell r="AE212">
            <v>55.850757690000002</v>
          </cell>
          <cell r="AF212">
            <v>56.46892416</v>
          </cell>
          <cell r="AG212">
            <v>57.090804419999998</v>
          </cell>
          <cell r="AH212">
            <v>57.716189530000001</v>
          </cell>
          <cell r="AI212">
            <v>58.346033169999998</v>
          </cell>
          <cell r="AJ212">
            <v>58.98136873</v>
          </cell>
          <cell r="AK212">
            <v>59.623056159999997</v>
          </cell>
          <cell r="AL212">
            <v>60.27179426</v>
          </cell>
          <cell r="AM212">
            <v>60.928097270000002</v>
          </cell>
          <cell r="AN212">
            <v>61.592336690000003</v>
          </cell>
          <cell r="AO212">
            <v>62.264778219999997</v>
          </cell>
          <cell r="AP212">
            <v>62.925556299999997</v>
          </cell>
          <cell r="AQ212">
            <v>63.589100299999998</v>
          </cell>
          <cell r="AR212">
            <v>64.257186540000006</v>
          </cell>
          <cell r="AS212">
            <v>64.930734729999998</v>
          </cell>
          <cell r="AT212">
            <v>65.610483130000006</v>
          </cell>
          <cell r="AU212">
            <v>66.297054529999997</v>
          </cell>
          <cell r="AV212">
            <v>66.991030039999998</v>
          </cell>
          <cell r="AW212">
            <v>67.692875000000001</v>
          </cell>
          <cell r="AX212">
            <v>68.402953280000006</v>
          </cell>
          <cell r="AY212">
            <v>69.121539889999994</v>
          </cell>
          <cell r="AZ212">
            <v>69.848899180000004</v>
          </cell>
          <cell r="BA212">
            <v>70.584809379999996</v>
          </cell>
          <cell r="BB212">
            <v>71.330053599999999</v>
          </cell>
          <cell r="BC212">
            <v>72.08510948</v>
          </cell>
          <cell r="BD212">
            <v>72.850226190000001</v>
          </cell>
          <cell r="BE212">
            <v>79.759657880000006</v>
          </cell>
          <cell r="BF212">
            <v>80.877687420000001</v>
          </cell>
          <cell r="BG212">
            <v>82.013431510000004</v>
          </cell>
          <cell r="BH212">
            <v>83.167382599999996</v>
          </cell>
          <cell r="BI212">
            <v>84.340058659999997</v>
          </cell>
        </row>
        <row r="215">
          <cell r="E215" t="str">
            <v>YG_toe_cfuh_2</v>
          </cell>
          <cell r="F215">
            <v>7.9450164509999999</v>
          </cell>
          <cell r="G215">
            <v>8.0163060480000006</v>
          </cell>
          <cell r="H215">
            <v>8.0746999059999993</v>
          </cell>
          <cell r="I215">
            <v>8.1308404700000008</v>
          </cell>
          <cell r="J215">
            <v>8.1898593200000001</v>
          </cell>
          <cell r="K215">
            <v>8.2535961820000008</v>
          </cell>
          <cell r="L215">
            <v>8.3181020209999996</v>
          </cell>
          <cell r="M215">
            <v>8.3854883509999993</v>
          </cell>
          <cell r="N215">
            <v>8.4557514579999999</v>
          </cell>
          <cell r="O215">
            <v>8.5285466809999999</v>
          </cell>
          <cell r="P215">
            <v>8.6107411959999993</v>
          </cell>
          <cell r="Q215">
            <v>8.6903857210000002</v>
          </cell>
          <cell r="R215">
            <v>8.7706471369999992</v>
          </cell>
          <cell r="S215">
            <v>8.8520429529999998</v>
          </cell>
          <cell r="T215">
            <v>8.9346841290000008</v>
          </cell>
          <cell r="U215">
            <v>9.0185904669999992</v>
          </cell>
          <cell r="V215">
            <v>9.1038278469999998</v>
          </cell>
          <cell r="W215">
            <v>9.1903804400000002</v>
          </cell>
          <cell r="X215">
            <v>9.2782493830000003</v>
          </cell>
          <cell r="Y215">
            <v>9.3674481350000001</v>
          </cell>
          <cell r="Z215">
            <v>9.4527639400000005</v>
          </cell>
          <cell r="AA215">
            <v>9.5427567460000002</v>
          </cell>
          <cell r="AB215">
            <v>9.6349864929999995</v>
          </cell>
          <cell r="AC215">
            <v>9.7290065999999999</v>
          </cell>
          <cell r="AD215">
            <v>9.8246868650000003</v>
          </cell>
          <cell r="AE215">
            <v>9.9070000730000007</v>
          </cell>
          <cell r="AF215">
            <v>9.9932134060000006</v>
          </cell>
          <cell r="AG215">
            <v>10.080644059999999</v>
          </cell>
          <cell r="AH215">
            <v>10.169061920000001</v>
          </cell>
          <cell r="AI215">
            <v>10.25853942</v>
          </cell>
          <cell r="AJ215">
            <v>10.34919182</v>
          </cell>
          <cell r="AK215">
            <v>10.44110476</v>
          </cell>
          <cell r="AL215">
            <v>10.534366370000001</v>
          </cell>
          <cell r="AM215">
            <v>10.62904219</v>
          </cell>
          <cell r="AN215">
            <v>10.72517927</v>
          </cell>
          <cell r="AO215">
            <v>10.82281016</v>
          </cell>
          <cell r="AP215">
            <v>10.918249680000001</v>
          </cell>
          <cell r="AQ215">
            <v>11.013791790000001</v>
          </cell>
          <cell r="AR215">
            <v>11.110035720000001</v>
          </cell>
          <cell r="AS215">
            <v>11.20725781</v>
          </cell>
          <cell r="AT215">
            <v>11.305625340000001</v>
          </cell>
          <cell r="AU215">
            <v>11.405226949999999</v>
          </cell>
          <cell r="AV215">
            <v>11.50615726</v>
          </cell>
          <cell r="AW215">
            <v>11.60848551</v>
          </cell>
          <cell r="AX215">
            <v>11.71226227</v>
          </cell>
          <cell r="AY215">
            <v>11.817523660000001</v>
          </cell>
          <cell r="AZ215">
            <v>11.92388206</v>
          </cell>
          <cell r="BA215">
            <v>12.03145509</v>
          </cell>
          <cell r="BB215">
            <v>12.140519469999999</v>
          </cell>
          <cell r="BC215">
            <v>12.25129636</v>
          </cell>
          <cell r="BD215">
            <v>12.363940299999999</v>
          </cell>
          <cell r="BE215">
            <v>13.19740314</v>
          </cell>
          <cell r="BF215">
            <v>13.36274448</v>
          </cell>
          <cell r="BG215">
            <v>13.530779470000001</v>
          </cell>
          <cell r="BH215">
            <v>13.7015577</v>
          </cell>
          <cell r="BI215">
            <v>13.87513983</v>
          </cell>
        </row>
        <row r="217">
          <cell r="E217" t="str">
            <v>YG_toe_cgas_2</v>
          </cell>
          <cell r="F217">
            <v>6.6016979869999997</v>
          </cell>
          <cell r="G217">
            <v>6.6668333500000001</v>
          </cell>
          <cell r="H217">
            <v>6.7086624800000001</v>
          </cell>
          <cell r="I217">
            <v>6.7367874639999998</v>
          </cell>
          <cell r="J217">
            <v>6.7586432470000002</v>
          </cell>
          <cell r="K217">
            <v>6.7776901860000001</v>
          </cell>
          <cell r="L217">
            <v>6.7909483750000001</v>
          </cell>
          <cell r="M217">
            <v>6.803560804</v>
          </cell>
          <cell r="N217">
            <v>6.8156424769999999</v>
          </cell>
          <cell r="O217">
            <v>6.8272878209999996</v>
          </cell>
          <cell r="P217">
            <v>6.8461245870000003</v>
          </cell>
          <cell r="Q217">
            <v>6.8566353400000004</v>
          </cell>
          <cell r="R217">
            <v>6.8671001250000003</v>
          </cell>
          <cell r="S217">
            <v>6.8775218130000004</v>
          </cell>
          <cell r="T217">
            <v>6.8881747249999998</v>
          </cell>
          <cell r="U217">
            <v>6.899258895</v>
          </cell>
          <cell r="V217">
            <v>6.9109253439999998</v>
          </cell>
          <cell r="W217">
            <v>6.9233256299999999</v>
          </cell>
          <cell r="X217">
            <v>6.9365536719999996</v>
          </cell>
          <cell r="Y217">
            <v>6.950698407</v>
          </cell>
          <cell r="Z217">
            <v>6.960523985</v>
          </cell>
          <cell r="AA217">
            <v>6.9772543929999999</v>
          </cell>
          <cell r="AB217">
            <v>6.9949853370000001</v>
          </cell>
          <cell r="AC217">
            <v>7.013869262</v>
          </cell>
          <cell r="AD217">
            <v>7.0337943989999996</v>
          </cell>
          <cell r="AE217">
            <v>7.0396351790000002</v>
          </cell>
          <cell r="AF217">
            <v>7.0558632299999999</v>
          </cell>
          <cell r="AG217">
            <v>7.0730968240000003</v>
          </cell>
          <cell r="AH217">
            <v>7.0915368240000003</v>
          </cell>
          <cell r="AI217">
            <v>7.1109127250000004</v>
          </cell>
          <cell r="AJ217">
            <v>7.1309430489999999</v>
          </cell>
          <cell r="AK217">
            <v>7.1513970899999997</v>
          </cell>
          <cell r="AL217">
            <v>7.1720960949999997</v>
          </cell>
          <cell r="AM217">
            <v>7.1929307720000004</v>
          </cell>
          <cell r="AN217">
            <v>7.2138360930000003</v>
          </cell>
          <cell r="AO217">
            <v>7.2347797859999998</v>
          </cell>
          <cell r="AP217">
            <v>7.2522589069999999</v>
          </cell>
          <cell r="AQ217">
            <v>7.2700929460000001</v>
          </cell>
          <cell r="AR217">
            <v>7.2882065899999997</v>
          </cell>
          <cell r="AS217">
            <v>7.3066701529999998</v>
          </cell>
          <cell r="AT217">
            <v>7.3254931560000003</v>
          </cell>
          <cell r="AU217">
            <v>7.344638926</v>
          </cell>
          <cell r="AV217">
            <v>7.3640460340000002</v>
          </cell>
          <cell r="AW217">
            <v>7.3836861499999999</v>
          </cell>
          <cell r="AX217">
            <v>7.4035454930000002</v>
          </cell>
          <cell r="AY217">
            <v>7.423622022</v>
          </cell>
          <cell r="AZ217">
            <v>7.4452139629999996</v>
          </cell>
          <cell r="BA217">
            <v>7.4672535480000004</v>
          </cell>
          <cell r="BB217">
            <v>7.4892235920000001</v>
          </cell>
          <cell r="BC217">
            <v>7.5108356250000003</v>
          </cell>
          <cell r="BD217">
            <v>7.5319721719999997</v>
          </cell>
          <cell r="BE217">
            <v>6.2656216210000002</v>
          </cell>
          <cell r="BF217">
            <v>6.2765990770000002</v>
          </cell>
          <cell r="BG217">
            <v>6.2882836400000004</v>
          </cell>
          <cell r="BH217">
            <v>6.3006207659999998</v>
          </cell>
          <cell r="BI217">
            <v>6.3135823980000003</v>
          </cell>
        </row>
        <row r="223">
          <cell r="E223" t="str">
            <v>YG_toe_cele_2</v>
          </cell>
          <cell r="F223">
            <v>57.535094219999998</v>
          </cell>
          <cell r="G223">
            <v>58.089408319999997</v>
          </cell>
          <cell r="H223">
            <v>58.589083379999998</v>
          </cell>
          <cell r="I223">
            <v>59.094446859999998</v>
          </cell>
          <cell r="J223">
            <v>59.635102920000001</v>
          </cell>
          <cell r="K223">
            <v>60.218666380000002</v>
          </cell>
          <cell r="L223">
            <v>60.809583430000004</v>
          </cell>
          <cell r="M223">
            <v>61.422593769999999</v>
          </cell>
          <cell r="N223">
            <v>62.0557515</v>
          </cell>
          <cell r="O223">
            <v>62.706062230000001</v>
          </cell>
          <cell r="P223">
            <v>63.428488139999999</v>
          </cell>
          <cell r="Q223">
            <v>64.126351740000004</v>
          </cell>
          <cell r="R223">
            <v>64.828360799999999</v>
          </cell>
          <cell r="S223">
            <v>65.538221329999999</v>
          </cell>
          <cell r="T223">
            <v>66.256862089999998</v>
          </cell>
          <cell r="U223">
            <v>66.984574429999995</v>
          </cell>
          <cell r="V223">
            <v>67.721772319999999</v>
          </cell>
          <cell r="W223">
            <v>68.468583890000005</v>
          </cell>
          <cell r="X223">
            <v>69.225238939999997</v>
          </cell>
          <cell r="Y223">
            <v>69.992082659999994</v>
          </cell>
          <cell r="Z223">
            <v>70.727301949999998</v>
          </cell>
          <cell r="AA223">
            <v>71.501747649999999</v>
          </cell>
          <cell r="AB223">
            <v>72.293923329999998</v>
          </cell>
          <cell r="AC223">
            <v>73.101209519999998</v>
          </cell>
          <cell r="AD223">
            <v>73.923153479999996</v>
          </cell>
          <cell r="AE223">
            <v>74.638226450000005</v>
          </cell>
          <cell r="AF223">
            <v>75.391333180000004</v>
          </cell>
          <cell r="AG223">
            <v>76.156941759999995</v>
          </cell>
          <cell r="AH223">
            <v>76.934372600000003</v>
          </cell>
          <cell r="AI223">
            <v>77.724939680000006</v>
          </cell>
          <cell r="AJ223">
            <v>78.530137909999993</v>
          </cell>
          <cell r="AK223">
            <v>79.351174139999998</v>
          </cell>
          <cell r="AL223">
            <v>80.189039080000001</v>
          </cell>
          <cell r="AM223">
            <v>81.044415380000004</v>
          </cell>
          <cell r="AN223">
            <v>81.917708230000002</v>
          </cell>
          <cell r="AO223">
            <v>82.809095529999993</v>
          </cell>
          <cell r="AP223">
            <v>83.688746179999995</v>
          </cell>
          <cell r="AQ223">
            <v>84.575963099999996</v>
          </cell>
          <cell r="AR223">
            <v>85.474775769999994</v>
          </cell>
          <cell r="AS223">
            <v>86.386989619999994</v>
          </cell>
          <cell r="AT223">
            <v>87.313674980000002</v>
          </cell>
          <cell r="AU223">
            <v>88.255460200000002</v>
          </cell>
          <cell r="AV223">
            <v>89.21289376</v>
          </cell>
          <cell r="AW223">
            <v>90.186347900000001</v>
          </cell>
          <cell r="AX223">
            <v>91.176043579999998</v>
          </cell>
          <cell r="AY223">
            <v>92.182080429999999</v>
          </cell>
          <cell r="AZ223">
            <v>93.201124759999999</v>
          </cell>
          <cell r="BA223">
            <v>94.233404919999998</v>
          </cell>
          <cell r="BB223">
            <v>95.282601889999995</v>
          </cell>
          <cell r="BC223">
            <v>96.352087949999998</v>
          </cell>
          <cell r="BD223">
            <v>97.444063450000002</v>
          </cell>
          <cell r="BE223">
            <v>100.3150411</v>
          </cell>
          <cell r="BF223">
            <v>101.6970796</v>
          </cell>
          <cell r="BG223">
            <v>103.1047011</v>
          </cell>
          <cell r="BH223">
            <v>104.53813890000001</v>
          </cell>
          <cell r="BI223">
            <v>105.99762610000001</v>
          </cell>
        </row>
        <row r="233">
          <cell r="E233" t="str">
            <v>YG_toe_chea_2</v>
          </cell>
          <cell r="F233">
            <v>5.7132597870000001</v>
          </cell>
          <cell r="G233">
            <v>5.7875906849999996</v>
          </cell>
          <cell r="H233">
            <v>5.8630350169999996</v>
          </cell>
          <cell r="I233">
            <v>5.9385154350000002</v>
          </cell>
          <cell r="J233">
            <v>6.0146577160000003</v>
          </cell>
          <cell r="K233">
            <v>6.0921616209999998</v>
          </cell>
          <cell r="L233">
            <v>6.1660135770000002</v>
          </cell>
          <cell r="M233">
            <v>6.2395417159999997</v>
          </cell>
          <cell r="N233">
            <v>6.313872044</v>
          </cell>
          <cell r="O233">
            <v>6.3893052949999998</v>
          </cell>
          <cell r="P233">
            <v>6.4749866640000002</v>
          </cell>
          <cell r="Q233">
            <v>6.556167705</v>
          </cell>
          <cell r="R233">
            <v>6.6361397139999996</v>
          </cell>
          <cell r="S233">
            <v>6.7160000059999998</v>
          </cell>
          <cell r="T233">
            <v>6.7961501970000002</v>
          </cell>
          <cell r="U233">
            <v>6.8767377549999997</v>
          </cell>
          <cell r="V233">
            <v>6.9578450829999996</v>
          </cell>
          <cell r="W233">
            <v>7.0394720160000004</v>
          </cell>
          <cell r="X233">
            <v>7.1216055359999997</v>
          </cell>
          <cell r="Y233">
            <v>7.2042412269999998</v>
          </cell>
          <cell r="Z233">
            <v>7.2810602119999999</v>
          </cell>
          <cell r="AA233">
            <v>7.3622087760000001</v>
          </cell>
          <cell r="AB233">
            <v>7.4453116320000001</v>
          </cell>
          <cell r="AC233">
            <v>7.5295654320000001</v>
          </cell>
          <cell r="AD233">
            <v>7.6146669630000003</v>
          </cell>
          <cell r="AE233">
            <v>7.6828499959999998</v>
          </cell>
          <cell r="AF233">
            <v>7.7540220460000002</v>
          </cell>
          <cell r="AG233">
            <v>7.8264268799999996</v>
          </cell>
          <cell r="AH233">
            <v>7.8996203490000001</v>
          </cell>
          <cell r="AI233">
            <v>7.9734853040000004</v>
          </cell>
          <cell r="AJ233">
            <v>8.0480076319999991</v>
          </cell>
          <cell r="AK233">
            <v>8.1231992119999994</v>
          </cell>
          <cell r="AL233">
            <v>8.1990963160000003</v>
          </cell>
          <cell r="AM233">
            <v>8.275735568</v>
          </cell>
          <cell r="AN233">
            <v>8.3531461730000007</v>
          </cell>
          <cell r="AO233">
            <v>8.4313487259999995</v>
          </cell>
          <cell r="AP233">
            <v>8.5062955890000005</v>
          </cell>
          <cell r="AQ233">
            <v>8.5803992719999993</v>
          </cell>
          <cell r="AR233">
            <v>8.6545655660000005</v>
          </cell>
          <cell r="AS233">
            <v>8.7291775749999996</v>
          </cell>
          <cell r="AT233">
            <v>8.8044058419999995</v>
          </cell>
          <cell r="AU233">
            <v>8.8803121750000003</v>
          </cell>
          <cell r="AV233">
            <v>8.9569405169999996</v>
          </cell>
          <cell r="AW233">
            <v>9.0343192549999998</v>
          </cell>
          <cell r="AX233">
            <v>9.1124657740000004</v>
          </cell>
          <cell r="AY233">
            <v>9.191390363</v>
          </cell>
          <cell r="AZ233">
            <v>9.270902199</v>
          </cell>
          <cell r="BA233">
            <v>9.3508298619999994</v>
          </cell>
          <cell r="BB233">
            <v>9.4313409279999991</v>
          </cell>
          <cell r="BC233">
            <v>9.5126523689999996</v>
          </cell>
          <cell r="BD233">
            <v>9.5949344350000008</v>
          </cell>
          <cell r="BE233">
            <v>9.5287003880000007</v>
          </cell>
          <cell r="BF233">
            <v>9.6281772360000009</v>
          </cell>
          <cell r="BG233">
            <v>9.7291266630000006</v>
          </cell>
          <cell r="BH233">
            <v>9.831553778</v>
          </cell>
          <cell r="BI233">
            <v>9.9354808410000004</v>
          </cell>
        </row>
        <row r="235">
          <cell r="E235" t="str">
            <v>YG_toe_cbio_2</v>
          </cell>
          <cell r="F235">
            <v>11.17739192</v>
          </cell>
          <cell r="G235">
            <v>11.189484009999999</v>
          </cell>
          <cell r="H235">
            <v>11.19768846</v>
          </cell>
          <cell r="I235">
            <v>11.215187139999999</v>
          </cell>
          <cell r="J235">
            <v>11.243129980000001</v>
          </cell>
          <cell r="K235">
            <v>11.280199209999999</v>
          </cell>
          <cell r="L235">
            <v>11.318471629999999</v>
          </cell>
          <cell r="M235">
            <v>11.358548819999999</v>
          </cell>
          <cell r="N235">
            <v>11.40010854</v>
          </cell>
          <cell r="O235">
            <v>11.4428593</v>
          </cell>
          <cell r="P235">
            <v>11.49572337</v>
          </cell>
          <cell r="Q235">
            <v>11.54423534</v>
          </cell>
          <cell r="R235">
            <v>11.59166737</v>
          </cell>
          <cell r="S235">
            <v>11.63925163</v>
          </cell>
          <cell r="T235">
            <v>11.68752858</v>
          </cell>
          <cell r="U235">
            <v>11.73672794</v>
          </cell>
          <cell r="V235">
            <v>11.786784600000001</v>
          </cell>
          <cell r="W235">
            <v>11.837730929999999</v>
          </cell>
          <cell r="X235">
            <v>11.88964058</v>
          </cell>
          <cell r="Y235">
            <v>11.94258505</v>
          </cell>
          <cell r="Z235">
            <v>11.99031941</v>
          </cell>
          <cell r="AA235">
            <v>12.04287671</v>
          </cell>
          <cell r="AB235">
            <v>12.09800523</v>
          </cell>
          <cell r="AC235">
            <v>12.15495705</v>
          </cell>
          <cell r="AD235">
            <v>12.213437040000001</v>
          </cell>
          <cell r="AE235">
            <v>12.25566997</v>
          </cell>
          <cell r="AF235">
            <v>12.30133401</v>
          </cell>
          <cell r="AG235">
            <v>12.348760670000001</v>
          </cell>
          <cell r="AH235">
            <v>12.39756352</v>
          </cell>
          <cell r="AI235">
            <v>12.44764253</v>
          </cell>
          <cell r="AJ235">
            <v>12.49900002</v>
          </cell>
          <cell r="AK235">
            <v>12.55171112</v>
          </cell>
          <cell r="AL235">
            <v>12.605812719999999</v>
          </cell>
          <cell r="AM235">
            <v>12.66131586</v>
          </cell>
          <cell r="AN235">
            <v>12.71821768</v>
          </cell>
          <cell r="AO235">
            <v>12.77650613</v>
          </cell>
          <cell r="AP235">
            <v>12.83254706</v>
          </cell>
          <cell r="AQ235">
            <v>12.888660270000001</v>
          </cell>
          <cell r="AR235">
            <v>12.94553906</v>
          </cell>
          <cell r="AS235">
            <v>13.00340211</v>
          </cell>
          <cell r="AT235">
            <v>13.06232017</v>
          </cell>
          <cell r="AU235">
            <v>13.1223893</v>
          </cell>
          <cell r="AV235">
            <v>13.1836377</v>
          </cell>
          <cell r="AW235">
            <v>13.24606578</v>
          </cell>
          <cell r="AX235">
            <v>13.30966842</v>
          </cell>
          <cell r="AY235">
            <v>13.374439949999999</v>
          </cell>
          <cell r="AZ235">
            <v>13.44048969</v>
          </cell>
          <cell r="BA235">
            <v>13.50789007</v>
          </cell>
          <cell r="BB235">
            <v>13.57685861</v>
          </cell>
          <cell r="BC235">
            <v>13.647563570000001</v>
          </cell>
          <cell r="BD235">
            <v>13.72009313</v>
          </cell>
          <cell r="BE235">
            <v>14.15840839</v>
          </cell>
          <cell r="BF235">
            <v>14.268085299999999</v>
          </cell>
          <cell r="BG235">
            <v>14.38012975</v>
          </cell>
          <cell r="BH235">
            <v>14.49452866</v>
          </cell>
          <cell r="BI235">
            <v>14.61129745</v>
          </cell>
        </row>
        <row r="238">
          <cell r="E238" t="str">
            <v>YG_toe_cote_2</v>
          </cell>
          <cell r="F238">
            <v>13.8829999</v>
          </cell>
          <cell r="G238">
            <v>14.055472999999999</v>
          </cell>
          <cell r="H238">
            <v>14.23778721</v>
          </cell>
          <cell r="I238">
            <v>14.42922263</v>
          </cell>
          <cell r="J238">
            <v>14.630966839999999</v>
          </cell>
          <cell r="K238">
            <v>14.842584240000001</v>
          </cell>
          <cell r="L238">
            <v>15.052144950000001</v>
          </cell>
          <cell r="M238">
            <v>15.2670174</v>
          </cell>
          <cell r="N238">
            <v>15.48725786</v>
          </cell>
          <cell r="O238">
            <v>15.71244662</v>
          </cell>
          <cell r="P238">
            <v>15.9611755</v>
          </cell>
          <cell r="Q238">
            <v>16.199107949999998</v>
          </cell>
          <cell r="R238">
            <v>16.43925613</v>
          </cell>
          <cell r="S238">
            <v>16.682658230000001</v>
          </cell>
          <cell r="T238">
            <v>16.92949346</v>
          </cell>
          <cell r="U238">
            <v>17.179801730000001</v>
          </cell>
          <cell r="V238">
            <v>17.43364656</v>
          </cell>
          <cell r="W238">
            <v>17.691070629999999</v>
          </cell>
          <cell r="X238">
            <v>17.95214227</v>
          </cell>
          <cell r="Y238">
            <v>18.216946440000001</v>
          </cell>
          <cell r="Z238">
            <v>18.471463329999999</v>
          </cell>
          <cell r="AA238">
            <v>18.741124159999998</v>
          </cell>
          <cell r="AB238">
            <v>19.01617014</v>
          </cell>
          <cell r="AC238">
            <v>19.295833470000002</v>
          </cell>
          <cell r="AD238">
            <v>19.580018339999999</v>
          </cell>
          <cell r="AE238">
            <v>19.82793418</v>
          </cell>
          <cell r="AF238">
            <v>20.093507819999999</v>
          </cell>
          <cell r="AG238">
            <v>20.363404920000001</v>
          </cell>
          <cell r="AH238">
            <v>20.6369808</v>
          </cell>
          <cell r="AI238">
            <v>20.91436118</v>
          </cell>
          <cell r="AJ238">
            <v>21.195776930000001</v>
          </cell>
          <cell r="AK238">
            <v>21.481425739999999</v>
          </cell>
          <cell r="AL238">
            <v>21.771466499999999</v>
          </cell>
          <cell r="AM238">
            <v>22.06600551</v>
          </cell>
          <cell r="AN238">
            <v>22.365105450000001</v>
          </cell>
          <cell r="AO238">
            <v>22.668796</v>
          </cell>
          <cell r="AP238">
            <v>22.967100120000001</v>
          </cell>
          <cell r="AQ238">
            <v>23.267819880000001</v>
          </cell>
          <cell r="AR238">
            <v>23.571876880000001</v>
          </cell>
          <cell r="AS238">
            <v>23.879588739999999</v>
          </cell>
          <cell r="AT238">
            <v>24.19113905</v>
          </cell>
          <cell r="AU238">
            <v>24.506654860000001</v>
          </cell>
          <cell r="AV238">
            <v>24.826254800000001</v>
          </cell>
          <cell r="AW238">
            <v>25.150030780000002</v>
          </cell>
          <cell r="AX238">
            <v>25.47805215</v>
          </cell>
          <cell r="AY238">
            <v>25.81037014</v>
          </cell>
          <cell r="AZ238">
            <v>26.14760077</v>
          </cell>
          <cell r="BA238">
            <v>26.489511140000001</v>
          </cell>
          <cell r="BB238">
            <v>26.836466919999999</v>
          </cell>
          <cell r="BC238">
            <v>27.188712689999999</v>
          </cell>
          <cell r="BD238">
            <v>27.546369389999999</v>
          </cell>
          <cell r="BE238">
            <v>29.933448439999999</v>
          </cell>
          <cell r="BF238">
            <v>30.42883411</v>
          </cell>
          <cell r="BG238">
            <v>30.932684080000001</v>
          </cell>
          <cell r="BH238">
            <v>31.445132619999999</v>
          </cell>
          <cell r="BI238">
            <v>31.966317310000001</v>
          </cell>
        </row>
        <row r="241">
          <cell r="E241" t="str">
            <v>YG_toe_0</v>
          </cell>
          <cell r="F241">
            <v>148.75785450000001</v>
          </cell>
          <cell r="G241">
            <v>149.95596929999999</v>
          </cell>
          <cell r="H241">
            <v>151.06797979999999</v>
          </cell>
          <cell r="I241">
            <v>152.2454587</v>
          </cell>
          <cell r="J241">
            <v>153.54006509999999</v>
          </cell>
          <cell r="K241">
            <v>154.94788170000001</v>
          </cell>
          <cell r="L241">
            <v>156.3769911</v>
          </cell>
          <cell r="M241">
            <v>157.8727605</v>
          </cell>
          <cell r="N241">
            <v>159.4296056</v>
          </cell>
          <cell r="O241">
            <v>161.0383578</v>
          </cell>
          <cell r="P241">
            <v>162.8424229</v>
          </cell>
          <cell r="Q241">
            <v>164.57804540000001</v>
          </cell>
          <cell r="R241">
            <v>166.32813519999999</v>
          </cell>
          <cell r="S241">
            <v>168.1001345</v>
          </cell>
          <cell r="T241">
            <v>169.89560950000001</v>
          </cell>
          <cell r="U241">
            <v>171.71541360000001</v>
          </cell>
          <cell r="V241">
            <v>173.5602457</v>
          </cell>
          <cell r="W241">
            <v>175.43069059999999</v>
          </cell>
          <cell r="X241">
            <v>177.32724039999999</v>
          </cell>
          <cell r="Y241">
            <v>179.25034160000001</v>
          </cell>
          <cell r="Z241">
            <v>181.08961189999999</v>
          </cell>
          <cell r="AA241">
            <v>183.03461619999999</v>
          </cell>
          <cell r="AB241">
            <v>185.02143559999999</v>
          </cell>
          <cell r="AC241">
            <v>187.04328240000001</v>
          </cell>
          <cell r="AD241">
            <v>189.09854780000001</v>
          </cell>
          <cell r="AE241">
            <v>190.8688636</v>
          </cell>
          <cell r="AF241">
            <v>192.74678299999999</v>
          </cell>
          <cell r="AG241">
            <v>194.6517202</v>
          </cell>
          <cell r="AH241">
            <v>196.5811075</v>
          </cell>
          <cell r="AI241">
            <v>198.53711509999999</v>
          </cell>
          <cell r="AJ241">
            <v>200.522603</v>
          </cell>
          <cell r="AK241">
            <v>202.54013839999999</v>
          </cell>
          <cell r="AL241">
            <v>204.59175859999999</v>
          </cell>
          <cell r="AM241">
            <v>206.6789536</v>
          </cell>
          <cell r="AN241">
            <v>208.8027323</v>
          </cell>
          <cell r="AO241">
            <v>210.9637208</v>
          </cell>
          <cell r="AP241">
            <v>213.0862439</v>
          </cell>
          <cell r="AQ241">
            <v>215.22374490000001</v>
          </cell>
          <cell r="AR241">
            <v>217.3892535</v>
          </cell>
          <cell r="AS241">
            <v>219.58999710000001</v>
          </cell>
          <cell r="AT241">
            <v>221.82908119999999</v>
          </cell>
          <cell r="AU241">
            <v>224.09921510000001</v>
          </cell>
          <cell r="AV241">
            <v>226.39529830000001</v>
          </cell>
          <cell r="AW241">
            <v>228.71589839999999</v>
          </cell>
          <cell r="AX241">
            <v>231.06384109999999</v>
          </cell>
          <cell r="AY241">
            <v>233.4441794</v>
          </cell>
          <cell r="AZ241">
            <v>235.86869329999999</v>
          </cell>
          <cell r="BA241">
            <v>238.33621779999999</v>
          </cell>
          <cell r="BB241">
            <v>240.84810110000001</v>
          </cell>
          <cell r="BC241">
            <v>243.40492639999999</v>
          </cell>
          <cell r="BD241">
            <v>246.00662819999999</v>
          </cell>
          <cell r="BE241">
            <v>263.32302049999998</v>
          </cell>
          <cell r="BF241">
            <v>266.90438410000002</v>
          </cell>
          <cell r="BG241">
            <v>270.54608409999997</v>
          </cell>
          <cell r="BH241">
            <v>274.249459</v>
          </cell>
          <cell r="BI241">
            <v>278.01577370000001</v>
          </cell>
        </row>
        <row r="242">
          <cell r="E242" t="str">
            <v>YG_toe_ccoa_0</v>
          </cell>
          <cell r="F242">
            <v>2.3953685220000001</v>
          </cell>
          <cell r="G242">
            <v>2.4208159180000002</v>
          </cell>
          <cell r="H242">
            <v>2.4478033880000001</v>
          </cell>
          <cell r="I242">
            <v>2.4773508139999998</v>
          </cell>
          <cell r="J242">
            <v>2.5095750419999998</v>
          </cell>
          <cell r="K242">
            <v>2.5442119650000001</v>
          </cell>
          <cell r="L242">
            <v>2.5794033679999999</v>
          </cell>
          <cell r="M242">
            <v>2.6158849420000001</v>
          </cell>
          <cell r="N242">
            <v>2.653632628</v>
          </cell>
          <cell r="O242">
            <v>2.692515379</v>
          </cell>
          <cell r="P242">
            <v>2.7350907179999999</v>
          </cell>
          <cell r="Q242">
            <v>2.776738935</v>
          </cell>
          <cell r="R242">
            <v>2.8188477280000002</v>
          </cell>
          <cell r="S242">
            <v>2.86165877</v>
          </cell>
          <cell r="T242">
            <v>2.9051944609999998</v>
          </cell>
          <cell r="U242">
            <v>2.9494456950000001</v>
          </cell>
          <cell r="V242">
            <v>2.9944062539999998</v>
          </cell>
          <cell r="W242">
            <v>3.0400766579999998</v>
          </cell>
          <cell r="X242">
            <v>3.0864623579999999</v>
          </cell>
          <cell r="Y242">
            <v>3.1335714440000002</v>
          </cell>
          <cell r="Z242">
            <v>3.17941238</v>
          </cell>
          <cell r="AA242">
            <v>3.2273792129999999</v>
          </cell>
          <cell r="AB242">
            <v>3.2763964329999999</v>
          </cell>
          <cell r="AC242">
            <v>3.3262566250000001</v>
          </cell>
          <cell r="AD242">
            <v>3.376926219</v>
          </cell>
          <cell r="AE242">
            <v>3.4225985379999999</v>
          </cell>
          <cell r="AF242">
            <v>3.4703347569999998</v>
          </cell>
          <cell r="AG242">
            <v>3.5188623790000002</v>
          </cell>
          <cell r="AH242">
            <v>3.5679590600000002</v>
          </cell>
          <cell r="AI242">
            <v>3.6176159050000001</v>
          </cell>
          <cell r="AJ242">
            <v>3.6678617610000002</v>
          </cell>
          <cell r="AK242">
            <v>3.718726132</v>
          </cell>
          <cell r="AL242">
            <v>3.7702310099999998</v>
          </cell>
          <cell r="AM242">
            <v>3.822389737</v>
          </cell>
          <cell r="AN242">
            <v>3.8752081079999998</v>
          </cell>
          <cell r="AO242">
            <v>3.9286862239999998</v>
          </cell>
          <cell r="AP242">
            <v>3.9814015089999999</v>
          </cell>
          <cell r="AQ242">
            <v>4.0343113410000004</v>
          </cell>
          <cell r="AR242">
            <v>4.0876466499999999</v>
          </cell>
          <cell r="AS242">
            <v>4.1414763099999998</v>
          </cell>
          <cell r="AT242">
            <v>4.1958178759999996</v>
          </cell>
          <cell r="AU242">
            <v>4.2506761559999999</v>
          </cell>
          <cell r="AV242">
            <v>4.3061286189999999</v>
          </cell>
          <cell r="AW242">
            <v>4.3622264230000001</v>
          </cell>
          <cell r="AX242">
            <v>4.4189836600000003</v>
          </cell>
          <cell r="AY242">
            <v>4.4763951740000003</v>
          </cell>
          <cell r="AZ242">
            <v>4.534582135</v>
          </cell>
          <cell r="BA242">
            <v>4.5934524019999996</v>
          </cell>
          <cell r="BB242">
            <v>4.6529883989999998</v>
          </cell>
          <cell r="BC242">
            <v>4.7131900489999996</v>
          </cell>
          <cell r="BD242">
            <v>4.7740613950000004</v>
          </cell>
          <cell r="BE242">
            <v>5.2808698180000002</v>
          </cell>
          <cell r="BF242">
            <v>5.3692964270000001</v>
          </cell>
          <cell r="BG242">
            <v>5.4590872729999997</v>
          </cell>
          <cell r="BH242">
            <v>5.5502613419999998</v>
          </cell>
          <cell r="BI242">
            <v>5.6428395079999998</v>
          </cell>
        </row>
        <row r="245">
          <cell r="E245" t="str">
            <v>YG_toe_ccoi_0</v>
          </cell>
          <cell r="F245">
            <v>1.0974163379999999</v>
          </cell>
          <cell r="G245">
            <v>1.105835184</v>
          </cell>
          <cell r="H245">
            <v>1.113221196</v>
          </cell>
          <cell r="I245">
            <v>1.121422063</v>
          </cell>
          <cell r="J245">
            <v>1.130991321</v>
          </cell>
          <cell r="K245">
            <v>1.1418781950000001</v>
          </cell>
          <cell r="L245">
            <v>1.1533176629999999</v>
          </cell>
          <cell r="M245">
            <v>1.1654557619999999</v>
          </cell>
          <cell r="N245">
            <v>1.1781971019999999</v>
          </cell>
          <cell r="O245">
            <v>1.191424091</v>
          </cell>
          <cell r="P245">
            <v>1.206055493</v>
          </cell>
          <cell r="Q245">
            <v>1.2203668620000001</v>
          </cell>
          <cell r="R245">
            <v>1.2347877490000001</v>
          </cell>
          <cell r="S245">
            <v>1.2494038569999999</v>
          </cell>
          <cell r="T245">
            <v>1.2642214780000001</v>
          </cell>
          <cell r="U245">
            <v>1.2792368949999999</v>
          </cell>
          <cell r="V245">
            <v>1.2944479360000001</v>
          </cell>
          <cell r="W245">
            <v>1.309854445</v>
          </cell>
          <cell r="X245">
            <v>1.325457426</v>
          </cell>
          <cell r="Y245">
            <v>1.3412584359999999</v>
          </cell>
          <cell r="Z245">
            <v>1.3565122350000001</v>
          </cell>
          <cell r="AA245">
            <v>1.3724496470000001</v>
          </cell>
          <cell r="AB245">
            <v>1.388719831</v>
          </cell>
          <cell r="AC245">
            <v>1.4052398989999999</v>
          </cell>
          <cell r="AD245">
            <v>1.421994097</v>
          </cell>
          <cell r="AE245">
            <v>1.436826607</v>
          </cell>
          <cell r="AF245">
            <v>1.4522627450000001</v>
          </cell>
          <cell r="AG245">
            <v>1.467929348</v>
          </cell>
          <cell r="AH245">
            <v>1.48375262</v>
          </cell>
          <cell r="AI245">
            <v>1.4997367610000001</v>
          </cell>
          <cell r="AJ245">
            <v>1.5159003289999999</v>
          </cell>
          <cell r="AK245">
            <v>1.5322615939999999</v>
          </cell>
          <cell r="AL245">
            <v>1.548835465</v>
          </cell>
          <cell r="AM245">
            <v>1.565633203</v>
          </cell>
          <cell r="AN245">
            <v>1.5826629189999999</v>
          </cell>
          <cell r="AO245">
            <v>1.5999302719999999</v>
          </cell>
          <cell r="AP245">
            <v>1.6169201479999999</v>
          </cell>
          <cell r="AQ245">
            <v>1.6339673690000001</v>
          </cell>
          <cell r="AR245">
            <v>1.6511844419999999</v>
          </cell>
          <cell r="AS245">
            <v>1.6686187750000001</v>
          </cell>
          <cell r="AT245">
            <v>1.6862875879999999</v>
          </cell>
          <cell r="AU245">
            <v>1.704151196</v>
          </cell>
          <cell r="AV245">
            <v>1.7222067569999999</v>
          </cell>
          <cell r="AW245">
            <v>1.740461327</v>
          </cell>
          <cell r="AX245">
            <v>1.758928601</v>
          </cell>
          <cell r="AY245">
            <v>1.777626317</v>
          </cell>
          <cell r="AZ245">
            <v>1.796618547</v>
          </cell>
          <cell r="BA245">
            <v>1.815888782</v>
          </cell>
          <cell r="BB245">
            <v>1.835438425</v>
          </cell>
          <cell r="BC245">
            <v>1.855270352</v>
          </cell>
          <cell r="BD245">
            <v>1.875385734</v>
          </cell>
          <cell r="BE245">
            <v>2.0594486289999998</v>
          </cell>
          <cell r="BF245">
            <v>2.0887388640000002</v>
          </cell>
          <cell r="BG245">
            <v>2.118508641</v>
          </cell>
          <cell r="BH245">
            <v>2.1487698270000002</v>
          </cell>
          <cell r="BI245">
            <v>2.1795345500000001</v>
          </cell>
        </row>
        <row r="248">
          <cell r="E248" t="str">
            <v>YG_toe_cfut_0</v>
          </cell>
          <cell r="F248">
            <v>42.405405930000001</v>
          </cell>
          <cell r="G248">
            <v>42.676368510000003</v>
          </cell>
          <cell r="H248">
            <v>42.927850849999999</v>
          </cell>
          <cell r="I248">
            <v>43.22789796</v>
          </cell>
          <cell r="J248">
            <v>43.593303980000002</v>
          </cell>
          <cell r="K248">
            <v>44.018753140000001</v>
          </cell>
          <cell r="L248">
            <v>44.471442600000003</v>
          </cell>
          <cell r="M248">
            <v>44.95631015</v>
          </cell>
          <cell r="N248">
            <v>45.466678299999998</v>
          </cell>
          <cell r="O248">
            <v>45.997064090000002</v>
          </cell>
          <cell r="P248">
            <v>46.581905880000001</v>
          </cell>
          <cell r="Q248">
            <v>47.152709209999998</v>
          </cell>
          <cell r="R248">
            <v>47.731715350000002</v>
          </cell>
          <cell r="S248">
            <v>48.319196120000001</v>
          </cell>
          <cell r="T248">
            <v>48.91453679</v>
          </cell>
          <cell r="U248">
            <v>49.517219900000001</v>
          </cell>
          <cell r="V248">
            <v>50.126930870000002</v>
          </cell>
          <cell r="W248">
            <v>50.743511179999999</v>
          </cell>
          <cell r="X248">
            <v>51.366901640000002</v>
          </cell>
          <cell r="Y248">
            <v>51.997101020000002</v>
          </cell>
          <cell r="Z248">
            <v>52.605663890000002</v>
          </cell>
          <cell r="AA248">
            <v>53.241528930000001</v>
          </cell>
          <cell r="AB248">
            <v>53.886768969999999</v>
          </cell>
          <cell r="AC248">
            <v>54.540281999999998</v>
          </cell>
          <cell r="AD248">
            <v>55.201926469999997</v>
          </cell>
          <cell r="AE248">
            <v>55.789463069999996</v>
          </cell>
          <cell r="AF248">
            <v>56.405204130000001</v>
          </cell>
          <cell r="AG248">
            <v>57.02459794</v>
          </cell>
          <cell r="AH248">
            <v>57.647429899999999</v>
          </cell>
          <cell r="AI248">
            <v>58.274652699999997</v>
          </cell>
          <cell r="AJ248">
            <v>58.907300319999997</v>
          </cell>
          <cell r="AK248">
            <v>59.546252279999997</v>
          </cell>
          <cell r="AL248">
            <v>60.192195810000001</v>
          </cell>
          <cell r="AM248">
            <v>60.8456428</v>
          </cell>
          <cell r="AN248">
            <v>61.5069631</v>
          </cell>
          <cell r="AO248">
            <v>62.17642008</v>
          </cell>
          <cell r="AP248">
            <v>62.834335199999998</v>
          </cell>
          <cell r="AQ248">
            <v>63.495007559999998</v>
          </cell>
          <cell r="AR248">
            <v>64.160258119999995</v>
          </cell>
          <cell r="AS248">
            <v>64.831051860000002</v>
          </cell>
          <cell r="AT248">
            <v>65.508122299999997</v>
          </cell>
          <cell r="AU248">
            <v>66.190874809999997</v>
          </cell>
          <cell r="AV248">
            <v>66.880318189999997</v>
          </cell>
          <cell r="AW248">
            <v>67.577372179999998</v>
          </cell>
          <cell r="AX248">
            <v>68.282690830000007</v>
          </cell>
          <cell r="AY248">
            <v>68.996735009999995</v>
          </cell>
          <cell r="AZ248">
            <v>69.721639659999994</v>
          </cell>
          <cell r="BA248">
            <v>70.456376129999995</v>
          </cell>
          <cell r="BB248">
            <v>71.200996849999996</v>
          </cell>
          <cell r="BC248">
            <v>71.955578489999994</v>
          </cell>
          <cell r="BD248">
            <v>72.720166919999997</v>
          </cell>
          <cell r="BE248">
            <v>79.660940400000001</v>
          </cell>
          <cell r="BF248">
            <v>80.770912499999994</v>
          </cell>
          <cell r="BG248">
            <v>81.898136870000002</v>
          </cell>
          <cell r="BH248">
            <v>83.043075369999997</v>
          </cell>
          <cell r="BI248">
            <v>84.206216670000003</v>
          </cell>
        </row>
        <row r="251">
          <cell r="E251" t="str">
            <v>YG_toe_cfuh_0</v>
          </cell>
          <cell r="F251">
            <v>7.9434014340000001</v>
          </cell>
          <cell r="G251">
            <v>8.0022827789999997</v>
          </cell>
          <cell r="H251">
            <v>8.0522084669999998</v>
          </cell>
          <cell r="I251">
            <v>8.1015797440000004</v>
          </cell>
          <cell r="J251">
            <v>8.1537096889999994</v>
          </cell>
          <cell r="K251">
            <v>8.2090872630000007</v>
          </cell>
          <cell r="L251">
            <v>8.2646719280000003</v>
          </cell>
          <cell r="M251">
            <v>8.3229686820000008</v>
          </cell>
          <cell r="N251">
            <v>8.3841236880000007</v>
          </cell>
          <cell r="O251">
            <v>8.4478611130000001</v>
          </cell>
          <cell r="P251">
            <v>8.5210516050000003</v>
          </cell>
          <cell r="Q251">
            <v>8.5916810340000005</v>
          </cell>
          <cell r="R251">
            <v>8.6628842519999996</v>
          </cell>
          <cell r="S251">
            <v>8.7351386620000007</v>
          </cell>
          <cell r="T251">
            <v>8.8085572849999991</v>
          </cell>
          <cell r="U251">
            <v>8.8832462939999992</v>
          </cell>
          <cell r="V251">
            <v>8.9593030470000006</v>
          </cell>
          <cell r="W251">
            <v>9.0367976139999993</v>
          </cell>
          <cell r="X251">
            <v>9.1157689780000002</v>
          </cell>
          <cell r="Y251">
            <v>9.1962312120000007</v>
          </cell>
          <cell r="Z251">
            <v>9.2729639319999997</v>
          </cell>
          <cell r="AA251">
            <v>9.3544675809999998</v>
          </cell>
          <cell r="AB251">
            <v>9.4382688720000001</v>
          </cell>
          <cell r="AC251">
            <v>9.5238966729999994</v>
          </cell>
          <cell r="AD251">
            <v>9.6112085359999995</v>
          </cell>
          <cell r="AE251">
            <v>9.6852302750000003</v>
          </cell>
          <cell r="AF251">
            <v>9.7632060149999997</v>
          </cell>
          <cell r="AG251">
            <v>9.8424435589999995</v>
          </cell>
          <cell r="AH251">
            <v>9.9227106599999999</v>
          </cell>
          <cell r="AI251">
            <v>10.00408657</v>
          </cell>
          <cell r="AJ251">
            <v>10.08670012</v>
          </cell>
          <cell r="AK251">
            <v>10.17067101</v>
          </cell>
          <cell r="AL251">
            <v>10.25609729</v>
          </cell>
          <cell r="AM251">
            <v>10.343054820000001</v>
          </cell>
          <cell r="AN251">
            <v>10.431600319999999</v>
          </cell>
          <cell r="AO251">
            <v>10.52177534</v>
          </cell>
          <cell r="AP251">
            <v>10.610081640000001</v>
          </cell>
          <cell r="AQ251">
            <v>10.69874581</v>
          </cell>
          <cell r="AR251">
            <v>10.78930315</v>
          </cell>
          <cell r="AS251">
            <v>10.88262048</v>
          </cell>
          <cell r="AT251">
            <v>10.97878365</v>
          </cell>
          <cell r="AU251">
            <v>11.07685068</v>
          </cell>
          <cell r="AV251">
            <v>11.17609581</v>
          </cell>
          <cell r="AW251">
            <v>11.27605558</v>
          </cell>
          <cell r="AX251">
            <v>11.37671295</v>
          </cell>
          <cell r="AY251">
            <v>11.47835658</v>
          </cell>
          <cell r="AZ251">
            <v>11.58167179</v>
          </cell>
          <cell r="BA251">
            <v>11.68677795</v>
          </cell>
          <cell r="BB251">
            <v>11.793842769999999</v>
          </cell>
          <cell r="BC251">
            <v>11.90296788</v>
          </cell>
          <cell r="BD251">
            <v>12.01419611</v>
          </cell>
          <cell r="BE251">
            <v>13.2800452</v>
          </cell>
          <cell r="BF251">
            <v>13.446028159999999</v>
          </cell>
          <cell r="BG251">
            <v>13.61463571</v>
          </cell>
          <cell r="BH251">
            <v>13.785939519999999</v>
          </cell>
          <cell r="BI251">
            <v>13.96000641</v>
          </cell>
        </row>
        <row r="253">
          <cell r="E253" t="str">
            <v>YG_toe_cgas_0</v>
          </cell>
          <cell r="F253">
            <v>6.6052848659999999</v>
          </cell>
          <cell r="G253">
            <v>6.646391736</v>
          </cell>
          <cell r="H253">
            <v>6.6701281640000003</v>
          </cell>
          <cell r="I253">
            <v>6.6833662709999997</v>
          </cell>
          <cell r="J253">
            <v>6.6903699090000002</v>
          </cell>
          <cell r="K253">
            <v>6.6914313979999998</v>
          </cell>
          <cell r="L253">
            <v>6.6888083979999999</v>
          </cell>
          <cell r="M253">
            <v>6.6886242889999998</v>
          </cell>
          <cell r="N253">
            <v>6.6903764069999996</v>
          </cell>
          <cell r="O253">
            <v>6.6933341390000001</v>
          </cell>
          <cell r="P253">
            <v>6.704446495</v>
          </cell>
          <cell r="Q253">
            <v>6.7076891969999997</v>
          </cell>
          <cell r="R253">
            <v>6.7109639579999998</v>
          </cell>
          <cell r="S253">
            <v>6.714060141</v>
          </cell>
          <cell r="T253">
            <v>6.7172048750000002</v>
          </cell>
          <cell r="U253">
            <v>6.7207524830000001</v>
          </cell>
          <cell r="V253">
            <v>6.7249934900000001</v>
          </cell>
          <cell r="W253">
            <v>6.7301193970000002</v>
          </cell>
          <cell r="X253">
            <v>6.7362352100000003</v>
          </cell>
          <cell r="Y253">
            <v>6.7433832029999996</v>
          </cell>
          <cell r="Z253">
            <v>6.7462410420000003</v>
          </cell>
          <cell r="AA253">
            <v>6.7559299810000004</v>
          </cell>
          <cell r="AB253">
            <v>6.7664489989999996</v>
          </cell>
          <cell r="AC253">
            <v>6.777895193</v>
          </cell>
          <cell r="AD253">
            <v>6.790139377</v>
          </cell>
          <cell r="AE253">
            <v>6.7880576030000004</v>
          </cell>
          <cell r="AF253">
            <v>6.7961639470000001</v>
          </cell>
          <cell r="AG253">
            <v>6.8051008360000003</v>
          </cell>
          <cell r="AH253">
            <v>6.8150895340000002</v>
          </cell>
          <cell r="AI253">
            <v>6.8258942679999999</v>
          </cell>
          <cell r="AJ253">
            <v>6.8372791020000001</v>
          </cell>
          <cell r="AK253">
            <v>6.8490660710000002</v>
          </cell>
          <cell r="AL253">
            <v>6.8611337260000003</v>
          </cell>
          <cell r="AM253">
            <v>6.8734072890000002</v>
          </cell>
          <cell r="AN253">
            <v>6.8858484940000002</v>
          </cell>
          <cell r="AO253">
            <v>6.8984464799999996</v>
          </cell>
          <cell r="AP253">
            <v>6.9077376920000004</v>
          </cell>
          <cell r="AQ253">
            <v>6.9176598360000003</v>
          </cell>
          <cell r="AR253">
            <v>6.929023956</v>
          </cell>
          <cell r="AS253">
            <v>6.9424093569999998</v>
          </cell>
          <cell r="AT253">
            <v>6.9575895259999996</v>
          </cell>
          <cell r="AU253">
            <v>6.9739473289999996</v>
          </cell>
          <cell r="AV253">
            <v>6.9888636909999997</v>
          </cell>
          <cell r="AW253">
            <v>7.0004633610000004</v>
          </cell>
          <cell r="AX253">
            <v>7.0085035619999996</v>
          </cell>
          <cell r="AY253">
            <v>7.0138705349999997</v>
          </cell>
          <cell r="AZ253">
            <v>7.0180730249999996</v>
          </cell>
          <cell r="BA253">
            <v>7.0217977439999997</v>
          </cell>
          <cell r="BB253">
            <v>7.0257710470000001</v>
          </cell>
          <cell r="BC253">
            <v>7.0304111320000002</v>
          </cell>
          <cell r="BD253">
            <v>7.035934814</v>
          </cell>
          <cell r="BE253">
            <v>6.5550224909999999</v>
          </cell>
          <cell r="BF253">
            <v>6.5727831459999999</v>
          </cell>
          <cell r="BG253">
            <v>6.5912239770000003</v>
          </cell>
          <cell r="BH253">
            <v>6.6103602400000003</v>
          </cell>
          <cell r="BI253">
            <v>6.6301887920000002</v>
          </cell>
        </row>
        <row r="259">
          <cell r="E259" t="str">
            <v>YG_toe_cele_0</v>
          </cell>
          <cell r="F259">
            <v>57.53161188</v>
          </cell>
          <cell r="G259">
            <v>58.031806449999998</v>
          </cell>
          <cell r="H259">
            <v>58.49778809</v>
          </cell>
          <cell r="I259">
            <v>58.97975752</v>
          </cell>
          <cell r="J259">
            <v>59.497660750000001</v>
          </cell>
          <cell r="K259">
            <v>60.052302419999997</v>
          </cell>
          <cell r="L259">
            <v>60.610836769999999</v>
          </cell>
          <cell r="M259">
            <v>61.190125049999999</v>
          </cell>
          <cell r="N259">
            <v>61.7894808</v>
          </cell>
          <cell r="O259">
            <v>62.406528080000001</v>
          </cell>
          <cell r="P259">
            <v>63.096401419999999</v>
          </cell>
          <cell r="Q259">
            <v>63.76206681</v>
          </cell>
          <cell r="R259">
            <v>64.432058510000005</v>
          </cell>
          <cell r="S259">
            <v>65.109865450000001</v>
          </cell>
          <cell r="T259">
            <v>65.796382800000003</v>
          </cell>
          <cell r="U259">
            <v>66.492234859999996</v>
          </cell>
          <cell r="V259">
            <v>67.197944879999994</v>
          </cell>
          <cell r="W259">
            <v>67.913930250000007</v>
          </cell>
          <cell r="X259">
            <v>68.640526809999997</v>
          </cell>
          <cell r="Y259">
            <v>69.378033709999997</v>
          </cell>
          <cell r="Z259">
            <v>70.084479610000002</v>
          </cell>
          <cell r="AA259">
            <v>70.830602389999996</v>
          </cell>
          <cell r="AB259">
            <v>71.594726370000004</v>
          </cell>
          <cell r="AC259">
            <v>72.374148930000004</v>
          </cell>
          <cell r="AD259">
            <v>73.168397159999998</v>
          </cell>
          <cell r="AE259">
            <v>73.855862650000006</v>
          </cell>
          <cell r="AF259">
            <v>74.581757339999996</v>
          </cell>
          <cell r="AG259">
            <v>75.320472570000007</v>
          </cell>
          <cell r="AH259">
            <v>76.071361789999997</v>
          </cell>
          <cell r="AI259">
            <v>76.835815240000002</v>
          </cell>
          <cell r="AJ259">
            <v>77.615429219999996</v>
          </cell>
          <cell r="AK259">
            <v>78.411583399999998</v>
          </cell>
          <cell r="AL259">
            <v>79.225345419999996</v>
          </cell>
          <cell r="AM259">
            <v>80.057468659999998</v>
          </cell>
          <cell r="AN259">
            <v>80.908426759999998</v>
          </cell>
          <cell r="AO259">
            <v>81.778464709999994</v>
          </cell>
          <cell r="AP259">
            <v>82.638363999999996</v>
          </cell>
          <cell r="AQ259">
            <v>83.507272450000002</v>
          </cell>
          <cell r="AR259">
            <v>84.392463649999996</v>
          </cell>
          <cell r="AS259">
            <v>85.297933599999993</v>
          </cell>
          <cell r="AT259">
            <v>86.224681810000007</v>
          </cell>
          <cell r="AU259">
            <v>87.167403379999996</v>
          </cell>
          <cell r="AV259">
            <v>88.123716580000007</v>
          </cell>
          <cell r="AW259">
            <v>89.093717490000003</v>
          </cell>
          <cell r="AX259">
            <v>90.079359109999999</v>
          </cell>
          <cell r="AY259">
            <v>91.083227980000004</v>
          </cell>
          <cell r="AZ259">
            <v>92.11017588</v>
          </cell>
          <cell r="BA259">
            <v>93.159853159999997</v>
          </cell>
          <cell r="BB259">
            <v>94.232523850000007</v>
          </cell>
          <cell r="BC259">
            <v>95.328087780000004</v>
          </cell>
          <cell r="BD259">
            <v>96.446179990000005</v>
          </cell>
          <cell r="BE259">
            <v>102.0538025</v>
          </cell>
          <cell r="BF259">
            <v>103.4970831</v>
          </cell>
          <cell r="BG259">
            <v>104.966171</v>
          </cell>
          <cell r="BH259">
            <v>106.46154749999999</v>
          </cell>
          <cell r="BI259">
            <v>107.9836487</v>
          </cell>
        </row>
        <row r="269">
          <cell r="E269" t="str">
            <v>YG_toe_chea_0</v>
          </cell>
          <cell r="F269">
            <v>5.7132268819999998</v>
          </cell>
          <cell r="G269">
            <v>5.7824980300000002</v>
          </cell>
          <cell r="H269">
            <v>5.8592240149999997</v>
          </cell>
          <cell r="I269">
            <v>5.9405299899999999</v>
          </cell>
          <cell r="J269">
            <v>6.0252992399999998</v>
          </cell>
          <cell r="K269">
            <v>6.1129541280000002</v>
          </cell>
          <cell r="L269">
            <v>6.197513968</v>
          </cell>
          <cell r="M269">
            <v>6.28237706</v>
          </cell>
          <cell r="N269">
            <v>6.3686464149999997</v>
          </cell>
          <cell r="O269">
            <v>6.4564536459999999</v>
          </cell>
          <cell r="P269">
            <v>6.5547464639999999</v>
          </cell>
          <cell r="Q269">
            <v>6.6487019209999998</v>
          </cell>
          <cell r="R269">
            <v>6.7415962839999999</v>
          </cell>
          <cell r="S269">
            <v>6.8345688679999999</v>
          </cell>
          <cell r="T269">
            <v>6.9280161839999996</v>
          </cell>
          <cell r="U269">
            <v>7.0219585760000003</v>
          </cell>
          <cell r="V269">
            <v>7.1162930190000004</v>
          </cell>
          <cell r="W269">
            <v>7.2109118900000002</v>
          </cell>
          <cell r="X269">
            <v>7.3057436879999997</v>
          </cell>
          <cell r="Y269">
            <v>7.4007568969999999</v>
          </cell>
          <cell r="Z269">
            <v>7.4896524529999997</v>
          </cell>
          <cell r="AA269">
            <v>7.5825495710000004</v>
          </cell>
          <cell r="AB269">
            <v>7.6771001249999999</v>
          </cell>
          <cell r="AC269">
            <v>7.7725184870000001</v>
          </cell>
          <cell r="AD269">
            <v>7.8685160009999997</v>
          </cell>
          <cell r="AE269">
            <v>7.9474244780000003</v>
          </cell>
          <cell r="AF269">
            <v>8.0291186749999994</v>
          </cell>
          <cell r="AG269">
            <v>8.1118825520000009</v>
          </cell>
          <cell r="AH269">
            <v>8.1952959490000001</v>
          </cell>
          <cell r="AI269">
            <v>8.2792579679999996</v>
          </cell>
          <cell r="AJ269">
            <v>8.3637659909999993</v>
          </cell>
          <cell r="AK269">
            <v>8.4488499210000008</v>
          </cell>
          <cell r="AL269">
            <v>8.5345471120000003</v>
          </cell>
          <cell r="AM269">
            <v>8.6208924160000002</v>
          </cell>
          <cell r="AN269">
            <v>8.7079154229999993</v>
          </cell>
          <cell r="AO269">
            <v>8.7956414580000004</v>
          </cell>
          <cell r="AP269">
            <v>8.8801565510000007</v>
          </cell>
          <cell r="AQ269">
            <v>8.9638561489999997</v>
          </cell>
          <cell r="AR269">
            <v>9.0447117870000007</v>
          </cell>
          <cell r="AS269">
            <v>9.1216839079999996</v>
          </cell>
          <cell r="AT269">
            <v>9.1957255910000004</v>
          </cell>
          <cell r="AU269">
            <v>9.2679357689999993</v>
          </cell>
          <cell r="AV269">
            <v>9.3389120000000005</v>
          </cell>
          <cell r="AW269">
            <v>9.409176639</v>
          </cell>
          <cell r="AX269">
            <v>9.4792696230000004</v>
          </cell>
          <cell r="AY269">
            <v>9.5496931049999993</v>
          </cell>
          <cell r="AZ269">
            <v>9.6211802179999992</v>
          </cell>
          <cell r="BA269">
            <v>9.6938022060000009</v>
          </cell>
          <cell r="BB269">
            <v>9.7676450920000004</v>
          </cell>
          <cell r="BC269">
            <v>9.8427512450000005</v>
          </cell>
          <cell r="BD269">
            <v>9.9191242269999993</v>
          </cell>
          <cell r="BE269">
            <v>9.8041921369999994</v>
          </cell>
          <cell r="BF269">
            <v>9.9115410859999997</v>
          </cell>
          <cell r="BG269">
            <v>10.020335210000001</v>
          </cell>
          <cell r="BH269">
            <v>10.130629770000001</v>
          </cell>
          <cell r="BI269">
            <v>10.24246739</v>
          </cell>
        </row>
        <row r="271">
          <cell r="E271" t="str">
            <v>YG_toe_cbio_0</v>
          </cell>
          <cell r="F271">
            <v>11.184031900000001</v>
          </cell>
          <cell r="G271">
            <v>11.237632980000001</v>
          </cell>
          <cell r="H271">
            <v>11.26643125</v>
          </cell>
          <cell r="I271">
            <v>11.289427140000001</v>
          </cell>
          <cell r="J271">
            <v>11.31362451</v>
          </cell>
          <cell r="K271">
            <v>11.34046659</v>
          </cell>
          <cell r="L271">
            <v>11.36499238</v>
          </cell>
          <cell r="M271">
            <v>11.390423480000001</v>
          </cell>
          <cell r="N271">
            <v>11.417824380000001</v>
          </cell>
          <cell r="O271">
            <v>11.44742984</v>
          </cell>
          <cell r="P271">
            <v>11.488256529999999</v>
          </cell>
          <cell r="Q271">
            <v>11.52565467</v>
          </cell>
          <cell r="R271">
            <v>11.562618929999999</v>
          </cell>
          <cell r="S271">
            <v>11.60006431</v>
          </cell>
          <cell r="T271">
            <v>11.63833595</v>
          </cell>
          <cell r="U271">
            <v>11.6776743</v>
          </cell>
          <cell r="V271">
            <v>11.71825986</v>
          </cell>
          <cell r="W271">
            <v>11.76021302</v>
          </cell>
          <cell r="X271">
            <v>11.80360275</v>
          </cell>
          <cell r="Y271">
            <v>11.84846286</v>
          </cell>
          <cell r="Z271">
            <v>11.888430720000001</v>
          </cell>
          <cell r="AA271">
            <v>11.933604069999999</v>
          </cell>
          <cell r="AB271">
            <v>11.98168066</v>
          </cell>
          <cell r="AC271">
            <v>12.031897219999999</v>
          </cell>
          <cell r="AD271">
            <v>12.083964549999999</v>
          </cell>
          <cell r="AE271">
            <v>12.11987738</v>
          </cell>
          <cell r="AF271">
            <v>12.15949844</v>
          </cell>
          <cell r="AG271">
            <v>12.20115661</v>
          </cell>
          <cell r="AH271">
            <v>12.24451582</v>
          </cell>
          <cell r="AI271">
            <v>12.28953613</v>
          </cell>
          <cell r="AJ271">
            <v>12.336274830000001</v>
          </cell>
          <cell r="AK271">
            <v>12.384811470000001</v>
          </cell>
          <cell r="AL271">
            <v>12.435219460000001</v>
          </cell>
          <cell r="AM271">
            <v>12.487556079999999</v>
          </cell>
          <cell r="AN271">
            <v>12.54186107</v>
          </cell>
          <cell r="AO271">
            <v>12.59815948</v>
          </cell>
          <cell r="AP271">
            <v>12.652389960000001</v>
          </cell>
          <cell r="AQ271">
            <v>12.70692914</v>
          </cell>
          <cell r="AR271">
            <v>12.76424753</v>
          </cell>
          <cell r="AS271">
            <v>12.8258227</v>
          </cell>
          <cell r="AT271">
            <v>12.89195578</v>
          </cell>
          <cell r="AU271">
            <v>12.961795609999999</v>
          </cell>
          <cell r="AV271">
            <v>13.033966960000001</v>
          </cell>
          <cell r="AW271">
            <v>13.10747512</v>
          </cell>
          <cell r="AX271">
            <v>13.18199488</v>
          </cell>
          <cell r="AY271">
            <v>13.25766527</v>
          </cell>
          <cell r="AZ271">
            <v>13.33514166</v>
          </cell>
          <cell r="BA271">
            <v>13.414498289999999</v>
          </cell>
          <cell r="BB271">
            <v>13.4958445</v>
          </cell>
          <cell r="BC271">
            <v>13.579235710000001</v>
          </cell>
          <cell r="BD271">
            <v>13.664675799999999</v>
          </cell>
          <cell r="BE271">
            <v>14.610772430000001</v>
          </cell>
          <cell r="BF271">
            <v>14.73188167</v>
          </cell>
          <cell r="BG271">
            <v>14.855241469999999</v>
          </cell>
          <cell r="BH271">
            <v>14.98092958</v>
          </cell>
          <cell r="BI271">
            <v>15.109000999999999</v>
          </cell>
        </row>
        <row r="274">
          <cell r="E274" t="str">
            <v>YG_toe_cote_0</v>
          </cell>
          <cell r="F274">
            <v>13.88210671</v>
          </cell>
          <cell r="G274">
            <v>14.05233769</v>
          </cell>
          <cell r="H274">
            <v>14.233324380000001</v>
          </cell>
          <cell r="I274">
            <v>14.424127220000001</v>
          </cell>
          <cell r="J274">
            <v>14.62553065</v>
          </cell>
          <cell r="K274">
            <v>14.836796550000001</v>
          </cell>
          <cell r="L274">
            <v>15.046004010000001</v>
          </cell>
          <cell r="M274">
            <v>15.26059109</v>
          </cell>
          <cell r="N274">
            <v>15.48064585</v>
          </cell>
          <cell r="O274">
            <v>15.705747430000001</v>
          </cell>
          <cell r="P274">
            <v>15.95446828</v>
          </cell>
          <cell r="Q274">
            <v>16.192436780000001</v>
          </cell>
          <cell r="R274">
            <v>16.43266242</v>
          </cell>
          <cell r="S274">
            <v>16.676178289999999</v>
          </cell>
          <cell r="T274">
            <v>16.923159699999999</v>
          </cell>
          <cell r="U274">
            <v>17.17364456</v>
          </cell>
          <cell r="V274">
            <v>17.427666389999999</v>
          </cell>
          <cell r="W274">
            <v>17.685276120000001</v>
          </cell>
          <cell r="X274">
            <v>17.94654156</v>
          </cell>
          <cell r="Y274">
            <v>18.211542829999999</v>
          </cell>
          <cell r="Z274">
            <v>18.4662556</v>
          </cell>
          <cell r="AA274">
            <v>18.7361048</v>
          </cell>
          <cell r="AB274">
            <v>19.011325299999999</v>
          </cell>
          <cell r="AC274">
            <v>19.291147380000002</v>
          </cell>
          <cell r="AD274">
            <v>19.575475359999999</v>
          </cell>
          <cell r="AE274">
            <v>19.823522950000001</v>
          </cell>
          <cell r="AF274">
            <v>20.08923695</v>
          </cell>
          <cell r="AG274">
            <v>20.359274389999999</v>
          </cell>
          <cell r="AH274">
            <v>20.6329922</v>
          </cell>
          <cell r="AI274">
            <v>20.910519579999999</v>
          </cell>
          <cell r="AJ274">
            <v>21.19209129</v>
          </cell>
          <cell r="AK274">
            <v>21.47791651</v>
          </cell>
          <cell r="AL274">
            <v>21.76815332</v>
          </cell>
          <cell r="AM274">
            <v>22.062908629999999</v>
          </cell>
          <cell r="AN274">
            <v>22.362246129999999</v>
          </cell>
          <cell r="AO274">
            <v>22.666196729999999</v>
          </cell>
          <cell r="AP274">
            <v>22.964857169999998</v>
          </cell>
          <cell r="AQ274">
            <v>23.265995220000001</v>
          </cell>
          <cell r="AR274">
            <v>23.570414199999998</v>
          </cell>
          <cell r="AS274">
            <v>23.878380069999999</v>
          </cell>
          <cell r="AT274">
            <v>24.19011703</v>
          </cell>
          <cell r="AU274">
            <v>24.50558015</v>
          </cell>
          <cell r="AV274">
            <v>24.825089729999998</v>
          </cell>
          <cell r="AW274">
            <v>25.148950299999999</v>
          </cell>
          <cell r="AX274">
            <v>25.477397839999998</v>
          </cell>
          <cell r="AY274">
            <v>25.810609450000001</v>
          </cell>
          <cell r="AZ274">
            <v>26.149610410000001</v>
          </cell>
          <cell r="BA274">
            <v>26.493771129999999</v>
          </cell>
          <cell r="BB274">
            <v>26.84305019</v>
          </cell>
          <cell r="BC274">
            <v>27.19743377</v>
          </cell>
          <cell r="BD274">
            <v>27.55690323</v>
          </cell>
          <cell r="BE274">
            <v>30.017926889999998</v>
          </cell>
          <cell r="BF274">
            <v>30.51611922</v>
          </cell>
          <cell r="BG274">
            <v>31.022743940000002</v>
          </cell>
          <cell r="BH274">
            <v>31.53794589</v>
          </cell>
          <cell r="BI274">
            <v>32.061870679999998</v>
          </cell>
        </row>
        <row r="281">
          <cell r="F281">
            <v>162.3526238</v>
          </cell>
          <cell r="G281">
            <v>163.54993590000001</v>
          </cell>
          <cell r="H281">
            <v>164.61451930000001</v>
          </cell>
          <cell r="I281">
            <v>165.76880990000001</v>
          </cell>
          <cell r="J281">
            <v>167.08408829999999</v>
          </cell>
          <cell r="K281">
            <v>168.56641550000001</v>
          </cell>
          <cell r="L281">
            <v>170.11323229999999</v>
          </cell>
          <cell r="M281">
            <v>171.74639389999999</v>
          </cell>
          <cell r="N281">
            <v>173.45622839999999</v>
          </cell>
          <cell r="O281">
            <v>175.23013900000001</v>
          </cell>
          <cell r="P281">
            <v>177.20231889999999</v>
          </cell>
          <cell r="Q281">
            <v>179.13752289999999</v>
          </cell>
          <cell r="R281">
            <v>181.08981879999999</v>
          </cell>
          <cell r="S281">
            <v>183.06846959999999</v>
          </cell>
          <cell r="T281">
            <v>185.07434760000001</v>
          </cell>
          <cell r="U281">
            <v>187.10684800000001</v>
          </cell>
          <cell r="V281">
            <v>189.16592439999999</v>
          </cell>
          <cell r="W281">
            <v>191.25093939999999</v>
          </cell>
          <cell r="X281">
            <v>193.36178989999999</v>
          </cell>
          <cell r="Y281">
            <v>195.4987003</v>
          </cell>
          <cell r="Z281">
            <v>197.55656949999999</v>
          </cell>
          <cell r="AA281">
            <v>199.70269999999999</v>
          </cell>
          <cell r="AB281">
            <v>201.8939475</v>
          </cell>
          <cell r="AC281">
            <v>204.12144169999999</v>
          </cell>
          <cell r="AD281">
            <v>206.3830906</v>
          </cell>
          <cell r="AE281">
            <v>208.37573190000001</v>
          </cell>
          <cell r="AF281">
            <v>210.4334451</v>
          </cell>
          <cell r="AG281">
            <v>212.51219839999999</v>
          </cell>
          <cell r="AH281">
            <v>214.6081045</v>
          </cell>
          <cell r="AI281">
            <v>216.72421850000001</v>
          </cell>
          <cell r="AJ281">
            <v>218.8643792</v>
          </cell>
          <cell r="AK281">
            <v>221.03179449999999</v>
          </cell>
          <cell r="AL281">
            <v>223.2292344</v>
          </cell>
          <cell r="AM281">
            <v>225.45872510000001</v>
          </cell>
          <cell r="AN281">
            <v>227.7216741</v>
          </cell>
          <cell r="AO281">
            <v>230.0189949</v>
          </cell>
          <cell r="AP281">
            <v>232.2776767</v>
          </cell>
          <cell r="AQ281">
            <v>234.53998720000001</v>
          </cell>
          <cell r="AR281">
            <v>236.81783179999999</v>
          </cell>
          <cell r="AS281">
            <v>239.1165862</v>
          </cell>
          <cell r="AT281">
            <v>241.4397525</v>
          </cell>
          <cell r="AU281">
            <v>243.78972289999999</v>
          </cell>
          <cell r="AV281">
            <v>246.16873340000001</v>
          </cell>
          <cell r="AW281">
            <v>248.5784611</v>
          </cell>
          <cell r="AX281">
            <v>251.02014539999999</v>
          </cell>
          <cell r="AY281">
            <v>253.49466820000001</v>
          </cell>
          <cell r="AZ281">
            <v>255.99326060000001</v>
          </cell>
          <cell r="BA281">
            <v>258.51768449999997</v>
          </cell>
          <cell r="BB281">
            <v>261.0751411</v>
          </cell>
          <cell r="BC281">
            <v>263.67193500000002</v>
          </cell>
          <cell r="BD281">
            <v>266.3123008</v>
          </cell>
          <cell r="BE281">
            <v>283.96565909999998</v>
          </cell>
          <cell r="BF281">
            <v>287.72227379999998</v>
          </cell>
          <cell r="BG281">
            <v>291.5392842</v>
          </cell>
          <cell r="BH281">
            <v>295.41791599999999</v>
          </cell>
          <cell r="BI281">
            <v>299.35954529999998</v>
          </cell>
        </row>
        <row r="282">
          <cell r="E282" t="str">
            <v>CF_toe_ccoa_2</v>
          </cell>
          <cell r="F282">
            <v>5.4833789619999997</v>
          </cell>
          <cell r="G282">
            <v>5.5500471329999996</v>
          </cell>
          <cell r="H282">
            <v>5.6238175510000001</v>
          </cell>
          <cell r="I282">
            <v>5.7033414420000001</v>
          </cell>
          <cell r="J282">
            <v>5.7878657410000001</v>
          </cell>
          <cell r="K282">
            <v>5.8769025380000004</v>
          </cell>
          <cell r="L282">
            <v>5.9663537099999999</v>
          </cell>
          <cell r="M282">
            <v>6.0582529630000002</v>
          </cell>
          <cell r="N282">
            <v>6.1528520059999998</v>
          </cell>
          <cell r="O282">
            <v>6.2500471969999998</v>
          </cell>
          <cell r="P282">
            <v>6.356181683</v>
          </cell>
          <cell r="Q282">
            <v>6.4603718680000002</v>
          </cell>
          <cell r="R282">
            <v>6.5656864019999999</v>
          </cell>
          <cell r="S282">
            <v>6.6726718180000004</v>
          </cell>
          <cell r="T282">
            <v>6.781388701</v>
          </cell>
          <cell r="U282">
            <v>6.8918225299999998</v>
          </cell>
          <cell r="V282">
            <v>7.003969627</v>
          </cell>
          <cell r="W282">
            <v>7.1178372799999998</v>
          </cell>
          <cell r="X282">
            <v>7.2334493809999998</v>
          </cell>
          <cell r="Y282">
            <v>7.3508404120000002</v>
          </cell>
          <cell r="Z282">
            <v>7.4651794770000004</v>
          </cell>
          <cell r="AA282">
            <v>7.5845273420000003</v>
          </cell>
          <cell r="AB282">
            <v>7.7065371870000003</v>
          </cell>
          <cell r="AC282">
            <v>7.8307644420000004</v>
          </cell>
          <cell r="AD282">
            <v>7.957143276</v>
          </cell>
          <cell r="AE282">
            <v>8.071544179</v>
          </cell>
          <cell r="AF282">
            <v>8.1905066019999992</v>
          </cell>
          <cell r="AG282">
            <v>8.3113558110000003</v>
          </cell>
          <cell r="AH282">
            <v>8.4336983730000004</v>
          </cell>
          <cell r="AI282">
            <v>8.5575824679999997</v>
          </cell>
          <cell r="AJ282">
            <v>8.6831228990000007</v>
          </cell>
          <cell r="AK282">
            <v>8.8104203519999995</v>
          </cell>
          <cell r="AL282">
            <v>8.9395475960000006</v>
          </cell>
          <cell r="AM282">
            <v>9.0705459299999998</v>
          </cell>
          <cell r="AN282">
            <v>9.2034299080000004</v>
          </cell>
          <cell r="AO282">
            <v>9.3381938469999994</v>
          </cell>
          <cell r="AP282">
            <v>9.4713487389999997</v>
          </cell>
          <cell r="AQ282">
            <v>9.6050541969999994</v>
          </cell>
          <cell r="AR282">
            <v>9.7398041249999991</v>
          </cell>
          <cell r="AS282">
            <v>9.8757568409999994</v>
          </cell>
          <cell r="AT282">
            <v>10.013000659999999</v>
          </cell>
          <cell r="AU282">
            <v>10.151602410000001</v>
          </cell>
          <cell r="AV282">
            <v>10.29162125</v>
          </cell>
          <cell r="AW282">
            <v>10.433105299999999</v>
          </cell>
          <cell r="AX282">
            <v>10.57609233</v>
          </cell>
          <cell r="AY282">
            <v>10.72061111</v>
          </cell>
          <cell r="AZ282">
            <v>10.86712311</v>
          </cell>
          <cell r="BA282">
            <v>11.01575693</v>
          </cell>
          <cell r="BB282">
            <v>11.166668189999999</v>
          </cell>
          <cell r="BC282">
            <v>11.31989665</v>
          </cell>
          <cell r="BD282">
            <v>11.475407949999999</v>
          </cell>
          <cell r="BE282">
            <v>12.585566829999999</v>
          </cell>
          <cell r="BF282">
            <v>12.805525859999999</v>
          </cell>
          <cell r="BG282">
            <v>13.02890981</v>
          </cell>
          <cell r="BH282">
            <v>13.25575914</v>
          </cell>
          <cell r="BI282">
            <v>13.48611507</v>
          </cell>
        </row>
        <row r="285">
          <cell r="E285" t="str">
            <v>CF_toe_ccoi_2</v>
          </cell>
          <cell r="F285">
            <v>8.4947827000000004E-2</v>
          </cell>
          <cell r="G285">
            <v>8.5957087599999996E-2</v>
          </cell>
          <cell r="H285">
            <v>8.7040458000000001E-2</v>
          </cell>
          <cell r="I285">
            <v>8.8203183099999999E-2</v>
          </cell>
          <cell r="J285">
            <v>8.94522752E-2</v>
          </cell>
          <cell r="K285">
            <v>9.0788251799999997E-2</v>
          </cell>
          <cell r="L285">
            <v>9.2148323200000007E-2</v>
          </cell>
          <cell r="M285">
            <v>9.3558727600000002E-2</v>
          </cell>
          <cell r="N285">
            <v>9.5020125600000005E-2</v>
          </cell>
          <cell r="O285">
            <v>9.6529057299999999E-2</v>
          </cell>
          <cell r="P285">
            <v>9.8183956700000005E-2</v>
          </cell>
          <cell r="Q285">
            <v>9.9820868500000007E-2</v>
          </cell>
          <cell r="R285">
            <v>0.1014810112</v>
          </cell>
          <cell r="S285">
            <v>0.1031697141</v>
          </cell>
          <cell r="T285">
            <v>0.1048865216</v>
          </cell>
          <cell r="U285">
            <v>0.1066302282</v>
          </cell>
          <cell r="V285">
            <v>0.1083999888</v>
          </cell>
          <cell r="W285">
            <v>0.1101945763</v>
          </cell>
          <cell r="X285">
            <v>0.11201312519999999</v>
          </cell>
          <cell r="Y285">
            <v>0.1138549369</v>
          </cell>
          <cell r="Z285">
            <v>0.11564286159999999</v>
          </cell>
          <cell r="AA285">
            <v>0.1174967029</v>
          </cell>
          <cell r="AB285">
            <v>0.11938323319999999</v>
          </cell>
          <cell r="AC285">
            <v>0.1212965397</v>
          </cell>
          <cell r="AD285">
            <v>0.1232353601</v>
          </cell>
          <cell r="AE285">
            <v>0.1249770925</v>
          </cell>
          <cell r="AF285">
            <v>0.1267643607</v>
          </cell>
          <cell r="AG285">
            <v>0.12856060959999999</v>
          </cell>
          <cell r="AH285">
            <v>0.13036355390000001</v>
          </cell>
          <cell r="AI285">
            <v>0.13217631399999999</v>
          </cell>
          <cell r="AJ285">
            <v>0.13400246930000001</v>
          </cell>
          <cell r="AK285">
            <v>0.1358451091</v>
          </cell>
          <cell r="AL285">
            <v>0.13770696160000001</v>
          </cell>
          <cell r="AM285">
            <v>0.1395901927</v>
          </cell>
          <cell r="AN285">
            <v>0.14149650999999999</v>
          </cell>
          <cell r="AO285">
            <v>0.1434272328</v>
          </cell>
          <cell r="AP285">
            <v>0.1453285409</v>
          </cell>
          <cell r="AQ285">
            <v>0.14723184410000001</v>
          </cell>
          <cell r="AR285">
            <v>0.14914502090000001</v>
          </cell>
          <cell r="AS285">
            <v>0.15107179609999999</v>
          </cell>
          <cell r="AT285">
            <v>0.15301496589999999</v>
          </cell>
          <cell r="AU285">
            <v>0.15497675380000001</v>
          </cell>
          <cell r="AV285">
            <v>0.15695928210000001</v>
          </cell>
          <cell r="AW285">
            <v>0.1589642342</v>
          </cell>
          <cell r="AX285">
            <v>0.16099297139999999</v>
          </cell>
          <cell r="AY285">
            <v>0.16304659369999999</v>
          </cell>
          <cell r="AZ285">
            <v>0.16511017680000001</v>
          </cell>
          <cell r="BA285">
            <v>0.16718337450000001</v>
          </cell>
          <cell r="BB285">
            <v>0.16927396689999999</v>
          </cell>
          <cell r="BC285">
            <v>0.1713903722</v>
          </cell>
          <cell r="BD285">
            <v>0.17353921280000001</v>
          </cell>
          <cell r="BE285">
            <v>0.19860557870000001</v>
          </cell>
          <cell r="BF285">
            <v>0.20196968779999999</v>
          </cell>
          <cell r="BG285">
            <v>0.20537931740000001</v>
          </cell>
          <cell r="BH285">
            <v>0.2088358948</v>
          </cell>
          <cell r="BI285">
            <v>0.21234085599999999</v>
          </cell>
        </row>
        <row r="288">
          <cell r="E288" t="str">
            <v>CF_toe_cfut_2</v>
          </cell>
          <cell r="F288">
            <v>47.40923437</v>
          </cell>
          <cell r="G288">
            <v>47.593708669999998</v>
          </cell>
          <cell r="H288">
            <v>47.740624959999998</v>
          </cell>
          <cell r="I288">
            <v>47.957724249999998</v>
          </cell>
          <cell r="J288">
            <v>48.267100839999998</v>
          </cell>
          <cell r="K288">
            <v>48.660366760000002</v>
          </cell>
          <cell r="L288">
            <v>49.103595939999998</v>
          </cell>
          <cell r="M288">
            <v>49.590460669999999</v>
          </cell>
          <cell r="N288">
            <v>50.111121189999999</v>
          </cell>
          <cell r="O288">
            <v>50.657640229999998</v>
          </cell>
          <cell r="P288">
            <v>51.255802350000003</v>
          </cell>
          <cell r="Q288">
            <v>51.854426930000002</v>
          </cell>
          <cell r="R288">
            <v>52.462119370000003</v>
          </cell>
          <cell r="S288">
            <v>53.078812890000002</v>
          </cell>
          <cell r="T288">
            <v>53.70341105</v>
          </cell>
          <cell r="U288">
            <v>54.335027220000001</v>
          </cell>
          <cell r="V288">
            <v>54.973226940000004</v>
          </cell>
          <cell r="W288">
            <v>55.617577369999999</v>
          </cell>
          <cell r="X288">
            <v>56.267891460000001</v>
          </cell>
          <cell r="Y288">
            <v>56.924084329999999</v>
          </cell>
          <cell r="Z288">
            <v>57.562780879999998</v>
          </cell>
          <cell r="AA288">
            <v>58.219106650000001</v>
          </cell>
          <cell r="AB288">
            <v>58.884537729999998</v>
          </cell>
          <cell r="AC288">
            <v>59.557676469999997</v>
          </cell>
          <cell r="AD288">
            <v>60.238319339999997</v>
          </cell>
          <cell r="AE288">
            <v>60.859065630000003</v>
          </cell>
          <cell r="AF288">
            <v>61.489277489999999</v>
          </cell>
          <cell r="AG288">
            <v>62.120003750000002</v>
          </cell>
          <cell r="AH288">
            <v>62.75129269</v>
          </cell>
          <cell r="AI288">
            <v>63.384670610000001</v>
          </cell>
          <cell r="AJ288">
            <v>64.021700039999999</v>
          </cell>
          <cell r="AK288">
            <v>64.663646040000003</v>
          </cell>
          <cell r="AL288">
            <v>65.311546030000002</v>
          </cell>
          <cell r="AM288">
            <v>65.966144720000003</v>
          </cell>
          <cell r="AN288">
            <v>66.627969370000002</v>
          </cell>
          <cell r="AO288">
            <v>67.297386410000001</v>
          </cell>
          <cell r="AP288">
            <v>67.958060349999997</v>
          </cell>
          <cell r="AQ288">
            <v>68.618582770000003</v>
          </cell>
          <cell r="AR288">
            <v>69.281316840000002</v>
          </cell>
          <cell r="AS288">
            <v>69.947562410000003</v>
          </cell>
          <cell r="AT288">
            <v>70.618405030000005</v>
          </cell>
          <cell r="AU288">
            <v>71.294746709999998</v>
          </cell>
          <cell r="AV288">
            <v>71.977460480000005</v>
          </cell>
          <cell r="AW288">
            <v>72.667220240000006</v>
          </cell>
          <cell r="AX288">
            <v>73.364540050000002</v>
          </cell>
          <cell r="AY288">
            <v>74.069795760000005</v>
          </cell>
          <cell r="AZ288">
            <v>74.781159009999996</v>
          </cell>
          <cell r="BA288">
            <v>75.499819770000002</v>
          </cell>
          <cell r="BB288">
            <v>76.227161100000004</v>
          </cell>
          <cell r="BC288">
            <v>76.964011749999997</v>
          </cell>
          <cell r="BD288">
            <v>77.710815350000004</v>
          </cell>
          <cell r="BE288">
            <v>85.552448339999998</v>
          </cell>
          <cell r="BF288">
            <v>86.679266389999995</v>
          </cell>
          <cell r="BG288">
            <v>87.82308707</v>
          </cell>
          <cell r="BH288">
            <v>88.984520930000002</v>
          </cell>
          <cell r="BI288">
            <v>90.16421339</v>
          </cell>
        </row>
        <row r="291">
          <cell r="E291" t="str">
            <v>CF_toe_cfuh_2</v>
          </cell>
          <cell r="F291">
            <v>14.84041421</v>
          </cell>
          <cell r="G291">
            <v>14.96236942</v>
          </cell>
          <cell r="H291">
            <v>15.05237698</v>
          </cell>
          <cell r="I291">
            <v>15.13507611</v>
          </cell>
          <cell r="J291">
            <v>15.22207107</v>
          </cell>
          <cell r="K291">
            <v>15.317699340000001</v>
          </cell>
          <cell r="L291">
            <v>15.415443420000001</v>
          </cell>
          <cell r="M291">
            <v>15.51866184</v>
          </cell>
          <cell r="N291">
            <v>15.627332450000001</v>
          </cell>
          <cell r="O291">
            <v>15.740749859999999</v>
          </cell>
          <cell r="P291">
            <v>15.870692160000001</v>
          </cell>
          <cell r="Q291">
            <v>15.996945520000001</v>
          </cell>
          <cell r="R291">
            <v>16.124189080000001</v>
          </cell>
          <cell r="S291">
            <v>16.253437730000002</v>
          </cell>
          <cell r="T291">
            <v>16.38491423</v>
          </cell>
          <cell r="U291">
            <v>16.51864883</v>
          </cell>
          <cell r="V291">
            <v>16.654785619999998</v>
          </cell>
          <cell r="W291">
            <v>16.793241349999999</v>
          </cell>
          <cell r="X291">
            <v>16.93397951</v>
          </cell>
          <cell r="Y291">
            <v>17.076991570000001</v>
          </cell>
          <cell r="Z291">
            <v>17.21331185</v>
          </cell>
          <cell r="AA291">
            <v>17.35723522</v>
          </cell>
          <cell r="AB291">
            <v>17.505096829999999</v>
          </cell>
          <cell r="AC291">
            <v>17.655998520000001</v>
          </cell>
          <cell r="AD291">
            <v>17.80965467</v>
          </cell>
          <cell r="AE291">
            <v>17.940362780000001</v>
          </cell>
          <cell r="AF291">
            <v>18.076521060000001</v>
          </cell>
          <cell r="AG291">
            <v>18.214607820000001</v>
          </cell>
          <cell r="AH291">
            <v>18.354143969999999</v>
          </cell>
          <cell r="AI291">
            <v>18.495221999999998</v>
          </cell>
          <cell r="AJ291">
            <v>18.638024229999999</v>
          </cell>
          <cell r="AK291">
            <v>18.782678860000001</v>
          </cell>
          <cell r="AL291">
            <v>18.929351230000002</v>
          </cell>
          <cell r="AM291">
            <v>19.078169070000001</v>
          </cell>
          <cell r="AN291">
            <v>19.229230260000001</v>
          </cell>
          <cell r="AO291">
            <v>19.382607360000002</v>
          </cell>
          <cell r="AP291">
            <v>19.53193744</v>
          </cell>
          <cell r="AQ291">
            <v>19.680944839999999</v>
          </cell>
          <cell r="AR291">
            <v>19.830801340000001</v>
          </cell>
          <cell r="AS291">
            <v>19.982042929999999</v>
          </cell>
          <cell r="AT291">
            <v>20.134983900000002</v>
          </cell>
          <cell r="AU291">
            <v>20.28976329</v>
          </cell>
          <cell r="AV291">
            <v>20.446560399999999</v>
          </cell>
          <cell r="AW291">
            <v>20.605500979999999</v>
          </cell>
          <cell r="AX291">
            <v>20.76667703</v>
          </cell>
          <cell r="AY291">
            <v>20.930155249999999</v>
          </cell>
          <cell r="AZ291">
            <v>21.094366430000001</v>
          </cell>
          <cell r="BA291">
            <v>21.25977988</v>
          </cell>
          <cell r="BB291">
            <v>21.427170270000001</v>
          </cell>
          <cell r="BC291">
            <v>21.59717199</v>
          </cell>
          <cell r="BD291">
            <v>21.770227940000002</v>
          </cell>
          <cell r="BE291">
            <v>23.280117629999999</v>
          </cell>
          <cell r="BF291">
            <v>23.549838619999999</v>
          </cell>
          <cell r="BG291">
            <v>23.823821410000001</v>
          </cell>
          <cell r="BH291">
            <v>24.102147460000001</v>
          </cell>
          <cell r="BI291">
            <v>24.384922530000001</v>
          </cell>
        </row>
        <row r="293">
          <cell r="E293" t="str">
            <v>CF_toe_cgas_2</v>
          </cell>
          <cell r="F293">
            <v>34.460566270000001</v>
          </cell>
          <cell r="G293">
            <v>34.79745793</v>
          </cell>
          <cell r="H293">
            <v>35.100399090000003</v>
          </cell>
          <cell r="I293">
            <v>35.402510739999997</v>
          </cell>
          <cell r="J293">
            <v>35.720910779999997</v>
          </cell>
          <cell r="K293">
            <v>36.062324070000003</v>
          </cell>
          <cell r="L293">
            <v>36.40743896</v>
          </cell>
          <cell r="M293">
            <v>36.766265679999997</v>
          </cell>
          <cell r="N293">
            <v>37.139452030000001</v>
          </cell>
          <cell r="O293">
            <v>37.525662699999998</v>
          </cell>
          <cell r="P293">
            <v>37.95839033</v>
          </cell>
          <cell r="Q293">
            <v>38.380828229999999</v>
          </cell>
          <cell r="R293">
            <v>38.806578930000001</v>
          </cell>
          <cell r="S293">
            <v>39.238208819999997</v>
          </cell>
          <cell r="T293">
            <v>39.676112680000003</v>
          </cell>
          <cell r="U293">
            <v>40.120207700000002</v>
          </cell>
          <cell r="V293">
            <v>40.570547140000002</v>
          </cell>
          <cell r="W293">
            <v>41.0269756</v>
          </cell>
          <cell r="X293">
            <v>41.489422740000002</v>
          </cell>
          <cell r="Y293">
            <v>41.957903770000001</v>
          </cell>
          <cell r="Z293">
            <v>42.407033349999999</v>
          </cell>
          <cell r="AA293">
            <v>42.877358229999999</v>
          </cell>
          <cell r="AB293">
            <v>43.358292980000002</v>
          </cell>
          <cell r="AC293">
            <v>43.847524610000001</v>
          </cell>
          <cell r="AD293">
            <v>44.34439098</v>
          </cell>
          <cell r="AE293">
            <v>44.775791179999999</v>
          </cell>
          <cell r="AF293">
            <v>45.222570019999999</v>
          </cell>
          <cell r="AG293">
            <v>45.673887039999997</v>
          </cell>
          <cell r="AH293">
            <v>46.128513769999998</v>
          </cell>
          <cell r="AI293">
            <v>46.58686453</v>
          </cell>
          <cell r="AJ293">
            <v>47.049591509999999</v>
          </cell>
          <cell r="AK293">
            <v>47.517256400000001</v>
          </cell>
          <cell r="AL293">
            <v>47.990416279999998</v>
          </cell>
          <cell r="AM293">
            <v>48.469540199999997</v>
          </cell>
          <cell r="AN293">
            <v>48.955006849999997</v>
          </cell>
          <cell r="AO293">
            <v>49.447112390000001</v>
          </cell>
          <cell r="AP293">
            <v>49.928318990000001</v>
          </cell>
          <cell r="AQ293">
            <v>50.408893919999997</v>
          </cell>
          <cell r="AR293">
            <v>50.89187459</v>
          </cell>
          <cell r="AS293">
            <v>51.378668140000002</v>
          </cell>
          <cell r="AT293">
            <v>51.870161009999997</v>
          </cell>
          <cell r="AU293">
            <v>52.366901120000001</v>
          </cell>
          <cell r="AV293">
            <v>52.869408730000004</v>
          </cell>
          <cell r="AW293">
            <v>53.378101010000002</v>
          </cell>
          <cell r="AX293">
            <v>53.893307249999999</v>
          </cell>
          <cell r="AY293">
            <v>54.41528503</v>
          </cell>
          <cell r="AZ293">
            <v>54.941215739999997</v>
          </cell>
          <cell r="BA293">
            <v>55.470623459999999</v>
          </cell>
          <cell r="BB293">
            <v>56.005148949999999</v>
          </cell>
          <cell r="BC293">
            <v>56.54662622</v>
          </cell>
          <cell r="BD293">
            <v>57.096478390000001</v>
          </cell>
          <cell r="BE293">
            <v>60.448364050000002</v>
          </cell>
          <cell r="BF293">
            <v>61.25071707</v>
          </cell>
          <cell r="BG293">
            <v>62.065198590000001</v>
          </cell>
          <cell r="BH293">
            <v>62.89208069</v>
          </cell>
          <cell r="BI293">
            <v>63.731686179999997</v>
          </cell>
        </row>
        <row r="299">
          <cell r="E299" t="str">
            <v>CF_toe_cele_2</v>
          </cell>
          <cell r="F299">
            <v>37.996847889999998</v>
          </cell>
          <cell r="G299">
            <v>38.326573639999999</v>
          </cell>
          <cell r="H299">
            <v>38.609408039999998</v>
          </cell>
          <cell r="I299">
            <v>38.895587399999997</v>
          </cell>
          <cell r="J299">
            <v>39.2069397</v>
          </cell>
          <cell r="K299">
            <v>39.549397120000002</v>
          </cell>
          <cell r="L299">
            <v>39.901999930000002</v>
          </cell>
          <cell r="M299">
            <v>40.271065909999997</v>
          </cell>
          <cell r="N299">
            <v>40.655175989999996</v>
          </cell>
          <cell r="O299">
            <v>41.052073399999998</v>
          </cell>
          <cell r="P299">
            <v>41.493713749999998</v>
          </cell>
          <cell r="Q299">
            <v>41.925813310000002</v>
          </cell>
          <cell r="R299">
            <v>42.360969169999997</v>
          </cell>
          <cell r="S299">
            <v>42.801630070000002</v>
          </cell>
          <cell r="T299">
            <v>43.24824641</v>
          </cell>
          <cell r="U299">
            <v>43.700862530000002</v>
          </cell>
          <cell r="V299">
            <v>44.159644620000002</v>
          </cell>
          <cell r="W299">
            <v>44.624552549999997</v>
          </cell>
          <cell r="X299">
            <v>45.09563009</v>
          </cell>
          <cell r="Y299">
            <v>45.573008090000002</v>
          </cell>
          <cell r="Z299">
            <v>46.032038129999997</v>
          </cell>
          <cell r="AA299">
            <v>46.512067799999997</v>
          </cell>
          <cell r="AB299">
            <v>47.0034274</v>
          </cell>
          <cell r="AC299">
            <v>47.504174990000003</v>
          </cell>
          <cell r="AD299">
            <v>48.013938930000002</v>
          </cell>
          <cell r="AE299">
            <v>48.461275630000003</v>
          </cell>
          <cell r="AF299">
            <v>48.924639650000003</v>
          </cell>
          <cell r="AG299">
            <v>49.394593389999997</v>
          </cell>
          <cell r="AH299">
            <v>49.870623590000001</v>
          </cell>
          <cell r="AI299">
            <v>50.353734959999997</v>
          </cell>
          <cell r="AJ299">
            <v>50.845047059999999</v>
          </cell>
          <cell r="AK299">
            <v>51.345465799999999</v>
          </cell>
          <cell r="AL299">
            <v>51.855748939999998</v>
          </cell>
          <cell r="AM299">
            <v>52.376437260000003</v>
          </cell>
          <cell r="AN299">
            <v>52.907876799999997</v>
          </cell>
          <cell r="AO299">
            <v>53.450252689999999</v>
          </cell>
          <cell r="AP299">
            <v>53.986080989999998</v>
          </cell>
          <cell r="AQ299">
            <v>54.525126960000001</v>
          </cell>
          <cell r="AR299">
            <v>55.070292899999998</v>
          </cell>
          <cell r="AS299">
            <v>55.62290677</v>
          </cell>
          <cell r="AT299">
            <v>56.183797470000002</v>
          </cell>
          <cell r="AU299">
            <v>56.753480209999999</v>
          </cell>
          <cell r="AV299">
            <v>57.332416539999997</v>
          </cell>
          <cell r="AW299">
            <v>57.920935129999997</v>
          </cell>
          <cell r="AX299">
            <v>58.51925129</v>
          </cell>
          <cell r="AY299">
            <v>59.127488880000001</v>
          </cell>
          <cell r="AZ299">
            <v>59.742175510000003</v>
          </cell>
          <cell r="BA299">
            <v>60.363694760000001</v>
          </cell>
          <cell r="BB299">
            <v>60.994737530000002</v>
          </cell>
          <cell r="BC299">
            <v>61.637873589999998</v>
          </cell>
          <cell r="BD299">
            <v>62.294860630000002</v>
          </cell>
          <cell r="BE299">
            <v>64.359417219999997</v>
          </cell>
          <cell r="BF299">
            <v>65.209907079999994</v>
          </cell>
          <cell r="BG299">
            <v>66.075298020000005</v>
          </cell>
          <cell r="BH299">
            <v>66.955731420000006</v>
          </cell>
          <cell r="BI299">
            <v>67.851352849999998</v>
          </cell>
        </row>
        <row r="309">
          <cell r="E309" t="str">
            <v>CF_toe_chea_2</v>
          </cell>
          <cell r="F309">
            <v>5.1418784390000001</v>
          </cell>
          <cell r="G309">
            <v>5.2087932139999999</v>
          </cell>
          <cell r="H309">
            <v>5.276720235</v>
          </cell>
          <cell r="I309">
            <v>5.3446829620000003</v>
          </cell>
          <cell r="J309">
            <v>5.413241449</v>
          </cell>
          <cell r="K309">
            <v>5.4830244590000001</v>
          </cell>
          <cell r="L309">
            <v>5.5495175809999999</v>
          </cell>
          <cell r="M309">
            <v>5.6157184129999997</v>
          </cell>
          <cell r="N309">
            <v>5.6826408429999997</v>
          </cell>
          <cell r="O309">
            <v>5.750555758</v>
          </cell>
          <cell r="P309">
            <v>5.8276975179999999</v>
          </cell>
          <cell r="Q309">
            <v>5.9007856810000003</v>
          </cell>
          <cell r="R309">
            <v>5.9727854660000004</v>
          </cell>
          <cell r="S309">
            <v>6.0446846799999996</v>
          </cell>
          <cell r="T309">
            <v>6.1168447759999998</v>
          </cell>
          <cell r="U309">
            <v>6.1893984709999996</v>
          </cell>
          <cell r="V309">
            <v>6.2624199129999996</v>
          </cell>
          <cell r="W309">
            <v>6.3359089370000001</v>
          </cell>
          <cell r="X309">
            <v>6.4098538119999997</v>
          </cell>
          <cell r="Y309">
            <v>6.4842505499999996</v>
          </cell>
          <cell r="Z309">
            <v>6.5534097390000001</v>
          </cell>
          <cell r="AA309">
            <v>6.6264676790000001</v>
          </cell>
          <cell r="AB309">
            <v>6.7012844920000001</v>
          </cell>
          <cell r="AC309">
            <v>6.7771370089999996</v>
          </cell>
          <cell r="AD309">
            <v>6.8537523240000002</v>
          </cell>
          <cell r="AE309">
            <v>6.9151341830000002</v>
          </cell>
          <cell r="AF309">
            <v>6.979209097</v>
          </cell>
          <cell r="AG309">
            <v>7.0443935069999997</v>
          </cell>
          <cell r="AH309">
            <v>7.1102874580000002</v>
          </cell>
          <cell r="AI309">
            <v>7.1767854929999997</v>
          </cell>
          <cell r="AJ309">
            <v>7.2438748999999998</v>
          </cell>
          <cell r="AK309">
            <v>7.3115663639999999</v>
          </cell>
          <cell r="AL309">
            <v>7.3798925300000002</v>
          </cell>
          <cell r="AM309">
            <v>7.4488863609999996</v>
          </cell>
          <cell r="AN309">
            <v>7.5185741459999997</v>
          </cell>
          <cell r="AO309">
            <v>7.5889744290000003</v>
          </cell>
          <cell r="AP309">
            <v>7.6564428920000003</v>
          </cell>
          <cell r="AQ309">
            <v>7.7231521919999997</v>
          </cell>
          <cell r="AR309">
            <v>7.7899176179999996</v>
          </cell>
          <cell r="AS309">
            <v>7.8570839540000001</v>
          </cell>
          <cell r="AT309">
            <v>7.9248046790000002</v>
          </cell>
          <cell r="AU309">
            <v>7.9931354170000004</v>
          </cell>
          <cell r="AV309">
            <v>8.0621157159999992</v>
          </cell>
          <cell r="AW309">
            <v>8.1317711240000001</v>
          </cell>
          <cell r="AX309">
            <v>8.2021172920000005</v>
          </cell>
          <cell r="AY309">
            <v>8.2731634809999992</v>
          </cell>
          <cell r="AZ309">
            <v>8.3447380770000006</v>
          </cell>
          <cell r="BA309">
            <v>8.4166866949999992</v>
          </cell>
          <cell r="BB309">
            <v>8.4891601110000003</v>
          </cell>
          <cell r="BC309">
            <v>8.5623535529999995</v>
          </cell>
          <cell r="BD309">
            <v>8.6364202189999997</v>
          </cell>
          <cell r="BE309">
            <v>8.5768502299999998</v>
          </cell>
          <cell r="BF309">
            <v>8.666396185</v>
          </cell>
          <cell r="BG309">
            <v>8.7572674819999996</v>
          </cell>
          <cell r="BH309">
            <v>8.8494687390000006</v>
          </cell>
          <cell r="BI309">
            <v>8.9430200129999999</v>
          </cell>
        </row>
        <row r="311">
          <cell r="E311" t="str">
            <v>CF_toe_cbio_2</v>
          </cell>
          <cell r="F311">
            <v>8.2042624590000006</v>
          </cell>
          <cell r="G311">
            <v>8.1841827029999994</v>
          </cell>
          <cell r="H311">
            <v>8.1617187409999996</v>
          </cell>
          <cell r="I311">
            <v>8.1484195219999993</v>
          </cell>
          <cell r="J311">
            <v>8.1442491300000004</v>
          </cell>
          <cell r="K311">
            <v>8.1475462479999994</v>
          </cell>
          <cell r="L311">
            <v>8.152655352</v>
          </cell>
          <cell r="M311">
            <v>8.1591947059999992</v>
          </cell>
          <cell r="N311">
            <v>8.1666223270000007</v>
          </cell>
          <cell r="O311">
            <v>8.1746570720000005</v>
          </cell>
          <cell r="P311">
            <v>8.1885578970000008</v>
          </cell>
          <cell r="Q311">
            <v>8.1998232439999992</v>
          </cell>
          <cell r="R311">
            <v>8.2104836619999997</v>
          </cell>
          <cell r="S311">
            <v>8.221330493</v>
          </cell>
          <cell r="T311">
            <v>8.2327134359999992</v>
          </cell>
          <cell r="U311">
            <v>8.2447813360000008</v>
          </cell>
          <cell r="V311">
            <v>8.2574371939999995</v>
          </cell>
          <cell r="W311">
            <v>8.2707016969999998</v>
          </cell>
          <cell r="X311">
            <v>8.2846360929999996</v>
          </cell>
          <cell r="Y311">
            <v>8.2992944130000001</v>
          </cell>
          <cell r="Z311">
            <v>8.3110462429999998</v>
          </cell>
          <cell r="AA311">
            <v>8.3257250789999997</v>
          </cell>
          <cell r="AB311">
            <v>8.3420016730000004</v>
          </cell>
          <cell r="AC311">
            <v>8.3594315669999997</v>
          </cell>
          <cell r="AD311">
            <v>8.3778384460000002</v>
          </cell>
          <cell r="AE311">
            <v>8.3869187590000003</v>
          </cell>
          <cell r="AF311">
            <v>8.3980698100000009</v>
          </cell>
          <cell r="AG311">
            <v>8.4102893040000009</v>
          </cell>
          <cell r="AH311">
            <v>8.4233193530000001</v>
          </cell>
          <cell r="AI311">
            <v>8.4370920680000001</v>
          </cell>
          <cell r="AJ311">
            <v>8.4515998799999998</v>
          </cell>
          <cell r="AK311">
            <v>8.4668941429999993</v>
          </cell>
          <cell r="AL311">
            <v>8.4829877039999992</v>
          </cell>
          <cell r="AM311">
            <v>8.4998740739999992</v>
          </cell>
          <cell r="AN311">
            <v>8.5175405059999996</v>
          </cell>
          <cell r="AO311">
            <v>8.5359717100000001</v>
          </cell>
          <cell r="AP311">
            <v>8.5532236140000002</v>
          </cell>
          <cell r="AQ311">
            <v>8.570595526</v>
          </cell>
          <cell r="AR311">
            <v>8.5884144570000007</v>
          </cell>
          <cell r="AS311">
            <v>8.6067491759999992</v>
          </cell>
          <cell r="AT311">
            <v>8.6256115540000007</v>
          </cell>
          <cell r="AU311">
            <v>8.6450707530000006</v>
          </cell>
          <cell r="AV311">
            <v>8.6651415469999993</v>
          </cell>
          <cell r="AW311">
            <v>8.6858190190000002</v>
          </cell>
          <cell r="AX311">
            <v>8.7070973489999997</v>
          </cell>
          <cell r="AY311">
            <v>8.7289726820000002</v>
          </cell>
          <cell r="AZ311">
            <v>8.7515851550000008</v>
          </cell>
          <cell r="BA311">
            <v>8.7750337859999998</v>
          </cell>
          <cell r="BB311">
            <v>8.7994208940000007</v>
          </cell>
          <cell r="BC311">
            <v>8.8247985379999996</v>
          </cell>
          <cell r="BD311">
            <v>8.8511790220000002</v>
          </cell>
          <cell r="BE311">
            <v>9.1587507319999997</v>
          </cell>
          <cell r="BF311">
            <v>9.2090429220000001</v>
          </cell>
          <cell r="BG311">
            <v>9.2606713220000003</v>
          </cell>
          <cell r="BH311">
            <v>9.3136211660000008</v>
          </cell>
          <cell r="BI311">
            <v>9.3679002540000003</v>
          </cell>
        </row>
        <row r="314">
          <cell r="E314" t="str">
            <v>CF_toe_cote_2</v>
          </cell>
          <cell r="F314">
            <v>8.7310933940000002</v>
          </cell>
          <cell r="G314">
            <v>8.8408461270000007</v>
          </cell>
          <cell r="H314">
            <v>8.962413196</v>
          </cell>
          <cell r="I314">
            <v>9.0932642680000004</v>
          </cell>
          <cell r="J314">
            <v>9.2322573630000004</v>
          </cell>
          <cell r="K314">
            <v>9.3783667319999999</v>
          </cell>
          <cell r="L314">
            <v>9.524079103</v>
          </cell>
          <cell r="M314">
            <v>9.6732149970000005</v>
          </cell>
          <cell r="N314">
            <v>9.8260114099999996</v>
          </cell>
          <cell r="O314">
            <v>9.9822237049999991</v>
          </cell>
          <cell r="P314">
            <v>10.15309925</v>
          </cell>
          <cell r="Q314">
            <v>10.318707290000001</v>
          </cell>
          <cell r="R314">
            <v>10.48552568</v>
          </cell>
          <cell r="S314">
            <v>10.654523360000001</v>
          </cell>
          <cell r="T314">
            <v>10.825829779999999</v>
          </cell>
          <cell r="U314">
            <v>10.999469149999999</v>
          </cell>
          <cell r="V314">
            <v>11.175493339999999</v>
          </cell>
          <cell r="W314">
            <v>11.35395007</v>
          </cell>
          <cell r="X314">
            <v>11.53491372</v>
          </cell>
          <cell r="Y314">
            <v>11.71847221</v>
          </cell>
          <cell r="Z314">
            <v>11.89612692</v>
          </cell>
          <cell r="AA314">
            <v>12.082715260000001</v>
          </cell>
          <cell r="AB314">
            <v>12.27338599</v>
          </cell>
          <cell r="AC314">
            <v>12.46743755</v>
          </cell>
          <cell r="AD314">
            <v>12.664817299999999</v>
          </cell>
          <cell r="AE314">
            <v>12.84066251</v>
          </cell>
          <cell r="AF314">
            <v>13.02588699</v>
          </cell>
          <cell r="AG314">
            <v>13.21450711</v>
          </cell>
          <cell r="AH314">
            <v>13.40586175</v>
          </cell>
          <cell r="AI314">
            <v>13.60009009</v>
          </cell>
          <cell r="AJ314">
            <v>13.797416200000001</v>
          </cell>
          <cell r="AK314">
            <v>13.998021400000001</v>
          </cell>
          <cell r="AL314">
            <v>14.202037109999999</v>
          </cell>
          <cell r="AM314">
            <v>14.409537240000001</v>
          </cell>
          <cell r="AN314">
            <v>14.62054977</v>
          </cell>
          <cell r="AO314">
            <v>14.83506888</v>
          </cell>
          <cell r="AP314">
            <v>15.04693514</v>
          </cell>
          <cell r="AQ314">
            <v>15.26040495</v>
          </cell>
          <cell r="AR314">
            <v>15.47626492</v>
          </cell>
          <cell r="AS314">
            <v>15.69474417</v>
          </cell>
          <cell r="AT314">
            <v>15.91597322</v>
          </cell>
          <cell r="AU314">
            <v>16.1400462</v>
          </cell>
          <cell r="AV314">
            <v>16.367049420000001</v>
          </cell>
          <cell r="AW314">
            <v>16.597044019999998</v>
          </cell>
          <cell r="AX314">
            <v>16.830069810000001</v>
          </cell>
          <cell r="AY314">
            <v>17.0661494</v>
          </cell>
          <cell r="AZ314">
            <v>17.30578736</v>
          </cell>
          <cell r="BA314">
            <v>17.549105839999999</v>
          </cell>
          <cell r="BB314">
            <v>17.796400089999999</v>
          </cell>
          <cell r="BC314">
            <v>18.047812310000001</v>
          </cell>
          <cell r="BD314">
            <v>18.30337209</v>
          </cell>
          <cell r="BE314">
            <v>19.805538519999999</v>
          </cell>
          <cell r="BF314">
            <v>20.149609949999999</v>
          </cell>
          <cell r="BG314">
            <v>20.49965121</v>
          </cell>
          <cell r="BH314">
            <v>20.855750520000001</v>
          </cell>
          <cell r="BI314">
            <v>21.21799416</v>
          </cell>
        </row>
        <row r="317">
          <cell r="E317" t="str">
            <v>CF_toe_0</v>
          </cell>
          <cell r="F317">
            <v>162.33314920000001</v>
          </cell>
          <cell r="G317">
            <v>163.44032290000001</v>
          </cell>
          <cell r="H317">
            <v>164.4377059</v>
          </cell>
          <cell r="I317">
            <v>165.5311524</v>
          </cell>
          <cell r="J317">
            <v>166.77882679999999</v>
          </cell>
          <cell r="K317">
            <v>168.17428570000001</v>
          </cell>
          <cell r="L317">
            <v>169.63183599999999</v>
          </cell>
          <cell r="M317">
            <v>171.18029279999999</v>
          </cell>
          <cell r="N317">
            <v>172.8112433</v>
          </cell>
          <cell r="O317">
            <v>174.5113867</v>
          </cell>
          <cell r="P317">
            <v>176.4135019</v>
          </cell>
          <cell r="Q317">
            <v>178.28059479999999</v>
          </cell>
          <cell r="R317">
            <v>180.16569659999999</v>
          </cell>
          <cell r="S317">
            <v>182.07715640000001</v>
          </cell>
          <cell r="T317">
            <v>184.01555239999999</v>
          </cell>
          <cell r="U317">
            <v>185.98094470000001</v>
          </cell>
          <cell r="V317">
            <v>187.97343219999999</v>
          </cell>
          <cell r="W317">
            <v>189.99309289999999</v>
          </cell>
          <cell r="X317">
            <v>192.0399515</v>
          </cell>
          <cell r="Y317">
            <v>194.1140053</v>
          </cell>
          <cell r="Z317">
            <v>196.10985350000001</v>
          </cell>
          <cell r="AA317">
            <v>198.19412299999999</v>
          </cell>
          <cell r="AB317">
            <v>200.32326470000001</v>
          </cell>
          <cell r="AC317">
            <v>202.48815759999999</v>
          </cell>
          <cell r="AD317">
            <v>204.68662140000001</v>
          </cell>
          <cell r="AE317">
            <v>206.61591039999999</v>
          </cell>
          <cell r="AF317">
            <v>208.61005109999999</v>
          </cell>
          <cell r="AG317">
            <v>210.62494570000001</v>
          </cell>
          <cell r="AH317">
            <v>212.65682340000001</v>
          </cell>
          <cell r="AI317">
            <v>214.7089503</v>
          </cell>
          <cell r="AJ317">
            <v>216.78542049999999</v>
          </cell>
          <cell r="AK317">
            <v>218.88987159999999</v>
          </cell>
          <cell r="AL317">
            <v>221.02521859999999</v>
          </cell>
          <cell r="AM317">
            <v>223.1936527</v>
          </cell>
          <cell r="AN317">
            <v>225.39673139999999</v>
          </cell>
          <cell r="AO317">
            <v>227.6354997</v>
          </cell>
          <cell r="AP317">
            <v>229.83877100000001</v>
          </cell>
          <cell r="AQ317">
            <v>232.0479641</v>
          </cell>
          <cell r="AR317">
            <v>234.28066340000001</v>
          </cell>
          <cell r="AS317">
            <v>236.54629349999999</v>
          </cell>
          <cell r="AT317">
            <v>238.84837730000001</v>
          </cell>
          <cell r="AU317">
            <v>241.17380979999999</v>
          </cell>
          <cell r="AV317">
            <v>243.51704580000001</v>
          </cell>
          <cell r="AW317">
            <v>245.87738519999999</v>
          </cell>
          <cell r="AX317">
            <v>248.25934509999999</v>
          </cell>
          <cell r="AY317">
            <v>250.67009719999999</v>
          </cell>
          <cell r="AZ317">
            <v>253.1229592</v>
          </cell>
          <cell r="BA317">
            <v>255.61937019999999</v>
          </cell>
          <cell r="BB317">
            <v>258.16143949999997</v>
          </cell>
          <cell r="BC317">
            <v>260.75023579999998</v>
          </cell>
          <cell r="BD317">
            <v>263.385919</v>
          </cell>
          <cell r="BE317">
            <v>285.81156920000001</v>
          </cell>
          <cell r="BF317">
            <v>289.59841449999999</v>
          </cell>
          <cell r="BG317">
            <v>293.44403879999999</v>
          </cell>
          <cell r="BH317">
            <v>297.34999809999999</v>
          </cell>
          <cell r="BI317">
            <v>301.31780850000001</v>
          </cell>
        </row>
        <row r="318">
          <cell r="E318" t="str">
            <v>CF_toe_ccoa_0</v>
          </cell>
          <cell r="F318">
            <v>5.4831126719999999</v>
          </cell>
          <cell r="G318">
            <v>5.5495222980000003</v>
          </cell>
          <cell r="H318">
            <v>5.6231169689999998</v>
          </cell>
          <cell r="I318">
            <v>5.7025018080000001</v>
          </cell>
          <cell r="J318">
            <v>5.7869233580000001</v>
          </cell>
          <cell r="K318">
            <v>5.8759050610000001</v>
          </cell>
          <cell r="L318">
            <v>5.965347092</v>
          </cell>
          <cell r="M318">
            <v>6.0572796330000003</v>
          </cell>
          <cell r="N318">
            <v>6.151951993</v>
          </cell>
          <cell r="O318">
            <v>6.2492581810000001</v>
          </cell>
          <cell r="P318">
            <v>6.3555388019999999</v>
          </cell>
          <cell r="Q318">
            <v>6.4599021219999999</v>
          </cell>
          <cell r="R318">
            <v>6.5654146009999996</v>
          </cell>
          <cell r="S318">
            <v>6.6726204950000003</v>
          </cell>
          <cell r="T318">
            <v>6.7815791150000004</v>
          </cell>
          <cell r="U318">
            <v>6.8922761020000003</v>
          </cell>
          <cell r="V318">
            <v>7.0047032180000004</v>
          </cell>
          <cell r="W318">
            <v>7.1188701989999998</v>
          </cell>
          <cell r="X318">
            <v>7.2348020540000002</v>
          </cell>
          <cell r="Y318">
            <v>7.3525338659999999</v>
          </cell>
          <cell r="Z318">
            <v>7.4672319590000003</v>
          </cell>
          <cell r="AA318">
            <v>7.5869614480000003</v>
          </cell>
          <cell r="AB318">
            <v>7.7093743730000002</v>
          </cell>
          <cell r="AC318">
            <v>7.834025746</v>
          </cell>
          <cell r="AD318">
            <v>7.9608494509999996</v>
          </cell>
          <cell r="AE318">
            <v>8.0757025759999994</v>
          </cell>
          <cell r="AF318">
            <v>8.1951395349999991</v>
          </cell>
          <cell r="AG318">
            <v>8.316482615</v>
          </cell>
          <cell r="AH318">
            <v>8.4393377750000003</v>
          </cell>
          <cell r="AI318">
            <v>8.5637527480000006</v>
          </cell>
          <cell r="AJ318">
            <v>8.6898418389999996</v>
          </cell>
          <cell r="AK318">
            <v>8.8177067420000004</v>
          </cell>
          <cell r="AL318">
            <v>8.947419215</v>
          </cell>
          <cell r="AM318">
            <v>9.079019851</v>
          </cell>
          <cell r="AN318">
            <v>9.2125225220000004</v>
          </cell>
          <cell r="AO318">
            <v>9.3479208479999993</v>
          </cell>
          <cell r="AP318">
            <v>9.4817331710000001</v>
          </cell>
          <cell r="AQ318">
            <v>9.6161146150000008</v>
          </cell>
          <cell r="AR318">
            <v>9.7515817469999995</v>
          </cell>
          <cell r="AS318">
            <v>9.8883045169999999</v>
          </cell>
          <cell r="AT318">
            <v>10.026364900000001</v>
          </cell>
          <cell r="AU318">
            <v>10.16590663</v>
          </cell>
          <cell r="AV318">
            <v>10.307188350000001</v>
          </cell>
          <cell r="AW318">
            <v>10.450377189999999</v>
          </cell>
          <cell r="AX318">
            <v>10.595529689999999</v>
          </cell>
          <cell r="AY318">
            <v>10.742637520000001</v>
          </cell>
          <cell r="AZ318">
            <v>10.8919876</v>
          </cell>
          <cell r="BA318">
            <v>11.043352799999999</v>
          </cell>
          <cell r="BB318">
            <v>11.196669050000001</v>
          </cell>
          <cell r="BC318">
            <v>11.35191298</v>
          </cell>
          <cell r="BD318">
            <v>11.50907432</v>
          </cell>
          <cell r="BE318">
            <v>12.5681329</v>
          </cell>
          <cell r="BF318">
            <v>12.78677233</v>
          </cell>
          <cell r="BG318">
            <v>13.00876092</v>
          </cell>
          <cell r="BH318">
            <v>13.23413545</v>
          </cell>
          <cell r="BI318">
            <v>13.462935549999999</v>
          </cell>
        </row>
        <row r="321">
          <cell r="E321" t="str">
            <v>CF_toe_ccoi_0</v>
          </cell>
          <cell r="F321">
            <v>8.4924864099999997E-2</v>
          </cell>
          <cell r="G321">
            <v>8.5925227300000004E-2</v>
          </cell>
          <cell r="H321">
            <v>8.7002780799999999E-2</v>
          </cell>
          <cell r="I321">
            <v>8.8160332199999997E-2</v>
          </cell>
          <cell r="J321">
            <v>8.9403904699999995E-2</v>
          </cell>
          <cell r="K321">
            <v>9.0733715800000003E-2</v>
          </cell>
          <cell r="L321">
            <v>9.2086812500000004E-2</v>
          </cell>
          <cell r="M321">
            <v>9.3489631000000004E-2</v>
          </cell>
          <cell r="N321">
            <v>9.4943145199999995E-2</v>
          </cell>
          <cell r="O321">
            <v>9.6444211299999999E-2</v>
          </cell>
          <cell r="P321">
            <v>9.8091407000000005E-2</v>
          </cell>
          <cell r="Q321">
            <v>9.9720851400000005E-2</v>
          </cell>
          <cell r="R321">
            <v>0.1013740207</v>
          </cell>
          <cell r="S321">
            <v>0.1030562716</v>
          </cell>
          <cell r="T321">
            <v>0.10476710509999999</v>
          </cell>
          <cell r="U321">
            <v>0.10650523369999999</v>
          </cell>
          <cell r="V321">
            <v>0.1082694065</v>
          </cell>
          <cell r="W321">
            <v>0.1100585155</v>
          </cell>
          <cell r="X321">
            <v>0.11187159620000001</v>
          </cell>
          <cell r="Y321">
            <v>0.1137078223</v>
          </cell>
          <cell r="Z321">
            <v>0.1154900558</v>
          </cell>
          <cell r="AA321">
            <v>0.1173377982</v>
          </cell>
          <cell r="AB321">
            <v>0.1192177957</v>
          </cell>
          <cell r="AC321">
            <v>0.12112410329999999</v>
          </cell>
          <cell r="AD321">
            <v>0.1230554322</v>
          </cell>
          <cell r="AE321">
            <v>0.1247896</v>
          </cell>
          <cell r="AF321">
            <v>0.12656885370000001</v>
          </cell>
          <cell r="AG321">
            <v>0.12835656349999999</v>
          </cell>
          <cell r="AH321">
            <v>0.1301504778</v>
          </cell>
          <cell r="AI321">
            <v>0.1319537673</v>
          </cell>
          <cell r="AJ321">
            <v>0.1337700537</v>
          </cell>
          <cell r="AK321">
            <v>0.13560254590000001</v>
          </cell>
          <cell r="AL321">
            <v>0.1374539209</v>
          </cell>
          <cell r="AM321">
            <v>0.13932634529999999</v>
          </cell>
          <cell r="AN321">
            <v>0.14122152739999999</v>
          </cell>
          <cell r="AO321">
            <v>0.143140778</v>
          </cell>
          <cell r="AP321">
            <v>0.1450312785</v>
          </cell>
          <cell r="AQ321">
            <v>0.14692367310000001</v>
          </cell>
          <cell r="AR321">
            <v>0.14882566729999999</v>
          </cell>
          <cell r="AS321">
            <v>0.15074092659999999</v>
          </cell>
          <cell r="AT321">
            <v>0.15267222590000001</v>
          </cell>
          <cell r="AU321">
            <v>0.1546076717</v>
          </cell>
          <cell r="AV321">
            <v>0.15655013970000001</v>
          </cell>
          <cell r="AW321">
            <v>0.15850674310000001</v>
          </cell>
          <cell r="AX321">
            <v>0.16048455519999999</v>
          </cell>
          <cell r="AY321">
            <v>0.1624890839</v>
          </cell>
          <cell r="AZ321">
            <v>0.16452893490000001</v>
          </cell>
          <cell r="BA321">
            <v>0.16660367870000001</v>
          </cell>
          <cell r="BB321">
            <v>0.16871394240000001</v>
          </cell>
          <cell r="BC321">
            <v>0.17086008229999999</v>
          </cell>
          <cell r="BD321">
            <v>0.1730421707</v>
          </cell>
          <cell r="BE321">
            <v>0.1973296433</v>
          </cell>
          <cell r="BF321">
            <v>0.2006222366</v>
          </cell>
          <cell r="BG321">
            <v>0.2039584817</v>
          </cell>
          <cell r="BH321">
            <v>0.20733960309999999</v>
          </cell>
          <cell r="BI321">
            <v>0.21076692059999999</v>
          </cell>
        </row>
        <row r="324">
          <cell r="E324" t="str">
            <v>CF_toe_cfut_0</v>
          </cell>
          <cell r="F324">
            <v>47.399293319999998</v>
          </cell>
          <cell r="G324">
            <v>47.580979149999997</v>
          </cell>
          <cell r="H324">
            <v>47.725825180000001</v>
          </cell>
          <cell r="I324">
            <v>47.940680989999997</v>
          </cell>
          <cell r="J324">
            <v>48.247606210000001</v>
          </cell>
          <cell r="K324">
            <v>48.638306100000001</v>
          </cell>
          <cell r="L324">
            <v>49.078875660000001</v>
          </cell>
          <cell r="M324">
            <v>49.563018030000002</v>
          </cell>
          <cell r="N324">
            <v>50.08089708</v>
          </cell>
          <cell r="O324">
            <v>50.624576060000003</v>
          </cell>
          <cell r="P324">
            <v>51.219809959999999</v>
          </cell>
          <cell r="Q324">
            <v>51.815363310000002</v>
          </cell>
          <cell r="R324">
            <v>52.419939550000002</v>
          </cell>
          <cell r="S324">
            <v>53.033498280000003</v>
          </cell>
          <cell r="T324">
            <v>53.654959230000003</v>
          </cell>
          <cell r="U324">
            <v>54.283445039999997</v>
          </cell>
          <cell r="V324">
            <v>54.918388620000002</v>
          </cell>
          <cell r="W324">
            <v>55.55945578</v>
          </cell>
          <cell r="X324">
            <v>56.206460370000002</v>
          </cell>
          <cell r="Y324">
            <v>56.859302749999998</v>
          </cell>
          <cell r="Z324">
            <v>57.494630710000003</v>
          </cell>
          <cell r="AA324">
            <v>58.147488109999998</v>
          </cell>
          <cell r="AB324">
            <v>58.809344969999998</v>
          </cell>
          <cell r="AC324">
            <v>59.478788979999997</v>
          </cell>
          <cell r="AD324">
            <v>60.155601240000003</v>
          </cell>
          <cell r="AE324">
            <v>60.772509999999997</v>
          </cell>
          <cell r="AF324">
            <v>61.398775839999999</v>
          </cell>
          <cell r="AG324">
            <v>62.025401649999999</v>
          </cell>
          <cell r="AH324">
            <v>62.65242628</v>
          </cell>
          <cell r="AI324">
            <v>63.281372410000003</v>
          </cell>
          <cell r="AJ324">
            <v>63.913799779999998</v>
          </cell>
          <cell r="AK324">
            <v>64.55101003</v>
          </cell>
          <cell r="AL324">
            <v>65.194006909999999</v>
          </cell>
          <cell r="AM324">
            <v>65.843527080000001</v>
          </cell>
          <cell r="AN324">
            <v>66.500091679999997</v>
          </cell>
          <cell r="AO324">
            <v>67.164059800000004</v>
          </cell>
          <cell r="AP324">
            <v>67.819508859999999</v>
          </cell>
          <cell r="AQ324">
            <v>68.474704669999994</v>
          </cell>
          <cell r="AR324">
            <v>69.131956250000002</v>
          </cell>
          <cell r="AS324">
            <v>69.792537719999999</v>
          </cell>
          <cell r="AT324">
            <v>70.45751147</v>
          </cell>
          <cell r="AU324">
            <v>71.125390719999999</v>
          </cell>
          <cell r="AV324">
            <v>71.798074069999998</v>
          </cell>
          <cell r="AW324">
            <v>72.477236959999999</v>
          </cell>
          <cell r="AX324">
            <v>73.163994430000002</v>
          </cell>
          <cell r="AY324">
            <v>73.859054259999994</v>
          </cell>
          <cell r="AZ324">
            <v>74.564339829999994</v>
          </cell>
          <cell r="BA324">
            <v>75.279439640000007</v>
          </cell>
          <cell r="BB324">
            <v>76.004390599999994</v>
          </cell>
          <cell r="BC324">
            <v>76.7392483</v>
          </cell>
          <cell r="BD324">
            <v>77.484020220000005</v>
          </cell>
          <cell r="BE324">
            <v>85.312169370000007</v>
          </cell>
          <cell r="BF324">
            <v>86.423256069999994</v>
          </cell>
          <cell r="BG324">
            <v>87.550619229999995</v>
          </cell>
          <cell r="BH324">
            <v>88.694809750000005</v>
          </cell>
          <cell r="BI324">
            <v>89.856421949999998</v>
          </cell>
        </row>
        <row r="327">
          <cell r="E327" t="str">
            <v>CF_toe_cfuh_0</v>
          </cell>
          <cell r="F327">
            <v>14.835711</v>
          </cell>
          <cell r="G327">
            <v>14.92918072</v>
          </cell>
          <cell r="H327">
            <v>14.9997186</v>
          </cell>
          <cell r="I327">
            <v>15.066798349999999</v>
          </cell>
          <cell r="J327">
            <v>15.137872099999999</v>
          </cell>
          <cell r="K327">
            <v>15.21419966</v>
          </cell>
          <cell r="L327">
            <v>15.29131935</v>
          </cell>
          <cell r="M327">
            <v>15.37349081</v>
          </cell>
          <cell r="N327">
            <v>15.46104077</v>
          </cell>
          <cell r="O327">
            <v>15.55342723</v>
          </cell>
          <cell r="P327">
            <v>15.6624347</v>
          </cell>
          <cell r="Q327">
            <v>15.76769854</v>
          </cell>
          <cell r="R327">
            <v>15.87383642</v>
          </cell>
          <cell r="S327">
            <v>15.9817725</v>
          </cell>
          <cell r="T327">
            <v>16.091732879999999</v>
          </cell>
          <cell r="U327">
            <v>16.203942319999999</v>
          </cell>
          <cell r="V327">
            <v>16.318597029999999</v>
          </cell>
          <cell r="W327">
            <v>16.435822460000001</v>
          </cell>
          <cell r="X327">
            <v>16.555668520000001</v>
          </cell>
          <cell r="Y327">
            <v>16.678127079999999</v>
          </cell>
          <cell r="Z327">
            <v>16.79422374</v>
          </cell>
          <cell r="AA327">
            <v>16.918102359999999</v>
          </cell>
          <cell r="AB327">
            <v>17.04602642</v>
          </cell>
          <cell r="AC327">
            <v>17.17704234</v>
          </cell>
          <cell r="AD327">
            <v>17.310836380000001</v>
          </cell>
          <cell r="AE327">
            <v>17.421861490000001</v>
          </cell>
          <cell r="AF327">
            <v>17.538431469999999</v>
          </cell>
          <cell r="AG327">
            <v>17.657001940000001</v>
          </cell>
          <cell r="AH327">
            <v>17.77708878</v>
          </cell>
          <cell r="AI327">
            <v>17.89879985</v>
          </cell>
          <cell r="AJ327">
            <v>18.02234786</v>
          </cell>
          <cell r="AK327">
            <v>18.147943219999998</v>
          </cell>
          <cell r="AL327">
            <v>18.275768540000001</v>
          </cell>
          <cell r="AM327">
            <v>18.405973800000002</v>
          </cell>
          <cell r="AN327">
            <v>18.538678010000002</v>
          </cell>
          <cell r="AO327">
            <v>18.673973409999999</v>
          </cell>
          <cell r="AP327">
            <v>18.80598561</v>
          </cell>
          <cell r="AQ327">
            <v>18.938234900000001</v>
          </cell>
          <cell r="AR327">
            <v>19.074008930000002</v>
          </cell>
          <cell r="AS327">
            <v>19.215182209999998</v>
          </cell>
          <cell r="AT327">
            <v>19.361884620000001</v>
          </cell>
          <cell r="AU327">
            <v>19.511588840000002</v>
          </cell>
          <cell r="AV327">
            <v>19.66263674</v>
          </cell>
          <cell r="AW327">
            <v>19.814035709999999</v>
          </cell>
          <cell r="AX327">
            <v>19.965812889999999</v>
          </cell>
          <cell r="AY327">
            <v>20.11867084</v>
          </cell>
          <cell r="AZ327">
            <v>20.274000000000001</v>
          </cell>
          <cell r="BA327">
            <v>20.43221647</v>
          </cell>
          <cell r="BB327">
            <v>20.59371243</v>
          </cell>
          <cell r="BC327">
            <v>20.758716159999999</v>
          </cell>
          <cell r="BD327">
            <v>20.927319690000001</v>
          </cell>
          <cell r="BE327">
            <v>23.453218750000001</v>
          </cell>
          <cell r="BF327">
            <v>23.723576749999999</v>
          </cell>
          <cell r="BG327">
            <v>23.998018949999999</v>
          </cell>
          <cell r="BH327">
            <v>24.276674310000001</v>
          </cell>
          <cell r="BI327">
            <v>24.559660640000001</v>
          </cell>
        </row>
        <row r="329">
          <cell r="E329" t="str">
            <v>CF_toe_cgas_0</v>
          </cell>
          <cell r="F329">
            <v>34.45703348</v>
          </cell>
          <cell r="G329">
            <v>34.740290199999997</v>
          </cell>
          <cell r="H329">
            <v>35.00361985</v>
          </cell>
          <cell r="I329">
            <v>35.273497720000002</v>
          </cell>
          <cell r="J329">
            <v>35.560104699999997</v>
          </cell>
          <cell r="K329">
            <v>35.863491170000003</v>
          </cell>
          <cell r="L329">
            <v>36.174839050000003</v>
          </cell>
          <cell r="M329">
            <v>36.506194729999997</v>
          </cell>
          <cell r="N329">
            <v>36.85700336</v>
          </cell>
          <cell r="O329">
            <v>37.224288450000003</v>
          </cell>
          <cell r="P329">
            <v>37.640125570000002</v>
          </cell>
          <cell r="Q329">
            <v>38.046634060000002</v>
          </cell>
          <cell r="R329">
            <v>38.456749719999998</v>
          </cell>
          <cell r="S329">
            <v>38.872618959999997</v>
          </cell>
          <cell r="T329">
            <v>39.29452457</v>
          </cell>
          <cell r="U329">
            <v>39.722650160000001</v>
          </cell>
          <cell r="V329">
            <v>40.157093519999997</v>
          </cell>
          <cell r="W329">
            <v>40.597854269999999</v>
          </cell>
          <cell r="X329">
            <v>41.044856129999999</v>
          </cell>
          <cell r="Y329">
            <v>41.497982</v>
          </cell>
          <cell r="Z329">
            <v>41.93171083</v>
          </cell>
          <cell r="AA329">
            <v>42.38624205</v>
          </cell>
          <cell r="AB329">
            <v>42.850806900000002</v>
          </cell>
          <cell r="AC329">
            <v>43.322977510000001</v>
          </cell>
          <cell r="AD329">
            <v>43.802051550000002</v>
          </cell>
          <cell r="AE329">
            <v>44.21517343</v>
          </cell>
          <cell r="AF329">
            <v>44.643072539999999</v>
          </cell>
          <cell r="AG329">
            <v>45.074927780000003</v>
          </cell>
          <cell r="AH329">
            <v>45.509559289999999</v>
          </cell>
          <cell r="AI329">
            <v>45.947463190000001</v>
          </cell>
          <cell r="AJ329">
            <v>46.389392469999997</v>
          </cell>
          <cell r="AK329">
            <v>46.836073880000001</v>
          </cell>
          <cell r="AL329">
            <v>47.288143480000002</v>
          </cell>
          <cell r="AM329">
            <v>47.746132490000001</v>
          </cell>
          <cell r="AN329">
            <v>48.21046896</v>
          </cell>
          <cell r="AO329">
            <v>48.681486550000002</v>
          </cell>
          <cell r="AP329">
            <v>49.142313739999999</v>
          </cell>
          <cell r="AQ329">
            <v>49.603031829999999</v>
          </cell>
          <cell r="AR329">
            <v>50.067939539999998</v>
          </cell>
          <cell r="AS329">
            <v>50.539174629999998</v>
          </cell>
          <cell r="AT329">
            <v>51.017211600000003</v>
          </cell>
          <cell r="AU329">
            <v>51.497227840000001</v>
          </cell>
          <cell r="AV329">
            <v>51.97566484</v>
          </cell>
          <cell r="AW329">
            <v>52.451246380000001</v>
          </cell>
          <cell r="AX329">
            <v>52.925619189999999</v>
          </cell>
          <cell r="AY329">
            <v>53.402075050000001</v>
          </cell>
          <cell r="AZ329">
            <v>53.885483649999998</v>
          </cell>
          <cell r="BA329">
            <v>54.377532600000002</v>
          </cell>
          <cell r="BB329">
            <v>54.879605120000001</v>
          </cell>
          <cell r="BC329">
            <v>55.392457319999998</v>
          </cell>
          <cell r="BD329">
            <v>55.916379939999999</v>
          </cell>
          <cell r="BE329">
            <v>60.695917489999999</v>
          </cell>
          <cell r="BF329">
            <v>61.493967240000003</v>
          </cell>
          <cell r="BG329">
            <v>62.303657729999998</v>
          </cell>
          <cell r="BH329">
            <v>63.125339080000003</v>
          </cell>
          <cell r="BI329">
            <v>63.959341160000001</v>
          </cell>
        </row>
        <row r="335">
          <cell r="E335" t="str">
            <v>CF_toe_cele_0</v>
          </cell>
          <cell r="F335">
            <v>37.993916310000003</v>
          </cell>
          <cell r="G335">
            <v>38.282338770000003</v>
          </cell>
          <cell r="H335">
            <v>38.539900899999999</v>
          </cell>
          <cell r="I335">
            <v>38.808145539999998</v>
          </cell>
          <cell r="J335">
            <v>39.101792699999997</v>
          </cell>
          <cell r="K335">
            <v>39.421850499999998</v>
          </cell>
          <cell r="L335">
            <v>39.749529160000002</v>
          </cell>
          <cell r="M335">
            <v>40.09266934</v>
          </cell>
          <cell r="N335">
            <v>40.450741469999997</v>
          </cell>
          <cell r="O335">
            <v>40.821930649999999</v>
          </cell>
          <cell r="P335">
            <v>41.238309139999998</v>
          </cell>
          <cell r="Q335">
            <v>41.645360910000001</v>
          </cell>
          <cell r="R335">
            <v>42.055554239999999</v>
          </cell>
          <cell r="S335">
            <v>42.471185310000003</v>
          </cell>
          <cell r="T335">
            <v>42.892690229999999</v>
          </cell>
          <cell r="U335">
            <v>43.320374530000002</v>
          </cell>
          <cell r="V335">
            <v>43.754491379999997</v>
          </cell>
          <cell r="W335">
            <v>44.195222649999998</v>
          </cell>
          <cell r="X335">
            <v>44.642691689999999</v>
          </cell>
          <cell r="Y335">
            <v>45.096994899999999</v>
          </cell>
          <cell r="Z335">
            <v>45.533384320000003</v>
          </cell>
          <cell r="AA335">
            <v>45.991081639999997</v>
          </cell>
          <cell r="AB335">
            <v>46.460301440000002</v>
          </cell>
          <cell r="AC335">
            <v>46.939036809999998</v>
          </cell>
          <cell r="AD335">
            <v>47.426896919999997</v>
          </cell>
          <cell r="AE335">
            <v>47.852441470000002</v>
          </cell>
          <cell r="AF335">
            <v>48.294240360000003</v>
          </cell>
          <cell r="AG335">
            <v>48.742831080000002</v>
          </cell>
          <cell r="AH335">
            <v>49.197723330000002</v>
          </cell>
          <cell r="AI335">
            <v>49.659977249999997</v>
          </cell>
          <cell r="AJ335">
            <v>50.130786280000002</v>
          </cell>
          <cell r="AK335">
            <v>50.611183820000001</v>
          </cell>
          <cell r="AL335">
            <v>51.101982589999999</v>
          </cell>
          <cell r="AM335">
            <v>51.603775069999998</v>
          </cell>
          <cell r="AN335">
            <v>52.116957210000002</v>
          </cell>
          <cell r="AO335">
            <v>52.641762649999997</v>
          </cell>
          <cell r="AP335">
            <v>53.161190980000001</v>
          </cell>
          <cell r="AQ335">
            <v>53.68486128</v>
          </cell>
          <cell r="AR335">
            <v>54.218191060000002</v>
          </cell>
          <cell r="AS335">
            <v>54.764151519999999</v>
          </cell>
          <cell r="AT335">
            <v>55.323478250000001</v>
          </cell>
          <cell r="AU335">
            <v>55.891813630000001</v>
          </cell>
          <cell r="AV335">
            <v>56.467229549999999</v>
          </cell>
          <cell r="AW335">
            <v>57.049793950000002</v>
          </cell>
          <cell r="AX335">
            <v>57.641038270000003</v>
          </cell>
          <cell r="AY335">
            <v>58.242991840000002</v>
          </cell>
          <cell r="AZ335">
            <v>58.85894124</v>
          </cell>
          <cell r="BA335">
            <v>59.489164469999999</v>
          </cell>
          <cell r="BB335">
            <v>60.133973099999999</v>
          </cell>
          <cell r="BC335">
            <v>60.793393190000003</v>
          </cell>
          <cell r="BD335">
            <v>61.467239890000002</v>
          </cell>
          <cell r="BE335">
            <v>65.412551059999998</v>
          </cell>
          <cell r="BF335">
            <v>66.296898889999994</v>
          </cell>
          <cell r="BG335">
            <v>67.196138849999997</v>
          </cell>
          <cell r="BH335">
            <v>68.110568479999998</v>
          </cell>
          <cell r="BI335">
            <v>69.040456840000004</v>
          </cell>
        </row>
        <row r="345">
          <cell r="E345" t="str">
            <v>CF_toe_chea_0</v>
          </cell>
          <cell r="F345">
            <v>5.1418492459999996</v>
          </cell>
          <cell r="G345">
            <v>5.2042125119999998</v>
          </cell>
          <cell r="H345">
            <v>5.2732984519999997</v>
          </cell>
          <cell r="I345">
            <v>5.3465106359999996</v>
          </cell>
          <cell r="J345">
            <v>5.4228407929999998</v>
          </cell>
          <cell r="K345">
            <v>5.5017682050000003</v>
          </cell>
          <cell r="L345">
            <v>5.5779074870000001</v>
          </cell>
          <cell r="M345">
            <v>5.6543193560000002</v>
          </cell>
          <cell r="N345">
            <v>5.7319968760000002</v>
          </cell>
          <cell r="O345">
            <v>5.8110585610000003</v>
          </cell>
          <cell r="P345">
            <v>5.8995609150000003</v>
          </cell>
          <cell r="Q345">
            <v>5.9841564470000002</v>
          </cell>
          <cell r="R345">
            <v>6.0677968699999996</v>
          </cell>
          <cell r="S345">
            <v>6.151507831</v>
          </cell>
          <cell r="T345">
            <v>6.2356461840000001</v>
          </cell>
          <cell r="U345">
            <v>6.3202301089999997</v>
          </cell>
          <cell r="V345">
            <v>6.4051667549999998</v>
          </cell>
          <cell r="W345">
            <v>6.4903591589999996</v>
          </cell>
          <cell r="X345">
            <v>6.575742913</v>
          </cell>
          <cell r="Y345">
            <v>6.6612896250000002</v>
          </cell>
          <cell r="Z345">
            <v>6.7413277320000002</v>
          </cell>
          <cell r="AA345">
            <v>6.8249691710000002</v>
          </cell>
          <cell r="AB345">
            <v>6.9100985420000001</v>
          </cell>
          <cell r="AC345">
            <v>6.9960086390000003</v>
          </cell>
          <cell r="AD345">
            <v>7.0824396700000003</v>
          </cell>
          <cell r="AE345">
            <v>7.1534836610000001</v>
          </cell>
          <cell r="AF345">
            <v>7.2270376059999997</v>
          </cell>
          <cell r="AG345">
            <v>7.3015541519999996</v>
          </cell>
          <cell r="AH345">
            <v>7.376654941</v>
          </cell>
          <cell r="AI345">
            <v>7.4522491469999999</v>
          </cell>
          <cell r="AJ345">
            <v>7.5283344019999996</v>
          </cell>
          <cell r="AK345">
            <v>7.604937606</v>
          </cell>
          <cell r="AL345">
            <v>7.6820923710000004</v>
          </cell>
          <cell r="AM345">
            <v>7.7598300580000004</v>
          </cell>
          <cell r="AN345">
            <v>7.8381772979999997</v>
          </cell>
          <cell r="AO345">
            <v>7.9171568859999999</v>
          </cell>
          <cell r="AP345">
            <v>7.993244818</v>
          </cell>
          <cell r="AQ345">
            <v>8.0685983809999993</v>
          </cell>
          <cell r="AR345">
            <v>8.1413899260000004</v>
          </cell>
          <cell r="AS345">
            <v>8.2106830370000008</v>
          </cell>
          <cell r="AT345">
            <v>8.2773360979999993</v>
          </cell>
          <cell r="AU345">
            <v>8.3423390850000008</v>
          </cell>
          <cell r="AV345">
            <v>8.4062303880000009</v>
          </cell>
          <cell r="AW345">
            <v>8.4694805730000002</v>
          </cell>
          <cell r="AX345">
            <v>8.5325758490000005</v>
          </cell>
          <cell r="AY345">
            <v>8.5959682599999994</v>
          </cell>
          <cell r="AZ345">
            <v>8.6603177670000004</v>
          </cell>
          <cell r="BA345">
            <v>8.725688366</v>
          </cell>
          <cell r="BB345">
            <v>8.7921574620000005</v>
          </cell>
          <cell r="BC345">
            <v>8.8597631850000003</v>
          </cell>
          <cell r="BD345">
            <v>8.9285087440000002</v>
          </cell>
          <cell r="BE345">
            <v>8.8248155520000005</v>
          </cell>
          <cell r="BF345">
            <v>8.9214467200000005</v>
          </cell>
          <cell r="BG345">
            <v>9.0193785480000006</v>
          </cell>
          <cell r="BH345">
            <v>9.1186607859999995</v>
          </cell>
          <cell r="BI345">
            <v>9.2193318049999995</v>
          </cell>
        </row>
        <row r="347">
          <cell r="E347" t="str">
            <v>CF_toe_cbio_0</v>
          </cell>
          <cell r="F347">
            <v>8.2068056120000001</v>
          </cell>
          <cell r="G347">
            <v>8.2277074740000007</v>
          </cell>
          <cell r="H347">
            <v>8.2234862379999996</v>
          </cell>
          <cell r="I347">
            <v>8.212272252</v>
          </cell>
          <cell r="J347">
            <v>8.2006975210000004</v>
          </cell>
          <cell r="K347">
            <v>8.1902718960000005</v>
          </cell>
          <cell r="L347">
            <v>8.178325375</v>
          </cell>
          <cell r="M347">
            <v>8.1668783539999996</v>
          </cell>
          <cell r="N347">
            <v>8.1566326789999994</v>
          </cell>
          <cell r="O347">
            <v>8.1477978520000001</v>
          </cell>
          <cell r="P347">
            <v>8.1457283789999995</v>
          </cell>
          <cell r="Q347">
            <v>8.1417820760000001</v>
          </cell>
          <cell r="R347">
            <v>8.1377223329999993</v>
          </cell>
          <cell r="S347">
            <v>8.1340301789999998</v>
          </cell>
          <cell r="T347">
            <v>8.1308787000000002</v>
          </cell>
          <cell r="U347">
            <v>8.1284702580000001</v>
          </cell>
          <cell r="V347">
            <v>8.126997223</v>
          </cell>
          <cell r="W347">
            <v>8.1266005000000003</v>
          </cell>
          <cell r="X347">
            <v>8.1273619630000002</v>
          </cell>
          <cell r="Y347">
            <v>8.1293167369999999</v>
          </cell>
          <cell r="Z347">
            <v>8.1287469219999995</v>
          </cell>
          <cell r="AA347">
            <v>8.1315296579999998</v>
          </cell>
          <cell r="AB347">
            <v>8.1362880430000004</v>
          </cell>
          <cell r="AC347">
            <v>8.1425608549999993</v>
          </cell>
          <cell r="AD347">
            <v>8.1501723740000003</v>
          </cell>
          <cell r="AE347">
            <v>8.1486436740000006</v>
          </cell>
          <cell r="AF347">
            <v>8.1494867529999997</v>
          </cell>
          <cell r="AG347">
            <v>8.1516860439999999</v>
          </cell>
          <cell r="AH347">
            <v>8.1550221769999993</v>
          </cell>
          <cell r="AI347">
            <v>8.1594740110000004</v>
          </cell>
          <cell r="AJ347">
            <v>8.1650761900000006</v>
          </cell>
          <cell r="AK347">
            <v>8.1718756589999995</v>
          </cell>
          <cell r="AL347">
            <v>8.1799156659999994</v>
          </cell>
          <cell r="AM347">
            <v>8.1892301060000001</v>
          </cell>
          <cell r="AN347">
            <v>8.1998426779999996</v>
          </cell>
          <cell r="AO347">
            <v>8.2117685779999992</v>
          </cell>
          <cell r="AP347">
            <v>8.2226702189999994</v>
          </cell>
          <cell r="AQ347">
            <v>8.2339079549999994</v>
          </cell>
          <cell r="AR347">
            <v>8.2482881839999997</v>
          </cell>
          <cell r="AS347">
            <v>8.2675239880000007</v>
          </cell>
          <cell r="AT347">
            <v>8.2916688430000001</v>
          </cell>
          <cell r="AU347">
            <v>8.3196333849999995</v>
          </cell>
          <cell r="AV347">
            <v>8.3498915359999994</v>
          </cell>
          <cell r="AW347">
            <v>8.3812971550000004</v>
          </cell>
          <cell r="AX347">
            <v>8.4133339370000009</v>
          </cell>
          <cell r="AY347">
            <v>8.4459408029999992</v>
          </cell>
          <cell r="AZ347">
            <v>8.4794565310000003</v>
          </cell>
          <cell r="BA347">
            <v>8.5139339510000003</v>
          </cell>
          <cell r="BB347">
            <v>8.5494570719999992</v>
          </cell>
          <cell r="BC347">
            <v>8.5860781839999998</v>
          </cell>
          <cell r="BD347">
            <v>8.6238150480000009</v>
          </cell>
          <cell r="BE347">
            <v>9.484807537</v>
          </cell>
          <cell r="BF347">
            <v>9.5424931760000007</v>
          </cell>
          <cell r="BG347">
            <v>9.6013940170000005</v>
          </cell>
          <cell r="BH347">
            <v>9.6615604289999997</v>
          </cell>
          <cell r="BI347">
            <v>9.7230260650000009</v>
          </cell>
        </row>
        <row r="350">
          <cell r="E350" t="str">
            <v>CF_toe_cote_0</v>
          </cell>
          <cell r="F350">
            <v>8.7305026960000003</v>
          </cell>
          <cell r="G350">
            <v>8.8401665410000003</v>
          </cell>
          <cell r="H350">
            <v>8.9617369769999993</v>
          </cell>
          <cell r="I350">
            <v>9.0925847710000003</v>
          </cell>
          <cell r="J350">
            <v>9.2315855599999992</v>
          </cell>
          <cell r="K350">
            <v>9.3777593489999997</v>
          </cell>
          <cell r="L350">
            <v>9.5236060140000003</v>
          </cell>
          <cell r="M350">
            <v>9.6729528679999994</v>
          </cell>
          <cell r="N350">
            <v>9.8260358839999995</v>
          </cell>
          <cell r="O350">
            <v>9.9826054890000009</v>
          </cell>
          <cell r="P350">
            <v>10.153903010000001</v>
          </cell>
          <cell r="Q350">
            <v>10.319976520000001</v>
          </cell>
          <cell r="R350">
            <v>10.487308860000001</v>
          </cell>
          <cell r="S350">
            <v>10.656866519999999</v>
          </cell>
          <cell r="T350">
            <v>10.828774429999999</v>
          </cell>
          <cell r="U350">
            <v>11.003050979999999</v>
          </cell>
          <cell r="V350">
            <v>11.179724999999999</v>
          </cell>
          <cell r="W350">
            <v>11.35884935</v>
          </cell>
          <cell r="X350">
            <v>11.54049625</v>
          </cell>
          <cell r="Y350">
            <v>11.724750480000001</v>
          </cell>
          <cell r="Z350">
            <v>11.903107200000001</v>
          </cell>
          <cell r="AA350">
            <v>12.090410739999999</v>
          </cell>
          <cell r="AB350">
            <v>12.281806230000001</v>
          </cell>
          <cell r="AC350">
            <v>12.47659262</v>
          </cell>
          <cell r="AD350">
            <v>12.674718370000001</v>
          </cell>
          <cell r="AE350">
            <v>12.85130449</v>
          </cell>
          <cell r="AF350">
            <v>13.037298140000001</v>
          </cell>
          <cell r="AG350">
            <v>13.22670383</v>
          </cell>
          <cell r="AH350">
            <v>13.41886032</v>
          </cell>
          <cell r="AI350">
            <v>13.613907920000001</v>
          </cell>
          <cell r="AJ350">
            <v>13.812071619999999</v>
          </cell>
          <cell r="AK350">
            <v>14.01353815</v>
          </cell>
          <cell r="AL350">
            <v>14.218435899999999</v>
          </cell>
          <cell r="AM350">
            <v>14.42683787</v>
          </cell>
          <cell r="AN350">
            <v>14.638771480000001</v>
          </cell>
          <cell r="AO350">
            <v>14.854230250000001</v>
          </cell>
          <cell r="AP350">
            <v>15.067092349999999</v>
          </cell>
          <cell r="AQ350">
            <v>15.281586819999999</v>
          </cell>
          <cell r="AR350">
            <v>15.498482129999999</v>
          </cell>
          <cell r="AS350">
            <v>15.71799496</v>
          </cell>
          <cell r="AT350">
            <v>15.9402493</v>
          </cell>
          <cell r="AU350">
            <v>16.16530199</v>
          </cell>
          <cell r="AV350">
            <v>16.39358017</v>
          </cell>
          <cell r="AW350">
            <v>16.625410559999999</v>
          </cell>
          <cell r="AX350">
            <v>16.860956309999999</v>
          </cell>
          <cell r="AY350">
            <v>17.100269579999999</v>
          </cell>
          <cell r="AZ350">
            <v>17.34390368</v>
          </cell>
          <cell r="BA350">
            <v>17.591438249999999</v>
          </cell>
          <cell r="BB350">
            <v>17.84276071</v>
          </cell>
          <cell r="BC350">
            <v>18.097806370000001</v>
          </cell>
          <cell r="BD350">
            <v>18.356518950000002</v>
          </cell>
          <cell r="BE350">
            <v>19.86262687</v>
          </cell>
          <cell r="BF350">
            <v>20.209381090000001</v>
          </cell>
          <cell r="BG350">
            <v>20.562112070000001</v>
          </cell>
          <cell r="BH350">
            <v>20.92091023</v>
          </cell>
          <cell r="BI350">
            <v>21.285867530000001</v>
          </cell>
        </row>
        <row r="353">
          <cell r="F353">
            <v>64.301440170000006</v>
          </cell>
          <cell r="G353">
            <v>64.336084330000006</v>
          </cell>
          <cell r="H353">
            <v>64.145511519999999</v>
          </cell>
          <cell r="I353">
            <v>63.947403770000001</v>
          </cell>
          <cell r="J353">
            <v>63.811244479999999</v>
          </cell>
          <cell r="K353">
            <v>63.748327570000001</v>
          </cell>
          <cell r="L353">
            <v>63.730823309999998</v>
          </cell>
          <cell r="M353">
            <v>63.751596200000002</v>
          </cell>
          <cell r="N353">
            <v>63.800604679999999</v>
          </cell>
          <cell r="O353">
            <v>63.869186849999998</v>
          </cell>
          <cell r="P353">
            <v>63.980496590000001</v>
          </cell>
          <cell r="Q353">
            <v>64.086701390000002</v>
          </cell>
          <cell r="R353">
            <v>64.192856680000006</v>
          </cell>
          <cell r="S353">
            <v>64.300830340000005</v>
          </cell>
          <cell r="T353">
            <v>64.411139489999996</v>
          </cell>
          <cell r="U353">
            <v>64.523767789999994</v>
          </cell>
          <cell r="V353">
            <v>64.638843039999998</v>
          </cell>
          <cell r="W353">
            <v>64.756226359999999</v>
          </cell>
          <cell r="X353">
            <v>64.875857710000005</v>
          </cell>
          <cell r="Y353">
            <v>64.997793650000006</v>
          </cell>
          <cell r="Z353">
            <v>65.102521830000001</v>
          </cell>
          <cell r="AA353">
            <v>65.219381369999994</v>
          </cell>
          <cell r="AB353">
            <v>65.343390299999996</v>
          </cell>
          <cell r="AC353">
            <v>65.472190479999995</v>
          </cell>
          <cell r="AD353">
            <v>65.604600439999999</v>
          </cell>
          <cell r="AE353">
            <v>65.686136309999995</v>
          </cell>
          <cell r="AF353">
            <v>65.770775159999999</v>
          </cell>
          <cell r="AG353">
            <v>65.856555689999993</v>
          </cell>
          <cell r="AH353">
            <v>65.942591870000001</v>
          </cell>
          <cell r="AI353">
            <v>66.028566850000004</v>
          </cell>
          <cell r="AJ353">
            <v>66.114440250000001</v>
          </cell>
          <cell r="AK353">
            <v>66.200210760000004</v>
          </cell>
          <cell r="AL353">
            <v>66.286019539999998</v>
          </cell>
          <cell r="AM353">
            <v>66.372035960000005</v>
          </cell>
          <cell r="AN353">
            <v>66.458421909999998</v>
          </cell>
          <cell r="AO353">
            <v>66.545327529999994</v>
          </cell>
          <cell r="AP353">
            <v>66.620588280000007</v>
          </cell>
          <cell r="AQ353">
            <v>66.690043610000004</v>
          </cell>
          <cell r="AR353">
            <v>66.75676043</v>
          </cell>
          <cell r="AS353">
            <v>66.822371390000001</v>
          </cell>
          <cell r="AT353">
            <v>66.887787070000002</v>
          </cell>
          <cell r="AU353">
            <v>66.953436330000002</v>
          </cell>
          <cell r="AV353">
            <v>67.01972078</v>
          </cell>
          <cell r="AW353">
            <v>67.086970930000007</v>
          </cell>
          <cell r="AX353">
            <v>67.155441850000003</v>
          </cell>
          <cell r="AY353">
            <v>67.225323380000006</v>
          </cell>
          <cell r="AZ353">
            <v>67.295934750000001</v>
          </cell>
          <cell r="BA353">
            <v>67.366615949999996</v>
          </cell>
          <cell r="BB353">
            <v>67.437275459999995</v>
          </cell>
          <cell r="BC353">
            <v>67.507963880000005</v>
          </cell>
          <cell r="BD353">
            <v>67.578791710000004</v>
          </cell>
          <cell r="BE353">
            <v>64.419719540000003</v>
          </cell>
          <cell r="BF353">
            <v>64.521376770000003</v>
          </cell>
          <cell r="BG353">
            <v>64.626029189999997</v>
          </cell>
          <cell r="BH353">
            <v>64.733579050000003</v>
          </cell>
          <cell r="BI353">
            <v>64.844110799999996</v>
          </cell>
        </row>
        <row r="354">
          <cell r="F354">
            <v>42.52087744</v>
          </cell>
          <cell r="G354">
            <v>42.833507409999996</v>
          </cell>
          <cell r="H354">
            <v>42.783074520000007</v>
          </cell>
          <cell r="I354">
            <v>42.631935370000001</v>
          </cell>
          <cell r="J354">
            <v>42.479195969999999</v>
          </cell>
          <cell r="K354">
            <v>42.355510889999998</v>
          </cell>
          <cell r="L354">
            <v>42.248297090000001</v>
          </cell>
          <cell r="M354">
            <v>42.158787539999999</v>
          </cell>
          <cell r="N354">
            <v>42.08258395</v>
          </cell>
          <cell r="O354">
            <v>42.014906680000003</v>
          </cell>
          <cell r="P354">
            <v>41.977206209999999</v>
          </cell>
          <cell r="Q354">
            <v>41.928350009999996</v>
          </cell>
          <cell r="R354">
            <v>41.874992470000002</v>
          </cell>
          <cell r="S354">
            <v>41.820289070000001</v>
          </cell>
          <cell r="T354">
            <v>41.765730820000002</v>
          </cell>
          <cell r="U354">
            <v>41.712008560000001</v>
          </cell>
          <cell r="V354">
            <v>41.659755939999997</v>
          </cell>
          <cell r="W354">
            <v>41.609196020000006</v>
          </cell>
          <cell r="X354">
            <v>41.560534450000006</v>
          </cell>
          <cell r="Y354">
            <v>41.514031619999997</v>
          </cell>
          <cell r="Z354">
            <v>41.453491479999997</v>
          </cell>
          <cell r="AA354">
            <v>41.405018590000005</v>
          </cell>
          <cell r="AB354">
            <v>41.363681110000002</v>
          </cell>
          <cell r="AC354">
            <v>41.327126649999997</v>
          </cell>
          <cell r="AD354">
            <v>41.294202820000002</v>
          </cell>
          <cell r="AE354">
            <v>41.219332829999999</v>
          </cell>
          <cell r="AF354">
            <v>41.151282399999999</v>
          </cell>
          <cell r="AG354">
            <v>41.087726240000002</v>
          </cell>
          <cell r="AH354">
            <v>41.027244170000003</v>
          </cell>
          <cell r="AI354">
            <v>40.968957259999996</v>
          </cell>
          <cell r="AJ354">
            <v>40.912314100000003</v>
          </cell>
          <cell r="AK354">
            <v>40.856882929999998</v>
          </cell>
          <cell r="AL354">
            <v>40.802457539999999</v>
          </cell>
          <cell r="AM354">
            <v>40.748930819999998</v>
          </cell>
          <cell r="AN354">
            <v>40.696241860000001</v>
          </cell>
          <cell r="AO354">
            <v>40.644355689999998</v>
          </cell>
          <cell r="AP354">
            <v>40.582934409999993</v>
          </cell>
          <cell r="AQ354">
            <v>40.517536770000007</v>
          </cell>
          <cell r="AR354">
            <v>40.450919670000005</v>
          </cell>
          <cell r="AS354">
            <v>40.384358399999996</v>
          </cell>
          <cell r="AT354">
            <v>40.318386049999994</v>
          </cell>
          <cell r="AU354">
            <v>40.253065360000001</v>
          </cell>
          <cell r="AV354">
            <v>40.188467930000002</v>
          </cell>
          <cell r="AW354">
            <v>40.124642710000003</v>
          </cell>
          <cell r="AX354">
            <v>40.061614329999998</v>
          </cell>
          <cell r="AY354">
            <v>39.99939071</v>
          </cell>
          <cell r="AZ354">
            <v>39.93696121</v>
          </cell>
          <cell r="BA354">
            <v>39.873613420000005</v>
          </cell>
          <cell r="BB354">
            <v>39.809586189999997</v>
          </cell>
          <cell r="BC354">
            <v>39.745289110000002</v>
          </cell>
          <cell r="BD354">
            <v>39.681057380000006</v>
          </cell>
          <cell r="BE354">
            <v>34.849368820000002</v>
          </cell>
          <cell r="BF354">
            <v>34.745864249999997</v>
          </cell>
          <cell r="BG354">
            <v>34.643640210000001</v>
          </cell>
          <cell r="BH354">
            <v>34.542457280000001</v>
          </cell>
          <cell r="BI354">
            <v>34.442238750000001</v>
          </cell>
        </row>
        <row r="362">
          <cell r="F362">
            <v>21.78056273</v>
          </cell>
          <cell r="G362">
            <v>21.502576920000003</v>
          </cell>
          <cell r="H362">
            <v>21.362437</v>
          </cell>
          <cell r="I362">
            <v>21.315468410000001</v>
          </cell>
          <cell r="J362">
            <v>21.33204851</v>
          </cell>
          <cell r="K362">
            <v>21.392816679999999</v>
          </cell>
          <cell r="L362">
            <v>21.48252622</v>
          </cell>
          <cell r="M362">
            <v>21.592808659999999</v>
          </cell>
          <cell r="N362">
            <v>21.718020729999999</v>
          </cell>
          <cell r="O362">
            <v>21.854280160000002</v>
          </cell>
          <cell r="P362">
            <v>22.003290379999999</v>
          </cell>
          <cell r="Q362">
            <v>22.158351379999999</v>
          </cell>
          <cell r="R362">
            <v>22.31786421</v>
          </cell>
          <cell r="S362">
            <v>22.48054127</v>
          </cell>
          <cell r="T362">
            <v>22.645408660000001</v>
          </cell>
          <cell r="U362">
            <v>22.81175923</v>
          </cell>
          <cell r="V362">
            <v>22.979087100000001</v>
          </cell>
          <cell r="W362">
            <v>23.147030340000001</v>
          </cell>
          <cell r="X362">
            <v>23.315323260000003</v>
          </cell>
          <cell r="Y362">
            <v>23.483762039999998</v>
          </cell>
          <cell r="Z362">
            <v>23.64903035</v>
          </cell>
          <cell r="AA362">
            <v>23.81436278</v>
          </cell>
          <cell r="AB362">
            <v>23.979709190000001</v>
          </cell>
          <cell r="AC362">
            <v>24.145063820000001</v>
          </cell>
          <cell r="AD362">
            <v>24.31039762</v>
          </cell>
          <cell r="AE362">
            <v>24.466803479999999</v>
          </cell>
          <cell r="AF362">
            <v>24.61949276</v>
          </cell>
          <cell r="AG362">
            <v>24.768829449999998</v>
          </cell>
          <cell r="AH362">
            <v>24.915347699999998</v>
          </cell>
          <cell r="AI362">
            <v>25.059609590000001</v>
          </cell>
          <cell r="AJ362">
            <v>25.202126149999998</v>
          </cell>
          <cell r="AK362">
            <v>25.34332783</v>
          </cell>
          <cell r="AL362">
            <v>25.483561989999998</v>
          </cell>
          <cell r="AM362">
            <v>25.623105129999999</v>
          </cell>
          <cell r="AN362">
            <v>25.762180050000001</v>
          </cell>
          <cell r="AO362">
            <v>25.90097184</v>
          </cell>
          <cell r="AP362">
            <v>26.03765387</v>
          </cell>
          <cell r="AQ362">
            <v>26.17250684</v>
          </cell>
          <cell r="AR362">
            <v>26.30584077</v>
          </cell>
          <cell r="AS362">
            <v>26.438012989999997</v>
          </cell>
          <cell r="AT362">
            <v>26.569401020000001</v>
          </cell>
          <cell r="AU362">
            <v>26.700370969999998</v>
          </cell>
          <cell r="AV362">
            <v>26.831252850000002</v>
          </cell>
          <cell r="AW362">
            <v>26.96232822</v>
          </cell>
          <cell r="AX362">
            <v>27.093827519999998</v>
          </cell>
          <cell r="AY362">
            <v>27.225932670000002</v>
          </cell>
          <cell r="AZ362">
            <v>27.35897353</v>
          </cell>
          <cell r="BA362">
            <v>27.493002520000001</v>
          </cell>
          <cell r="BB362">
            <v>27.627689270000001</v>
          </cell>
          <cell r="BC362">
            <v>27.76267477</v>
          </cell>
          <cell r="BD362">
            <v>27.897734329999999</v>
          </cell>
          <cell r="BE362">
            <v>29.57035072</v>
          </cell>
          <cell r="BF362">
            <v>29.775512519999999</v>
          </cell>
          <cell r="BG362">
            <v>29.98238898</v>
          </cell>
          <cell r="BH362">
            <v>30.191121769999999</v>
          </cell>
          <cell r="BI362">
            <v>30.401872050000001</v>
          </cell>
        </row>
        <row r="366">
          <cell r="F366">
            <v>26.379269040000001</v>
          </cell>
          <cell r="G366">
            <v>26.691263429999999</v>
          </cell>
          <cell r="H366">
            <v>27.022738310000001</v>
          </cell>
          <cell r="I366">
            <v>27.375716430000001</v>
          </cell>
          <cell r="J366">
            <v>27.75047726</v>
          </cell>
          <cell r="K366">
            <v>28.145591830000001</v>
          </cell>
          <cell r="L366">
            <v>28.542948679999999</v>
          </cell>
          <cell r="M366">
            <v>28.94972971</v>
          </cell>
          <cell r="N366">
            <v>29.366442240000001</v>
          </cell>
          <cell r="O366">
            <v>29.792372050000001</v>
          </cell>
          <cell r="P366">
            <v>30.25469623</v>
          </cell>
          <cell r="Q366">
            <v>30.70792797</v>
          </cell>
          <cell r="R366">
            <v>31.16360207</v>
          </cell>
          <cell r="S366">
            <v>31.623786020000001</v>
          </cell>
          <cell r="T366">
            <v>32.088779619999997</v>
          </cell>
          <cell r="U366">
            <v>32.558664069999999</v>
          </cell>
          <cell r="V366">
            <v>33.033538100000001</v>
          </cell>
          <cell r="W366">
            <v>33.513656709999999</v>
          </cell>
          <cell r="X366">
            <v>33.999287340000002</v>
          </cell>
          <cell r="Y366">
            <v>34.490711300000001</v>
          </cell>
          <cell r="Z366">
            <v>34.967311580000001</v>
          </cell>
          <cell r="AA366">
            <v>35.462749330000001</v>
          </cell>
          <cell r="AB366">
            <v>35.968268260000002</v>
          </cell>
          <cell r="AC366">
            <v>36.482258899999998</v>
          </cell>
          <cell r="AD366">
            <v>37.004508029999997</v>
          </cell>
          <cell r="AE366">
            <v>37.474508649999997</v>
          </cell>
          <cell r="AF366">
            <v>37.960267360000003</v>
          </cell>
          <cell r="AG366">
            <v>38.4524635</v>
          </cell>
          <cell r="AH366">
            <v>38.950355100000003</v>
          </cell>
          <cell r="AI366">
            <v>39.454764220000001</v>
          </cell>
          <cell r="AJ366">
            <v>39.966612509999997</v>
          </cell>
          <cell r="AK366">
            <v>40.486635790000001</v>
          </cell>
          <cell r="AL366">
            <v>41.01531275</v>
          </cell>
          <cell r="AM366">
            <v>41.55293588</v>
          </cell>
          <cell r="AN366">
            <v>42.099652620000001</v>
          </cell>
          <cell r="AO366">
            <v>42.655511840000003</v>
          </cell>
          <cell r="AP366">
            <v>43.205889169999999</v>
          </cell>
          <cell r="AQ366">
            <v>43.75927867</v>
          </cell>
          <cell r="AR366">
            <v>44.317992420000003</v>
          </cell>
          <cell r="AS366">
            <v>44.88306686</v>
          </cell>
          <cell r="AT366">
            <v>45.45522699</v>
          </cell>
          <cell r="AU366">
            <v>46.035076760000003</v>
          </cell>
          <cell r="AV366">
            <v>46.623054260000004</v>
          </cell>
          <cell r="AW366">
            <v>47.219495639999998</v>
          </cell>
          <cell r="AX366">
            <v>47.824633210000002</v>
          </cell>
          <cell r="AY366">
            <v>48.438613580000002</v>
          </cell>
          <cell r="AZ366">
            <v>49.064414669999998</v>
          </cell>
          <cell r="BA366">
            <v>49.701865429999998</v>
          </cell>
          <cell r="BB366">
            <v>50.350774029999997</v>
          </cell>
          <cell r="BC366">
            <v>51.010795039999998</v>
          </cell>
          <cell r="BD366">
            <v>51.681632999999998</v>
          </cell>
          <cell r="BE366">
            <v>55.400333269999997</v>
          </cell>
          <cell r="BF366">
            <v>56.275190469999998</v>
          </cell>
          <cell r="BG366">
            <v>57.165000159999998</v>
          </cell>
          <cell r="BH366">
            <v>58.070065749999998</v>
          </cell>
          <cell r="BI366">
            <v>58.990694609999998</v>
          </cell>
        </row>
        <row r="378">
          <cell r="F378">
            <v>4.9216962180000001</v>
          </cell>
          <cell r="G378">
            <v>4.9732832250000003</v>
          </cell>
          <cell r="H378">
            <v>5.0206145250000001</v>
          </cell>
          <cell r="I378">
            <v>5.0669122460000002</v>
          </cell>
          <cell r="J378">
            <v>5.1138805060000001</v>
          </cell>
          <cell r="K378">
            <v>5.162323464</v>
          </cell>
          <cell r="L378">
            <v>5.2085093809999998</v>
          </cell>
          <cell r="M378">
            <v>5.2555895809999997</v>
          </cell>
          <cell r="N378">
            <v>5.3041076880000002</v>
          </cell>
          <cell r="O378">
            <v>5.3541682039999996</v>
          </cell>
          <cell r="P378">
            <v>5.4127935740000002</v>
          </cell>
          <cell r="Q378">
            <v>5.4677714230000003</v>
          </cell>
          <cell r="R378">
            <v>5.5232243739999998</v>
          </cell>
          <cell r="S378">
            <v>5.5797204310000001</v>
          </cell>
          <cell r="T378">
            <v>5.6373099809999996</v>
          </cell>
          <cell r="U378">
            <v>5.6959338539999997</v>
          </cell>
          <cell r="V378">
            <v>5.7558403130000002</v>
          </cell>
          <cell r="W378">
            <v>5.8166641090000004</v>
          </cell>
          <cell r="X378">
            <v>5.8782786270000003</v>
          </cell>
          <cell r="Y378">
            <v>5.940599604</v>
          </cell>
          <cell r="Z378">
            <v>5.998549723</v>
          </cell>
          <cell r="AA378">
            <v>6.0609791819999996</v>
          </cell>
          <cell r="AB378">
            <v>6.1246732530000001</v>
          </cell>
          <cell r="AC378">
            <v>6.1891374819999996</v>
          </cell>
          <cell r="AD378">
            <v>6.2542735399999998</v>
          </cell>
          <cell r="AE378">
            <v>6.3058590219999999</v>
          </cell>
          <cell r="AF378">
            <v>6.3622833080000003</v>
          </cell>
          <cell r="AG378">
            <v>6.4197895520000001</v>
          </cell>
          <cell r="AH378">
            <v>6.4779667940000003</v>
          </cell>
          <cell r="AI378">
            <v>6.5368212669999997</v>
          </cell>
          <cell r="AJ378">
            <v>6.5964214290000003</v>
          </cell>
          <cell r="AK378">
            <v>6.6567475380000003</v>
          </cell>
          <cell r="AL378">
            <v>6.7179597400000004</v>
          </cell>
          <cell r="AM378">
            <v>6.7801452580000001</v>
          </cell>
          <cell r="AN378">
            <v>6.8433737920000004</v>
          </cell>
          <cell r="AO378">
            <v>6.9077020280000001</v>
          </cell>
          <cell r="AP378">
            <v>6.9689252870000002</v>
          </cell>
          <cell r="AQ378">
            <v>7.0303652269999999</v>
          </cell>
          <cell r="AR378">
            <v>7.0925699379999996</v>
          </cell>
          <cell r="AS378">
            <v>7.1556834790000003</v>
          </cell>
          <cell r="AT378">
            <v>7.2197644240000001</v>
          </cell>
          <cell r="AU378">
            <v>7.2846795289999999</v>
          </cell>
          <cell r="AV378">
            <v>7.3505698600000002</v>
          </cell>
          <cell r="AW378">
            <v>7.4174610080000001</v>
          </cell>
          <cell r="AX378">
            <v>7.4853609729999997</v>
          </cell>
          <cell r="AY378">
            <v>7.5542728219999997</v>
          </cell>
          <cell r="AZ378">
            <v>7.6188477380000004</v>
          </cell>
          <cell r="BA378">
            <v>7.6823406710000004</v>
          </cell>
          <cell r="BB378">
            <v>7.7469529100000001</v>
          </cell>
          <cell r="BC378">
            <v>7.8138063730000002</v>
          </cell>
          <cell r="BD378">
            <v>7.8833779389999998</v>
          </cell>
          <cell r="BE378">
            <v>10.89254086</v>
          </cell>
          <cell r="BF378">
            <v>11.071818240000001</v>
          </cell>
          <cell r="BG378">
            <v>11.25394421</v>
          </cell>
          <cell r="BH378">
            <v>11.439009499999999</v>
          </cell>
          <cell r="BI378">
            <v>11.62710313</v>
          </cell>
        </row>
        <row r="390">
          <cell r="F390">
            <v>44.245747209999998</v>
          </cell>
          <cell r="G390">
            <v>44.771013269999997</v>
          </cell>
          <cell r="H390">
            <v>45.351188100000002</v>
          </cell>
          <cell r="I390">
            <v>45.98341748</v>
          </cell>
          <cell r="J390">
            <v>46.66608093</v>
          </cell>
          <cell r="K390">
            <v>47.395638920000003</v>
          </cell>
          <cell r="L390">
            <v>48.136658079999997</v>
          </cell>
          <cell r="M390">
            <v>48.902873339999999</v>
          </cell>
          <cell r="N390">
            <v>49.694062539999997</v>
          </cell>
          <cell r="O390">
            <v>50.508038030000002</v>
          </cell>
          <cell r="P390">
            <v>51.396420489999997</v>
          </cell>
          <cell r="Q390">
            <v>52.27038031</v>
          </cell>
          <cell r="R390">
            <v>53.154033210000001</v>
          </cell>
          <cell r="S390">
            <v>54.050794830000001</v>
          </cell>
          <cell r="T390">
            <v>54.96067232</v>
          </cell>
          <cell r="U390">
            <v>55.883239519999997</v>
          </cell>
          <cell r="V390">
            <v>56.81817839</v>
          </cell>
          <cell r="W390">
            <v>57.765230440000003</v>
          </cell>
          <cell r="X390">
            <v>58.724313610000003</v>
          </cell>
          <cell r="Y390">
            <v>59.69547077</v>
          </cell>
          <cell r="Z390">
            <v>60.638528719999996</v>
          </cell>
          <cell r="AA390">
            <v>61.618922980000001</v>
          </cell>
          <cell r="AB390">
            <v>62.617824460000001</v>
          </cell>
          <cell r="AC390">
            <v>63.632163800000001</v>
          </cell>
          <cell r="AD390">
            <v>64.661597929999999</v>
          </cell>
          <cell r="AE390">
            <v>65.589319509999996</v>
          </cell>
          <cell r="AF390">
            <v>66.549025599999993</v>
          </cell>
          <cell r="AG390">
            <v>67.519184379999999</v>
          </cell>
          <cell r="AH390">
            <v>68.497963189999993</v>
          </cell>
          <cell r="AI390">
            <v>69.486727299999998</v>
          </cell>
          <cell r="AJ390">
            <v>70.487155310000006</v>
          </cell>
          <cell r="AK390">
            <v>71.500700730000005</v>
          </cell>
          <cell r="AL390">
            <v>72.528527209999993</v>
          </cell>
          <cell r="AM390">
            <v>73.571468080000002</v>
          </cell>
          <cell r="AN390">
            <v>74.630065529999996</v>
          </cell>
          <cell r="AO390">
            <v>75.704619359999995</v>
          </cell>
          <cell r="AP390">
            <v>76.766631930000003</v>
          </cell>
          <cell r="AQ390">
            <v>77.833435230000006</v>
          </cell>
          <cell r="AR390">
            <v>78.908891310000001</v>
          </cell>
          <cell r="AS390">
            <v>79.994447129999998</v>
          </cell>
          <cell r="AT390">
            <v>81.091053149999993</v>
          </cell>
          <cell r="AU390">
            <v>82.19946985</v>
          </cell>
          <cell r="AV390">
            <v>83.320364819999995</v>
          </cell>
          <cell r="AW390">
            <v>84.4542541</v>
          </cell>
          <cell r="AX390">
            <v>85.601523409999999</v>
          </cell>
          <cell r="AY390">
            <v>86.762449480000001</v>
          </cell>
          <cell r="AZ390">
            <v>87.934511369999996</v>
          </cell>
          <cell r="BA390">
            <v>89.118211520000003</v>
          </cell>
          <cell r="BB390">
            <v>90.317242210000003</v>
          </cell>
          <cell r="BC390">
            <v>91.534918809999994</v>
          </cell>
          <cell r="BD390">
            <v>92.773352380000006</v>
          </cell>
          <cell r="BE390">
            <v>101.8741746</v>
          </cell>
          <cell r="BF390">
            <v>103.62538499999999</v>
          </cell>
          <cell r="BG390">
            <v>105.40327739999999</v>
          </cell>
          <cell r="BH390">
            <v>107.20839049999999</v>
          </cell>
          <cell r="BI390">
            <v>109.0412402</v>
          </cell>
        </row>
        <row r="402">
          <cell r="F402">
            <v>22.504471179999999</v>
          </cell>
          <cell r="G402">
            <v>22.778291679999999</v>
          </cell>
          <cell r="H402">
            <v>23.0744668</v>
          </cell>
          <cell r="I402">
            <v>23.39535995</v>
          </cell>
          <cell r="J402">
            <v>23.742405179999999</v>
          </cell>
          <cell r="K402">
            <v>24.114533739999999</v>
          </cell>
          <cell r="L402">
            <v>24.494292860000002</v>
          </cell>
          <cell r="M402">
            <v>24.886605060000001</v>
          </cell>
          <cell r="N402">
            <v>25.291011229999999</v>
          </cell>
          <cell r="O402">
            <v>25.70637383</v>
          </cell>
          <cell r="P402">
            <v>26.15791201</v>
          </cell>
          <cell r="Q402">
            <v>26.60474185</v>
          </cell>
          <cell r="R402">
            <v>27.056102429999999</v>
          </cell>
          <cell r="S402">
            <v>27.51333795</v>
          </cell>
          <cell r="T402">
            <v>27.976446169999999</v>
          </cell>
          <cell r="U402">
            <v>28.445242759999999</v>
          </cell>
          <cell r="V402">
            <v>28.91952453</v>
          </cell>
          <cell r="W402">
            <v>29.399161809999999</v>
          </cell>
          <cell r="X402">
            <v>29.884052629999999</v>
          </cell>
          <cell r="Y402">
            <v>30.374124949999999</v>
          </cell>
          <cell r="Z402">
            <v>30.849657610000001</v>
          </cell>
          <cell r="AA402">
            <v>31.340667100000001</v>
          </cell>
          <cell r="AB402">
            <v>31.83979124</v>
          </cell>
          <cell r="AC402">
            <v>32.345691039999998</v>
          </cell>
          <cell r="AD402">
            <v>32.858110689999997</v>
          </cell>
          <cell r="AE402">
            <v>33.31990845</v>
          </cell>
          <cell r="AF402">
            <v>33.791093650000001</v>
          </cell>
          <cell r="AG402">
            <v>34.264205230000002</v>
          </cell>
          <cell r="AH402">
            <v>34.739227560000003</v>
          </cell>
          <cell r="AI402">
            <v>35.217338910000002</v>
          </cell>
          <cell r="AJ402">
            <v>35.699749679999996</v>
          </cell>
          <cell r="AK402">
            <v>36.187499649999999</v>
          </cell>
          <cell r="AL402">
            <v>36.681415149999999</v>
          </cell>
          <cell r="AM402">
            <v>37.182139890000002</v>
          </cell>
          <cell r="AN402">
            <v>37.69016027</v>
          </cell>
          <cell r="AO402">
            <v>38.205834170000003</v>
          </cell>
          <cell r="AP402">
            <v>38.715642019999997</v>
          </cell>
          <cell r="AQ402">
            <v>39.226864460000002</v>
          </cell>
          <cell r="AR402">
            <v>39.741617699999999</v>
          </cell>
          <cell r="AS402">
            <v>40.261017330000001</v>
          </cell>
          <cell r="AT402">
            <v>40.785920859999997</v>
          </cell>
          <cell r="AU402">
            <v>41.317060400000003</v>
          </cell>
          <cell r="AV402">
            <v>41.85502365</v>
          </cell>
          <cell r="AW402">
            <v>42.400279380000001</v>
          </cell>
          <cell r="AX402">
            <v>42.953185929999997</v>
          </cell>
          <cell r="AY402">
            <v>43.514008920000002</v>
          </cell>
          <cell r="AZ402">
            <v>44.079552030000002</v>
          </cell>
          <cell r="BA402">
            <v>44.648650920000001</v>
          </cell>
          <cell r="BB402">
            <v>45.222896499999997</v>
          </cell>
          <cell r="BC402">
            <v>45.804450869999997</v>
          </cell>
          <cell r="BD402">
            <v>46.395145790000001</v>
          </cell>
          <cell r="BE402">
            <v>51.378890849999998</v>
          </cell>
          <cell r="BF402">
            <v>52.228503259999997</v>
          </cell>
          <cell r="BG402">
            <v>53.091033299999999</v>
          </cell>
          <cell r="BH402">
            <v>53.966871159999997</v>
          </cell>
          <cell r="BI402">
            <v>54.856396529999998</v>
          </cell>
        </row>
        <row r="414">
          <cell r="F414">
            <v>64.301440170000006</v>
          </cell>
          <cell r="G414">
            <v>64.246862460000003</v>
          </cell>
          <cell r="H414">
            <v>63.987110510000001</v>
          </cell>
          <cell r="I414">
            <v>63.726781899999999</v>
          </cell>
          <cell r="J414">
            <v>63.5230277</v>
          </cell>
          <cell r="K414">
            <v>63.374323330000003</v>
          </cell>
          <cell r="L414">
            <v>63.269339819999999</v>
          </cell>
          <cell r="M414">
            <v>63.207349200000003</v>
          </cell>
          <cell r="N414">
            <v>63.179119729999996</v>
          </cell>
          <cell r="O414">
            <v>63.174972789999998</v>
          </cell>
          <cell r="P414">
            <v>63.216511509999997</v>
          </cell>
          <cell r="Q414">
            <v>63.254272620000002</v>
          </cell>
          <cell r="R414">
            <v>63.29205254</v>
          </cell>
          <cell r="S414">
            <v>63.330832270000002</v>
          </cell>
          <cell r="T414">
            <v>63.370926560000001</v>
          </cell>
          <cell r="U414">
            <v>63.413108770000001</v>
          </cell>
          <cell r="V414">
            <v>63.458096990000001</v>
          </cell>
          <cell r="W414">
            <v>63.506344970000001</v>
          </cell>
          <cell r="X414">
            <v>63.558024340000003</v>
          </cell>
          <cell r="Y414">
            <v>63.613086690000003</v>
          </cell>
          <cell r="Z414">
            <v>63.651788850000003</v>
          </cell>
          <cell r="AA414">
            <v>63.70291709</v>
          </cell>
          <cell r="AB414">
            <v>63.761115480000001</v>
          </cell>
          <cell r="AC414">
            <v>63.823782600000001</v>
          </cell>
          <cell r="AD414">
            <v>63.889644160000003</v>
          </cell>
          <cell r="AE414">
            <v>63.904536980000003</v>
          </cell>
          <cell r="AF414">
            <v>63.922360390000001</v>
          </cell>
          <cell r="AG414">
            <v>63.941205359999998</v>
          </cell>
          <cell r="AH414">
            <v>63.960270770000001</v>
          </cell>
          <cell r="AI414">
            <v>63.979396029999997</v>
          </cell>
          <cell r="AJ414">
            <v>63.9987475</v>
          </cell>
          <cell r="AK414">
            <v>64.018629349999998</v>
          </cell>
          <cell r="AL414">
            <v>64.039381629999994</v>
          </cell>
          <cell r="AM414">
            <v>64.061333739999995</v>
          </cell>
          <cell r="AN414">
            <v>64.084789939999993</v>
          </cell>
          <cell r="AO414">
            <v>64.110031480000004</v>
          </cell>
          <cell r="AP414">
            <v>64.125866650000006</v>
          </cell>
          <cell r="AQ414">
            <v>64.138072359999995</v>
          </cell>
          <cell r="AR414">
            <v>64.155596070000001</v>
          </cell>
          <cell r="AS414">
            <v>64.18423568</v>
          </cell>
          <cell r="AT414">
            <v>64.224990509999998</v>
          </cell>
          <cell r="AU414">
            <v>64.272332059999997</v>
          </cell>
          <cell r="AV414">
            <v>64.315504180000005</v>
          </cell>
          <cell r="AW414">
            <v>64.346826500000006</v>
          </cell>
          <cell r="AX414">
            <v>64.365162690000005</v>
          </cell>
          <cell r="AY414">
            <v>64.373963619999998</v>
          </cell>
          <cell r="AZ414">
            <v>64.378993750000006</v>
          </cell>
          <cell r="BA414">
            <v>64.384024229999994</v>
          </cell>
          <cell r="BB414">
            <v>64.391764679999994</v>
          </cell>
          <cell r="BC414">
            <v>64.40382382</v>
          </cell>
          <cell r="BD414">
            <v>64.420986940000006</v>
          </cell>
          <cell r="BE414">
            <v>66.181774820000001</v>
          </cell>
          <cell r="BF414">
            <v>66.315964530000002</v>
          </cell>
          <cell r="BG414">
            <v>66.452371409999998</v>
          </cell>
          <cell r="BH414">
            <v>66.591310300000004</v>
          </cell>
          <cell r="BI414">
            <v>66.732995119999998</v>
          </cell>
        </row>
        <row r="415">
          <cell r="F415">
            <v>42.52087745</v>
          </cell>
          <cell r="G415">
            <v>42.744238590000002</v>
          </cell>
          <cell r="H415">
            <v>42.624786749999998</v>
          </cell>
          <cell r="I415">
            <v>42.411738030000002</v>
          </cell>
          <cell r="J415">
            <v>42.191788109999997</v>
          </cell>
          <cell r="K415">
            <v>41.982727340000004</v>
          </cell>
          <cell r="L415">
            <v>41.788470429999997</v>
          </cell>
          <cell r="M415">
            <v>41.61668092</v>
          </cell>
          <cell r="N415">
            <v>41.463798400000002</v>
          </cell>
          <cell r="O415">
            <v>41.324046549999998</v>
          </cell>
          <cell r="P415">
            <v>41.217332570000003</v>
          </cell>
          <cell r="Q415">
            <v>41.100885890000001</v>
          </cell>
          <cell r="R415">
            <v>40.980087789999999</v>
          </cell>
          <cell r="S415">
            <v>40.857186929999997</v>
          </cell>
          <cell r="T415">
            <v>40.7334508</v>
          </cell>
          <cell r="U415">
            <v>40.610340999999998</v>
          </cell>
          <cell r="V415">
            <v>40.489064920000004</v>
          </cell>
          <cell r="W415">
            <v>40.370426770000002</v>
          </cell>
          <cell r="X415">
            <v>40.254857049999998</v>
          </cell>
          <cell r="Y415">
            <v>40.142507960000003</v>
          </cell>
          <cell r="Z415">
            <v>40.016951560000003</v>
          </cell>
          <cell r="AA415">
            <v>39.903745270000002</v>
          </cell>
          <cell r="AB415">
            <v>39.797588070000003</v>
          </cell>
          <cell r="AC415">
            <v>39.695891659999994</v>
          </cell>
          <cell r="AD415">
            <v>39.59741855</v>
          </cell>
          <cell r="AE415">
            <v>39.456915309999999</v>
          </cell>
          <cell r="AF415">
            <v>39.323082630000002</v>
          </cell>
          <cell r="AG415">
            <v>39.193651639999999</v>
          </cell>
          <cell r="AH415">
            <v>39.067293549999995</v>
          </cell>
          <cell r="AI415">
            <v>38.94329123</v>
          </cell>
          <cell r="AJ415">
            <v>38.821303899999997</v>
          </cell>
          <cell r="AK415">
            <v>38.701208170000001</v>
          </cell>
          <cell r="AL415">
            <v>38.582998270000004</v>
          </cell>
          <cell r="AM415">
            <v>38.466727849999998</v>
          </cell>
          <cell r="AN415">
            <v>38.352478929999997</v>
          </cell>
          <cell r="AO415">
            <v>38.240348210000001</v>
          </cell>
          <cell r="AP415">
            <v>38.120973390000003</v>
          </cell>
          <cell r="AQ415">
            <v>37.999853409999993</v>
          </cell>
          <cell r="AR415">
            <v>37.885626819999999</v>
          </cell>
          <cell r="AS415">
            <v>37.783737739999999</v>
          </cell>
          <cell r="AT415">
            <v>37.694810740000001</v>
          </cell>
          <cell r="AU415">
            <v>37.612937659999993</v>
          </cell>
          <cell r="AV415">
            <v>37.52705503</v>
          </cell>
          <cell r="AW415">
            <v>37.429469079999997</v>
          </cell>
          <cell r="AX415">
            <v>37.319084029999999</v>
          </cell>
          <cell r="AY415">
            <v>37.199333639999999</v>
          </cell>
          <cell r="AZ415">
            <v>37.075719999999997</v>
          </cell>
          <cell r="BA415">
            <v>36.951876079999998</v>
          </cell>
          <cell r="BB415">
            <v>36.830354880000002</v>
          </cell>
          <cell r="BC415">
            <v>36.712617420000001</v>
          </cell>
          <cell r="BD415">
            <v>36.599324299999999</v>
          </cell>
          <cell r="BE415">
            <v>36.670255640000001</v>
          </cell>
          <cell r="BF415">
            <v>36.60359107</v>
          </cell>
          <cell r="BG415">
            <v>36.537648270000005</v>
          </cell>
          <cell r="BH415">
            <v>36.472608630000003</v>
          </cell>
          <cell r="BI415">
            <v>36.408537789999997</v>
          </cell>
        </row>
        <row r="423">
          <cell r="F423">
            <v>21.78056273</v>
          </cell>
          <cell r="G423">
            <v>21.502623870000001</v>
          </cell>
          <cell r="H423">
            <v>21.362323760000002</v>
          </cell>
          <cell r="I423">
            <v>21.31504387</v>
          </cell>
          <cell r="J423">
            <v>21.331239589999999</v>
          </cell>
          <cell r="K423">
            <v>21.391595980000002</v>
          </cell>
          <cell r="L423">
            <v>21.480869390000002</v>
          </cell>
          <cell r="M423">
            <v>21.590668280000003</v>
          </cell>
          <cell r="N423">
            <v>21.715321320000001</v>
          </cell>
          <cell r="O423">
            <v>21.850926229999999</v>
          </cell>
          <cell r="P423">
            <v>21.999178929999999</v>
          </cell>
          <cell r="Q423">
            <v>22.15338672</v>
          </cell>
          <cell r="R423">
            <v>22.311964760000002</v>
          </cell>
          <cell r="S423">
            <v>22.473645340000001</v>
          </cell>
          <cell r="T423">
            <v>22.637475760000001</v>
          </cell>
          <cell r="U423">
            <v>22.802767769999999</v>
          </cell>
          <cell r="V423">
            <v>22.969032070000001</v>
          </cell>
          <cell r="W423">
            <v>23.135918199999999</v>
          </cell>
          <cell r="X423">
            <v>23.303167289999998</v>
          </cell>
          <cell r="Y423">
            <v>23.47057873</v>
          </cell>
          <cell r="Z423">
            <v>23.634837300000001</v>
          </cell>
          <cell r="AA423">
            <v>23.799171820000002</v>
          </cell>
          <cell r="AB423">
            <v>23.963527410000001</v>
          </cell>
          <cell r="AC423">
            <v>24.12789094</v>
          </cell>
          <cell r="AD423">
            <v>24.292225609999999</v>
          </cell>
          <cell r="AE423">
            <v>24.447621680000001</v>
          </cell>
          <cell r="AF423">
            <v>24.59927777</v>
          </cell>
          <cell r="AG423">
            <v>24.747553719999999</v>
          </cell>
          <cell r="AH423">
            <v>24.892977219999999</v>
          </cell>
          <cell r="AI423">
            <v>25.036104809999998</v>
          </cell>
          <cell r="AJ423">
            <v>25.1774436</v>
          </cell>
          <cell r="AK423">
            <v>25.31742118</v>
          </cell>
          <cell r="AL423">
            <v>25.45638336</v>
          </cell>
          <cell r="AM423">
            <v>25.59460589</v>
          </cell>
          <cell r="AN423">
            <v>25.732310999999999</v>
          </cell>
          <cell r="AO423">
            <v>25.869683269999999</v>
          </cell>
          <cell r="AP423">
            <v>26.004893260000003</v>
          </cell>
          <cell r="AQ423">
            <v>26.138218949999999</v>
          </cell>
          <cell r="AR423">
            <v>26.269969249999999</v>
          </cell>
          <cell r="AS423">
            <v>26.400497940000001</v>
          </cell>
          <cell r="AT423">
            <v>26.53017977</v>
          </cell>
          <cell r="AU423">
            <v>26.6593944</v>
          </cell>
          <cell r="AV423">
            <v>26.788449149999998</v>
          </cell>
          <cell r="AW423">
            <v>26.917357420000002</v>
          </cell>
          <cell r="AX423">
            <v>27.046078659999999</v>
          </cell>
          <cell r="AY423">
            <v>27.17462999</v>
          </cell>
          <cell r="AZ423">
            <v>27.303273749999999</v>
          </cell>
          <cell r="BA423">
            <v>27.43214815</v>
          </cell>
          <cell r="BB423">
            <v>27.5614098</v>
          </cell>
          <cell r="BC423">
            <v>27.691206399999999</v>
          </cell>
          <cell r="BD423">
            <v>27.821662629999999</v>
          </cell>
          <cell r="BE423">
            <v>29.511519180000001</v>
          </cell>
          <cell r="BF423">
            <v>29.712373460000002</v>
          </cell>
          <cell r="BG423">
            <v>29.91472314</v>
          </cell>
          <cell r="BH423">
            <v>30.11870167</v>
          </cell>
          <cell r="BI423">
            <v>30.324457339999999</v>
          </cell>
        </row>
        <row r="427">
          <cell r="F427">
            <v>26.380502450000002</v>
          </cell>
          <cell r="G427">
            <v>26.69363237</v>
          </cell>
          <cell r="H427">
            <v>27.026169410000001</v>
          </cell>
          <cell r="I427">
            <v>27.380179559999998</v>
          </cell>
          <cell r="J427">
            <v>27.75610039</v>
          </cell>
          <cell r="K427">
            <v>28.15264741</v>
          </cell>
          <cell r="L427">
            <v>28.551729040000001</v>
          </cell>
          <cell r="M427">
            <v>28.96049154</v>
          </cell>
          <cell r="N427">
            <v>29.379399169999999</v>
          </cell>
          <cell r="O427">
            <v>29.807701869999999</v>
          </cell>
          <cell r="P427">
            <v>30.272577909999999</v>
          </cell>
          <cell r="Q427">
            <v>30.728529000000002</v>
          </cell>
          <cell r="R427">
            <v>31.18706808</v>
          </cell>
          <cell r="S427">
            <v>31.65026576</v>
          </cell>
          <cell r="T427">
            <v>32.118426929999998</v>
          </cell>
          <cell r="U427">
            <v>32.591633049999999</v>
          </cell>
          <cell r="V427">
            <v>33.070021689999997</v>
          </cell>
          <cell r="W427">
            <v>33.553804990000003</v>
          </cell>
          <cell r="X427">
            <v>34.043241559999998</v>
          </cell>
          <cell r="Y427">
            <v>34.538609399999999</v>
          </cell>
          <cell r="Z427">
            <v>35.01924726</v>
          </cell>
          <cell r="AA427">
            <v>35.518885679999997</v>
          </cell>
          <cell r="AB427">
            <v>36.02874654</v>
          </cell>
          <cell r="AC427">
            <v>36.547217490000001</v>
          </cell>
          <cell r="AD427">
            <v>37.074086629999996</v>
          </cell>
          <cell r="AE427">
            <v>37.548686310000001</v>
          </cell>
          <cell r="AF427">
            <v>38.039196400000002</v>
          </cell>
          <cell r="AG427">
            <v>38.536284250000001</v>
          </cell>
          <cell r="AH427">
            <v>39.039208690000002</v>
          </cell>
          <cell r="AI427">
            <v>39.548795470000002</v>
          </cell>
          <cell r="AJ427">
            <v>40.065971050000002</v>
          </cell>
          <cell r="AK427">
            <v>40.591462929999999</v>
          </cell>
          <cell r="AL427">
            <v>41.125766570000003</v>
          </cell>
          <cell r="AM427">
            <v>41.669180330000003</v>
          </cell>
          <cell r="AN427">
            <v>42.221855580000003</v>
          </cell>
          <cell r="AO427">
            <v>42.78384458</v>
          </cell>
          <cell r="AP427">
            <v>43.340331999999997</v>
          </cell>
          <cell r="AQ427">
            <v>43.899964679999997</v>
          </cell>
          <cell r="AR427">
            <v>44.465055919999998</v>
          </cell>
          <cell r="AS427">
            <v>45.03662078</v>
          </cell>
          <cell r="AT427">
            <v>45.615372180000001</v>
          </cell>
          <cell r="AU427">
            <v>46.202955060000001</v>
          </cell>
          <cell r="AV427">
            <v>46.800289630000002</v>
          </cell>
          <cell r="AW427">
            <v>47.407753280000001</v>
          </cell>
          <cell r="AX427">
            <v>48.025421569999999</v>
          </cell>
          <cell r="AY427">
            <v>48.653277879999997</v>
          </cell>
          <cell r="AZ427">
            <v>49.292669629999999</v>
          </cell>
          <cell r="BA427">
            <v>49.942824999999999</v>
          </cell>
          <cell r="BB427">
            <v>50.60356668</v>
          </cell>
          <cell r="BC427">
            <v>51.274829850000003</v>
          </cell>
          <cell r="BD427">
            <v>51.956559480000003</v>
          </cell>
          <cell r="BE427">
            <v>55.493589890000003</v>
          </cell>
          <cell r="BF427">
            <v>56.373474880000003</v>
          </cell>
          <cell r="BG427">
            <v>57.26841727</v>
          </cell>
          <cell r="BH427">
            <v>58.178734579999997</v>
          </cell>
          <cell r="BI427">
            <v>59.104750869999997</v>
          </cell>
        </row>
        <row r="439">
          <cell r="F439">
            <v>4.9018418080000004</v>
          </cell>
          <cell r="G439">
            <v>4.9472254250000001</v>
          </cell>
          <cell r="H439">
            <v>4.989664715</v>
          </cell>
          <cell r="I439">
            <v>5.0308256839999999</v>
          </cell>
          <cell r="J439">
            <v>5.0722545229999998</v>
          </cell>
          <cell r="K439">
            <v>5.1147593369999997</v>
          </cell>
          <cell r="L439">
            <v>5.1546236609999996</v>
          </cell>
          <cell r="M439">
            <v>5.1950983449999999</v>
          </cell>
          <cell r="N439">
            <v>5.2367736650000003</v>
          </cell>
          <cell r="O439">
            <v>5.2797809740000003</v>
          </cell>
          <cell r="P439">
            <v>5.3310587590000003</v>
          </cell>
          <cell r="Q439">
            <v>5.3782448010000001</v>
          </cell>
          <cell r="R439">
            <v>5.4256564230000004</v>
          </cell>
          <cell r="S439">
            <v>5.4738744390000003</v>
          </cell>
          <cell r="T439">
            <v>5.5229412419999999</v>
          </cell>
          <cell r="U439">
            <v>5.5727892170000004</v>
          </cell>
          <cell r="V439">
            <v>5.623318029</v>
          </cell>
          <cell r="W439">
            <v>5.6744195260000003</v>
          </cell>
          <cell r="X439">
            <v>5.7259906650000003</v>
          </cell>
          <cell r="Y439">
            <v>5.7779412719999996</v>
          </cell>
          <cell r="Z439">
            <v>5.825321755</v>
          </cell>
          <cell r="AA439">
            <v>5.8767585650000003</v>
          </cell>
          <cell r="AB439">
            <v>5.9290840920000001</v>
          </cell>
          <cell r="AC439">
            <v>5.9818044959999996</v>
          </cell>
          <cell r="AD439">
            <v>6.0348140780000001</v>
          </cell>
          <cell r="AE439">
            <v>6.0743853950000002</v>
          </cell>
          <cell r="AF439">
            <v>6.1185028949999998</v>
          </cell>
          <cell r="AG439">
            <v>6.1633526569999999</v>
          </cell>
          <cell r="AH439">
            <v>6.2085086409999999</v>
          </cell>
          <cell r="AI439">
            <v>6.2539666570000003</v>
          </cell>
          <cell r="AJ439">
            <v>6.2997848779999996</v>
          </cell>
          <cell r="AK439">
            <v>6.3460337840000003</v>
          </cell>
          <cell r="AL439">
            <v>6.3927844890000003</v>
          </cell>
          <cell r="AM439">
            <v>6.4401028020000002</v>
          </cell>
          <cell r="AN439">
            <v>6.4880451529999998</v>
          </cell>
          <cell r="AO439">
            <v>6.5366559950000003</v>
          </cell>
          <cell r="AP439">
            <v>6.582856058</v>
          </cell>
          <cell r="AQ439">
            <v>6.6290980929999996</v>
          </cell>
          <cell r="AR439">
            <v>6.6758290669999996</v>
          </cell>
          <cell r="AS439">
            <v>6.7231785689999999</v>
          </cell>
          <cell r="AT439">
            <v>6.7711842539999996</v>
          </cell>
          <cell r="AU439">
            <v>6.8160030850000002</v>
          </cell>
          <cell r="AV439">
            <v>6.8597038530000001</v>
          </cell>
          <cell r="AW439">
            <v>6.9037969459999999</v>
          </cell>
          <cell r="AX439">
            <v>6.9490648430000004</v>
          </cell>
          <cell r="AY439">
            <v>6.9958457230000004</v>
          </cell>
          <cell r="AZ439">
            <v>7.0444987430000001</v>
          </cell>
          <cell r="BA439">
            <v>7.0947818619999996</v>
          </cell>
          <cell r="BB439">
            <v>7.146570466</v>
          </cell>
          <cell r="BC439">
            <v>7.1997472699999996</v>
          </cell>
          <cell r="BD439">
            <v>7.254201772</v>
          </cell>
          <cell r="BE439">
            <v>10.78471672</v>
          </cell>
          <cell r="BF439">
            <v>10.958941790000001</v>
          </cell>
          <cell r="BG439">
            <v>11.13593225</v>
          </cell>
          <cell r="BH439">
            <v>11.315761910000001</v>
          </cell>
          <cell r="BI439">
            <v>11.498509670000001</v>
          </cell>
        </row>
        <row r="451">
          <cell r="F451">
            <v>44.245240760000002</v>
          </cell>
          <cell r="G451">
            <v>44.773603700000002</v>
          </cell>
          <cell r="H451">
            <v>45.357763400000003</v>
          </cell>
          <cell r="I451">
            <v>45.993532000000002</v>
          </cell>
          <cell r="J451">
            <v>46.678901779999997</v>
          </cell>
          <cell r="K451">
            <v>47.410557949999998</v>
          </cell>
          <cell r="L451">
            <v>48.153377339999999</v>
          </cell>
          <cell r="M451">
            <v>48.921465329999997</v>
          </cell>
          <cell r="N451">
            <v>49.714895730000002</v>
          </cell>
          <cell r="O451">
            <v>50.531670869999999</v>
          </cell>
          <cell r="P451">
            <v>51.423525320000003</v>
          </cell>
          <cell r="Q451">
            <v>52.30159441</v>
          </cell>
          <cell r="R451">
            <v>53.190019229999997</v>
          </cell>
          <cell r="S451">
            <v>54.09217057</v>
          </cell>
          <cell r="T451">
            <v>55.00798503</v>
          </cell>
          <cell r="U451">
            <v>55.936954129999997</v>
          </cell>
          <cell r="V451">
            <v>56.878638649999999</v>
          </cell>
          <cell r="W451">
            <v>57.832746219999997</v>
          </cell>
          <cell r="X451">
            <v>58.799128549999999</v>
          </cell>
          <cell r="Y451">
            <v>59.777763649999997</v>
          </cell>
          <cell r="Z451">
            <v>60.728381210000002</v>
          </cell>
          <cell r="AA451">
            <v>61.716455609999997</v>
          </cell>
          <cell r="AB451">
            <v>62.72312179</v>
          </cell>
          <cell r="AC451">
            <v>63.745310570000001</v>
          </cell>
          <cell r="AD451">
            <v>64.782688710000002</v>
          </cell>
          <cell r="AE451">
            <v>65.718273150000002</v>
          </cell>
          <cell r="AF451">
            <v>66.685977449999996</v>
          </cell>
          <cell r="AG451">
            <v>67.664217399999998</v>
          </cell>
          <cell r="AH451">
            <v>68.651185769999998</v>
          </cell>
          <cell r="AI451">
            <v>69.648285119999997</v>
          </cell>
          <cell r="AJ451">
            <v>70.657226649999998</v>
          </cell>
          <cell r="AK451">
            <v>71.679498179999996</v>
          </cell>
          <cell r="AL451">
            <v>72.71626612</v>
          </cell>
          <cell r="AM451">
            <v>73.76837381</v>
          </cell>
          <cell r="AN451">
            <v>74.836372359999999</v>
          </cell>
          <cell r="AO451">
            <v>75.920566500000007</v>
          </cell>
          <cell r="AP451">
            <v>76.992478289999994</v>
          </cell>
          <cell r="AQ451">
            <v>78.06933119</v>
          </cell>
          <cell r="AR451">
            <v>79.154915220000007</v>
          </cell>
          <cell r="AS451">
            <v>80.250630599999994</v>
          </cell>
          <cell r="AT451">
            <v>81.357408179999993</v>
          </cell>
          <cell r="AU451">
            <v>82.472333250000005</v>
          </cell>
          <cell r="AV451">
            <v>83.597403439999994</v>
          </cell>
          <cell r="AW451">
            <v>84.735983439999998</v>
          </cell>
          <cell r="AX451">
            <v>85.890917860000002</v>
          </cell>
          <cell r="AY451">
            <v>87.064027530000004</v>
          </cell>
          <cell r="AZ451">
            <v>88.258836090000003</v>
          </cell>
          <cell r="BA451">
            <v>89.474054390000006</v>
          </cell>
          <cell r="BB451">
            <v>90.709262960000004</v>
          </cell>
          <cell r="BC451">
            <v>91.964092269999995</v>
          </cell>
          <cell r="BD451">
            <v>93.238159390000007</v>
          </cell>
          <cell r="BE451">
            <v>101.9694488</v>
          </cell>
          <cell r="BF451">
            <v>103.7202384</v>
          </cell>
          <cell r="BG451">
            <v>105.4971243</v>
          </cell>
          <cell r="BH451">
            <v>107.30059749999999</v>
          </cell>
          <cell r="BI451">
            <v>109.13117939999999</v>
          </cell>
        </row>
        <row r="463">
          <cell r="F463">
            <v>22.504124010000002</v>
          </cell>
          <cell r="G463">
            <v>22.778998919999999</v>
          </cell>
          <cell r="H463">
            <v>23.076997909999999</v>
          </cell>
          <cell r="I463">
            <v>23.39983325</v>
          </cell>
          <cell r="J463">
            <v>23.748542459999999</v>
          </cell>
          <cell r="K463">
            <v>24.12199764</v>
          </cell>
          <cell r="L463">
            <v>24.502766139999999</v>
          </cell>
          <cell r="M463">
            <v>24.895888339999999</v>
          </cell>
          <cell r="N463">
            <v>25.301054969999999</v>
          </cell>
          <cell r="O463">
            <v>25.717260169999999</v>
          </cell>
          <cell r="P463">
            <v>26.169828389999999</v>
          </cell>
          <cell r="Q463">
            <v>26.617954009999998</v>
          </cell>
          <cell r="R463">
            <v>27.070900340000001</v>
          </cell>
          <cell r="S463">
            <v>27.530013310000001</v>
          </cell>
          <cell r="T463">
            <v>27.99527269</v>
          </cell>
          <cell r="U463">
            <v>28.466459570000001</v>
          </cell>
          <cell r="V463">
            <v>28.943356789999999</v>
          </cell>
          <cell r="W463">
            <v>29.425777180000001</v>
          </cell>
          <cell r="X463">
            <v>29.913566370000002</v>
          </cell>
          <cell r="Y463">
            <v>30.406604250000001</v>
          </cell>
          <cell r="Z463">
            <v>30.885114389999998</v>
          </cell>
          <cell r="AA463">
            <v>31.379106029999999</v>
          </cell>
          <cell r="AB463">
            <v>31.881196790000001</v>
          </cell>
          <cell r="AC463">
            <v>32.390042440000002</v>
          </cell>
          <cell r="AD463">
            <v>32.905387810000001</v>
          </cell>
          <cell r="AE463">
            <v>33.370028550000001</v>
          </cell>
          <cell r="AF463">
            <v>33.844013959999998</v>
          </cell>
          <cell r="AG463">
            <v>34.319885990000003</v>
          </cell>
          <cell r="AH463">
            <v>34.797649489999998</v>
          </cell>
          <cell r="AI463">
            <v>35.278507019999999</v>
          </cell>
          <cell r="AJ463">
            <v>35.763690410000002</v>
          </cell>
          <cell r="AK463">
            <v>36.254247399999997</v>
          </cell>
          <cell r="AL463">
            <v>36.75101978</v>
          </cell>
          <cell r="AM463">
            <v>37.254662000000003</v>
          </cell>
          <cell r="AN463">
            <v>37.765668349999999</v>
          </cell>
          <cell r="AO463">
            <v>38.284401180000003</v>
          </cell>
          <cell r="AP463">
            <v>38.797238020000002</v>
          </cell>
          <cell r="AQ463">
            <v>39.311497809999999</v>
          </cell>
          <cell r="AR463">
            <v>39.829267160000001</v>
          </cell>
          <cell r="AS463">
            <v>40.351627880000002</v>
          </cell>
          <cell r="AT463">
            <v>40.879422210000001</v>
          </cell>
          <cell r="AU463">
            <v>41.410186349999996</v>
          </cell>
          <cell r="AV463">
            <v>41.944144700000003</v>
          </cell>
          <cell r="AW463">
            <v>42.483025050000002</v>
          </cell>
          <cell r="AX463">
            <v>43.028778160000002</v>
          </cell>
          <cell r="AY463">
            <v>43.582982489999999</v>
          </cell>
          <cell r="AZ463">
            <v>44.147961019999997</v>
          </cell>
          <cell r="BA463">
            <v>44.723684749999997</v>
          </cell>
          <cell r="BB463">
            <v>45.310274700000001</v>
          </cell>
          <cell r="BC463">
            <v>45.907742560000003</v>
          </cell>
          <cell r="BD463">
            <v>46.516011409999997</v>
          </cell>
          <cell r="BE463">
            <v>51.382038950000002</v>
          </cell>
          <cell r="BF463">
            <v>52.22979488</v>
          </cell>
          <cell r="BG463">
            <v>53.09019361</v>
          </cell>
          <cell r="BH463">
            <v>53.963593869999997</v>
          </cell>
          <cell r="BI463">
            <v>54.850373390000001</v>
          </cell>
        </row>
        <row r="1365">
          <cell r="E1365" t="str">
            <v>100*(GDP_2/GDP_0-1)</v>
          </cell>
          <cell r="F1365">
            <v>-3.3129620777838653E-3</v>
          </cell>
          <cell r="G1365">
            <v>-7.4184620303840987E-3</v>
          </cell>
          <cell r="H1365">
            <v>-9.7709146559710192E-3</v>
          </cell>
          <cell r="I1365">
            <v>-1.1441743838247476E-2</v>
          </cell>
          <cell r="J1365">
            <v>-1.357073211349924E-2</v>
          </cell>
          <cell r="K1365">
            <v>-1.6844562061102408E-2</v>
          </cell>
          <cell r="L1365">
            <v>-2.1284874844673674E-2</v>
          </cell>
          <cell r="M1365">
            <v>-2.6651526272658543E-2</v>
          </cell>
          <cell r="N1365">
            <v>-3.2609395107896511E-2</v>
          </cell>
          <cell r="O1365">
            <v>-3.8855456230690866E-2</v>
          </cell>
          <cell r="P1365">
            <v>-4.5176076367769991E-2</v>
          </cell>
          <cell r="Q1365">
            <v>-5.140095233483466E-2</v>
          </cell>
          <cell r="R1365">
            <v>-5.752430767723693E-2</v>
          </cell>
          <cell r="S1365">
            <v>-6.3563001358279969E-2</v>
          </cell>
          <cell r="T1365">
            <v>-6.9554779923897136E-2</v>
          </cell>
          <cell r="U1365">
            <v>-7.5533741013333877E-2</v>
          </cell>
          <cell r="V1365">
            <v>-8.1475786331164368E-2</v>
          </cell>
          <cell r="W1365">
            <v>-8.7463701250045656E-2</v>
          </cell>
          <cell r="X1365">
            <v>-9.3518932875391592E-2</v>
          </cell>
          <cell r="Y1365">
            <v>-9.9662322056981445E-2</v>
          </cell>
          <cell r="Z1365">
            <v>-0.10590040131611689</v>
          </cell>
          <cell r="AA1365">
            <v>-0.11224693396583163</v>
          </cell>
          <cell r="AB1365">
            <v>-0.11870726333252923</v>
          </cell>
          <cell r="AC1365">
            <v>-0.1252634967232269</v>
          </cell>
          <cell r="AD1365">
            <v>-0.13190145074433168</v>
          </cell>
          <cell r="AE1365">
            <v>-0.13858136327796755</v>
          </cell>
          <cell r="AF1365">
            <v>-0.14533582023349423</v>
          </cell>
          <cell r="AG1365">
            <v>-0.15215519037367065</v>
          </cell>
          <cell r="AH1365">
            <v>-0.15901066758456928</v>
          </cell>
          <cell r="AI1365">
            <v>-0.16587852307223816</v>
          </cell>
          <cell r="AJ1365">
            <v>-0.17274349299009062</v>
          </cell>
          <cell r="AK1365">
            <v>-0.17960907498832945</v>
          </cell>
          <cell r="AL1365">
            <v>-0.18645480216883392</v>
          </cell>
          <cell r="AM1365">
            <v>-0.1932781785741744</v>
          </cell>
          <cell r="AN1365">
            <v>-0.20007790793146185</v>
          </cell>
          <cell r="AO1365">
            <v>-0.20685529231833089</v>
          </cell>
          <cell r="AP1365">
            <v>-0.21370497996393567</v>
          </cell>
          <cell r="AQ1365">
            <v>-0.22047392009754141</v>
          </cell>
          <cell r="AR1365">
            <v>-0.22713621790417804</v>
          </cell>
          <cell r="AS1365">
            <v>-0.23364755674832871</v>
          </cell>
          <cell r="AT1365">
            <v>-0.23998658217985191</v>
          </cell>
          <cell r="AU1365">
            <v>-0.25228122981770795</v>
          </cell>
          <cell r="AV1365">
            <v>-0.27156653372331085</v>
          </cell>
          <cell r="AW1365">
            <v>-0.29635474208028478</v>
          </cell>
          <cell r="AX1365">
            <v>-0.32463134592483067</v>
          </cell>
          <cell r="AY1365">
            <v>-0.35478471627253816</v>
          </cell>
          <cell r="AZ1365">
            <v>-0.37755003181626501</v>
          </cell>
          <cell r="BA1365">
            <v>-0.39111551795038002</v>
          </cell>
          <cell r="BB1365">
            <v>-0.39751174905608977</v>
          </cell>
          <cell r="BC1365">
            <v>-0.39957018181934201</v>
          </cell>
          <cell r="BD1365">
            <v>-0.39954936175339295</v>
          </cell>
          <cell r="BE1365">
            <v>-0.17309504926293906</v>
          </cell>
          <cell r="BF1365">
            <v>-0.17504737969170625</v>
          </cell>
          <cell r="BG1365">
            <v>-0.17671713472687811</v>
          </cell>
          <cell r="BH1365">
            <v>-0.17817411467598854</v>
          </cell>
          <cell r="BI1365">
            <v>-0.17947550510799548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-4.1893181806806901E-3</v>
          </cell>
          <cell r="G1366">
            <v>-1.0085676909421526E-2</v>
          </cell>
          <cell r="H1366">
            <v>-1.3681641818752421E-2</v>
          </cell>
          <cell r="I1366">
            <v>-1.6375526916645455E-2</v>
          </cell>
          <cell r="J1366">
            <v>-1.9598967280942681E-2</v>
          </cell>
          <cell r="K1366">
            <v>-2.4230852256690305E-2</v>
          </cell>
          <cell r="L1366">
            <v>-3.0268427142132737E-2</v>
          </cell>
          <cell r="M1366">
            <v>-3.7444331392877395E-2</v>
          </cell>
          <cell r="N1366">
            <v>-4.5380924827909119E-2</v>
          </cell>
          <cell r="O1366">
            <v>-5.3725195300624584E-2</v>
          </cell>
          <cell r="P1366">
            <v>-6.221531069436903E-2</v>
          </cell>
          <cell r="Q1366">
            <v>-7.0636937228785168E-2</v>
          </cell>
          <cell r="R1366">
            <v>-7.8967937391594134E-2</v>
          </cell>
          <cell r="S1366">
            <v>-8.7208990218179405E-2</v>
          </cell>
          <cell r="T1366">
            <v>-9.5388696209353085E-2</v>
          </cell>
          <cell r="U1366">
            <v>-0.10353265399479783</v>
          </cell>
          <cell r="V1366">
            <v>-0.11160200146482779</v>
          </cell>
          <cell r="W1366">
            <v>-0.11969197144602317</v>
          </cell>
          <cell r="X1366">
            <v>-0.12782537403571714</v>
          </cell>
          <cell r="Y1366">
            <v>-0.13602899456328643</v>
          </cell>
          <cell r="Z1366">
            <v>-0.14431536872065998</v>
          </cell>
          <cell r="AA1366">
            <v>-0.15271160844675391</v>
          </cell>
          <cell r="AB1366">
            <v>-0.16122679697408993</v>
          </cell>
          <cell r="AC1366">
            <v>-0.16984569977074315</v>
          </cell>
          <cell r="AD1366">
            <v>-0.17855621049074344</v>
          </cell>
          <cell r="AE1366">
            <v>-0.187311389073197</v>
          </cell>
          <cell r="AF1366">
            <v>-0.19617168755329262</v>
          </cell>
          <cell r="AG1366">
            <v>-0.2051174805649203</v>
          </cell>
          <cell r="AH1366">
            <v>-0.21411622475667746</v>
          </cell>
          <cell r="AI1366">
            <v>-0.22313913949176811</v>
          </cell>
          <cell r="AJ1366">
            <v>-0.23216606432392428</v>
          </cell>
          <cell r="AK1366">
            <v>-0.2411991804273983</v>
          </cell>
          <cell r="AL1366">
            <v>-0.25021069087303172</v>
          </cell>
          <cell r="AM1366">
            <v>-0.2591959405943034</v>
          </cell>
          <cell r="AN1366">
            <v>-0.26815155859347684</v>
          </cell>
          <cell r="AO1366">
            <v>-0.2770776850521961</v>
          </cell>
          <cell r="AP1366">
            <v>-0.28608725764250886</v>
          </cell>
          <cell r="AQ1366">
            <v>-0.29499386490744461</v>
          </cell>
          <cell r="AR1366">
            <v>-0.30375036834157099</v>
          </cell>
          <cell r="AS1366">
            <v>-0.3122937590517183</v>
          </cell>
          <cell r="AT1366">
            <v>-0.32060138204440536</v>
          </cell>
          <cell r="AU1366">
            <v>-0.33621243506507525</v>
          </cell>
          <cell r="AV1366">
            <v>-0.36055601832718498</v>
          </cell>
          <cell r="AW1366">
            <v>-0.39201020406941511</v>
          </cell>
          <cell r="AX1366">
            <v>-0.42822623426284068</v>
          </cell>
          <cell r="AY1366">
            <v>-0.46724097409731602</v>
          </cell>
          <cell r="AZ1366">
            <v>-0.49762199558597286</v>
          </cell>
          <cell r="BA1366">
            <v>-0.51684933776342534</v>
          </cell>
          <cell r="BB1366">
            <v>-0.52704005943230436</v>
          </cell>
          <cell r="BC1366">
            <v>-0.53139827233954495</v>
          </cell>
          <cell r="BD1366">
            <v>-0.53258620814085056</v>
          </cell>
          <cell r="BE1366">
            <v>-0.23572931163051702</v>
          </cell>
          <cell r="BF1366">
            <v>-0.23913277799035848</v>
          </cell>
          <cell r="BG1366">
            <v>-0.24217281316902817</v>
          </cell>
          <cell r="BH1366">
            <v>-0.24492995704027409</v>
          </cell>
          <cell r="BI1366">
            <v>-0.24747210843392153</v>
          </cell>
        </row>
        <row r="1367">
          <cell r="E1367" t="str">
            <v>100*((CH_2-CH_0)/GDP_0)</v>
          </cell>
          <cell r="F1367">
            <v>-4.3048875720492112E-3</v>
          </cell>
          <cell r="G1367">
            <v>-7.0448956008102885E-3</v>
          </cell>
          <cell r="H1367">
            <v>-7.9136900661725493E-3</v>
          </cell>
          <cell r="I1367">
            <v>-7.9885760373490482E-3</v>
          </cell>
          <cell r="J1367">
            <v>-8.2805348702739093E-3</v>
          </cell>
          <cell r="K1367">
            <v>-9.2653999682696126E-3</v>
          </cell>
          <cell r="L1367">
            <v>-1.0902679886462451E-2</v>
          </cell>
          <cell r="M1367">
            <v>-1.2889354255126294E-2</v>
          </cell>
          <cell r="N1367">
            <v>-1.489677034930746E-2</v>
          </cell>
          <cell r="O1367">
            <v>-1.6688993907589839E-2</v>
          </cell>
          <cell r="P1367">
            <v>-1.8169560969940622E-2</v>
          </cell>
          <cell r="Q1367">
            <v>-1.9319377492983299E-2</v>
          </cell>
          <cell r="R1367">
            <v>-2.0198352170139721E-2</v>
          </cell>
          <cell r="S1367">
            <v>-2.091444829547311E-2</v>
          </cell>
          <cell r="T1367">
            <v>-2.1574455689823187E-2</v>
          </cell>
          <cell r="U1367">
            <v>-2.2264242146217587E-2</v>
          </cell>
          <cell r="V1367">
            <v>-2.3064199491702037E-2</v>
          </cell>
          <cell r="W1367">
            <v>-2.4011090357797079E-2</v>
          </cell>
          <cell r="X1367">
            <v>-2.5132778191810694E-2</v>
          </cell>
          <cell r="Y1367">
            <v>-2.6440246892906052E-2</v>
          </cell>
          <cell r="Z1367">
            <v>-2.7909911078996597E-2</v>
          </cell>
          <cell r="AA1367">
            <v>-2.955255010536055E-2</v>
          </cell>
          <cell r="AB1367">
            <v>-3.1336818631514163E-2</v>
          </cell>
          <cell r="AC1367">
            <v>-3.3226336015157128E-2</v>
          </cell>
          <cell r="AD1367">
            <v>-3.5190819518475781E-2</v>
          </cell>
          <cell r="AE1367">
            <v>-3.7142124376376151E-2</v>
          </cell>
          <cell r="AF1367">
            <v>-3.9116434412691768E-2</v>
          </cell>
          <cell r="AG1367">
            <v>-4.1100953429694005E-2</v>
          </cell>
          <cell r="AH1367">
            <v>-4.3066070622033166E-2</v>
          </cell>
          <cell r="AI1367">
            <v>-4.4995316422631049E-2</v>
          </cell>
          <cell r="AJ1367">
            <v>-4.6884200134155063E-2</v>
          </cell>
          <cell r="AK1367">
            <v>-4.8730445639703676E-2</v>
          </cell>
          <cell r="AL1367">
            <v>-5.0543373984678411E-2</v>
          </cell>
          <cell r="AM1367">
            <v>-5.2331794981360855E-2</v>
          </cell>
          <cell r="AN1367">
            <v>-5.4105537697662277E-2</v>
          </cell>
          <cell r="AO1367">
            <v>-5.587556003205333E-2</v>
          </cell>
          <cell r="AP1367">
            <v>-5.7575943879660182E-2</v>
          </cell>
          <cell r="AQ1367">
            <v>-5.9236680668363045E-2</v>
          </cell>
          <cell r="AR1367">
            <v>-6.0850737980110953E-2</v>
          </cell>
          <cell r="AS1367">
            <v>-6.2401661016708562E-2</v>
          </cell>
          <cell r="AT1367">
            <v>-6.3889340367313613E-2</v>
          </cell>
          <cell r="AU1367">
            <v>-6.920838654045193E-2</v>
          </cell>
          <cell r="AV1367">
            <v>-7.7732357719591555E-2</v>
          </cell>
          <cell r="AW1367">
            <v>-8.7335055292398961E-2</v>
          </cell>
          <cell r="AX1367">
            <v>-9.6162900443884342E-2</v>
          </cell>
          <cell r="AY1367">
            <v>-0.10320738805386684</v>
          </cell>
          <cell r="AZ1367">
            <v>-0.10295520131149018</v>
          </cell>
          <cell r="BA1367">
            <v>-9.660757286830754E-2</v>
          </cell>
          <cell r="BB1367">
            <v>-8.7605604906452861E-2</v>
          </cell>
          <cell r="BC1367">
            <v>-7.9022659450561472E-2</v>
          </cell>
          <cell r="BD1367">
            <v>-7.2680804265269017E-2</v>
          </cell>
          <cell r="BE1367">
            <v>2.4627260846567238E-2</v>
          </cell>
          <cell r="BF1367">
            <v>2.6598171712759654E-2</v>
          </cell>
          <cell r="BG1367">
            <v>2.8484324639781216E-2</v>
          </cell>
          <cell r="BH1367">
            <v>3.0234981441569546E-2</v>
          </cell>
          <cell r="BI1367">
            <v>3.1819722090826522E-2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-4.8369319045553816E-6</v>
          </cell>
          <cell r="G1368">
            <v>-5.783188897178696E-5</v>
          </cell>
          <cell r="H1368">
            <v>1.4716932211819827E-4</v>
          </cell>
          <cell r="I1368">
            <v>4.1953453472894607E-4</v>
          </cell>
          <cell r="J1368">
            <v>6.3852516090900327E-4</v>
          </cell>
          <cell r="K1368">
            <v>7.8195266369668229E-4</v>
          </cell>
          <cell r="L1368">
            <v>8.8917786567702421E-4</v>
          </cell>
          <cell r="M1368">
            <v>1.0066003152009676E-3</v>
          </cell>
          <cell r="N1368">
            <v>1.1604025777094582E-3</v>
          </cell>
          <cell r="O1368">
            <v>1.3532846067118931E-3</v>
          </cell>
          <cell r="P1368">
            <v>1.5714274027094869E-3</v>
          </cell>
          <cell r="Q1368">
            <v>1.7971641237145082E-3</v>
          </cell>
          <cell r="R1368">
            <v>2.0134863380121531E-3</v>
          </cell>
          <cell r="S1368">
            <v>2.2077608916683013E-3</v>
          </cell>
          <cell r="T1368">
            <v>2.3731974477565723E-3</v>
          </cell>
          <cell r="U1368">
            <v>2.5087534268073276E-3</v>
          </cell>
          <cell r="V1368">
            <v>2.6159250434933685E-3</v>
          </cell>
          <cell r="W1368">
            <v>2.69968000438536E-3</v>
          </cell>
          <cell r="X1368">
            <v>2.766035431865719E-3</v>
          </cell>
          <cell r="Y1368">
            <v>2.8205132443594365E-3</v>
          </cell>
          <cell r="Z1368">
            <v>2.8690938797136614E-3</v>
          </cell>
          <cell r="AA1368">
            <v>2.9156673659700783E-3</v>
          </cell>
          <cell r="AB1368">
            <v>2.9638359603060753E-3</v>
          </cell>
          <cell r="AC1368">
            <v>3.0166897319502742E-3</v>
          </cell>
          <cell r="AD1368">
            <v>3.0757995390844916E-3</v>
          </cell>
          <cell r="AE1368">
            <v>3.1440717142886087E-3</v>
          </cell>
          <cell r="AF1368">
            <v>3.2203793442019454E-3</v>
          </cell>
          <cell r="AG1368">
            <v>3.3031230913994477E-3</v>
          </cell>
          <cell r="AH1368">
            <v>3.3924382037272783E-3</v>
          </cell>
          <cell r="AI1368">
            <v>3.4877183570270229E-3</v>
          </cell>
          <cell r="AJ1368">
            <v>3.5875307783768151E-3</v>
          </cell>
          <cell r="AK1368">
            <v>3.6905195703408385E-3</v>
          </cell>
          <cell r="AL1368">
            <v>3.7951475941578562E-3</v>
          </cell>
          <cell r="AM1368">
            <v>3.9001669792199508E-3</v>
          </cell>
          <cell r="AN1368">
            <v>4.0048960404186684E-3</v>
          </cell>
          <cell r="AO1368">
            <v>4.1089747531065108E-3</v>
          </cell>
          <cell r="AP1368">
            <v>4.2158149175569115E-3</v>
          </cell>
          <cell r="AQ1368">
            <v>4.324609265033471E-3</v>
          </cell>
          <cell r="AR1368">
            <v>4.4344605853938379E-3</v>
          </cell>
          <cell r="AS1368">
            <v>4.5465091835906069E-3</v>
          </cell>
          <cell r="AT1368">
            <v>4.6605544905465018E-3</v>
          </cell>
          <cell r="AU1368">
            <v>4.7644219827456188E-3</v>
          </cell>
          <cell r="AV1368">
            <v>4.8787367469084438E-3</v>
          </cell>
          <cell r="AW1368">
            <v>5.1687636886064182E-3</v>
          </cell>
          <cell r="AX1368">
            <v>5.7113081233603948E-3</v>
          </cell>
          <cell r="AY1368">
            <v>6.4758814051914127E-3</v>
          </cell>
          <cell r="AZ1368">
            <v>7.3914662343448059E-3</v>
          </cell>
          <cell r="BA1368">
            <v>8.331039950803849E-3</v>
          </cell>
          <cell r="BB1368">
            <v>8.9992289589300601E-3</v>
          </cell>
          <cell r="BC1368">
            <v>9.2509147144178832E-3</v>
          </cell>
          <cell r="BD1368">
            <v>9.1107100289277397E-3</v>
          </cell>
          <cell r="BE1368">
            <v>6.2562576488679683E-3</v>
          </cell>
          <cell r="BF1368">
            <v>6.4977563843595931E-3</v>
          </cell>
          <cell r="BG1368">
            <v>6.7405093711651069E-3</v>
          </cell>
          <cell r="BH1368">
            <v>6.9831096687923509E-3</v>
          </cell>
          <cell r="BI1368">
            <v>7.2267607524996134E-3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</row>
        <row r="1370">
          <cell r="E1370" t="str">
            <v>100*((I_2-I_0)/GDP_0)</v>
          </cell>
          <cell r="F1370">
            <v>-2.0920457571416227E-3</v>
          </cell>
          <cell r="G1370">
            <v>-4.0892958132102974E-3</v>
          </cell>
          <cell r="H1370">
            <v>-5.817699695022778E-3</v>
          </cell>
          <cell r="I1370">
            <v>-7.2697049953884367E-3</v>
          </cell>
          <cell r="J1370">
            <v>-8.6810705770117048E-3</v>
          </cell>
          <cell r="K1370">
            <v>-1.0297020367778836E-2</v>
          </cell>
          <cell r="L1370">
            <v>-1.2230683220771765E-2</v>
          </cell>
          <cell r="M1370">
            <v>-1.4469152353820295E-2</v>
          </cell>
          <cell r="N1370">
            <v>-1.6943048073741501E-2</v>
          </cell>
          <cell r="O1370">
            <v>-1.9562361648394363E-2</v>
          </cell>
          <cell r="P1370">
            <v>-2.2237037876628986E-2</v>
          </cell>
          <cell r="Q1370">
            <v>-2.4940212422951288E-2</v>
          </cell>
          <cell r="R1370">
            <v>-2.7602792338712233E-2</v>
          </cell>
          <cell r="S1370">
            <v>-3.0205226498974294E-2</v>
          </cell>
          <cell r="T1370">
            <v>-3.2743270405165462E-2</v>
          </cell>
          <cell r="U1370">
            <v>-3.5219097170049493E-2</v>
          </cell>
          <cell r="V1370">
            <v>-3.7662432588379154E-2</v>
          </cell>
          <cell r="W1370">
            <v>-4.006101042675158E-2</v>
          </cell>
          <cell r="X1370">
            <v>-4.2422505404409561E-2</v>
          </cell>
          <cell r="Y1370">
            <v>-4.475790042328498E-2</v>
          </cell>
          <cell r="Z1370">
            <v>-4.7087328085801981E-2</v>
          </cell>
          <cell r="AA1370">
            <v>-4.9397362409380627E-2</v>
          </cell>
          <cell r="AB1370">
            <v>-5.1708970618471767E-2</v>
          </cell>
          <cell r="AC1370">
            <v>-5.4022001877015058E-2</v>
          </cell>
          <cell r="AD1370">
            <v>-5.6334884318993299E-2</v>
          </cell>
          <cell r="AE1370">
            <v>-5.8676003285951468E-2</v>
          </cell>
          <cell r="AF1370">
            <v>-6.0973419775732174E-2</v>
          </cell>
          <cell r="AG1370">
            <v>-6.3263381032839197E-2</v>
          </cell>
          <cell r="AH1370">
            <v>-6.5535974690908369E-2</v>
          </cell>
          <cell r="AI1370">
            <v>-6.7779054321121315E-2</v>
          </cell>
          <cell r="AJ1370">
            <v>-6.9981171289298039E-2</v>
          </cell>
          <cell r="AK1370">
            <v>-7.2126315370769037E-2</v>
          </cell>
          <cell r="AL1370">
            <v>-7.421156517455893E-2</v>
          </cell>
          <cell r="AM1370">
            <v>-7.623140143086593E-2</v>
          </cell>
          <cell r="AN1370">
            <v>-7.81812890989695E-2</v>
          </cell>
          <cell r="AO1370">
            <v>-8.0058187436496647E-2</v>
          </cell>
          <cell r="AP1370">
            <v>-8.1809696805161272E-2</v>
          </cell>
          <cell r="AQ1370">
            <v>-8.3462651302940852E-2</v>
          </cell>
          <cell r="AR1370">
            <v>-8.5009168745839372E-2</v>
          </cell>
          <cell r="AS1370">
            <v>-8.6431591260270363E-2</v>
          </cell>
          <cell r="AT1370">
            <v>-8.7718040637713726E-2</v>
          </cell>
          <cell r="AU1370">
            <v>-9.0383696573058461E-2</v>
          </cell>
          <cell r="AV1370">
            <v>-9.5077337747636895E-2</v>
          </cell>
          <cell r="AW1370">
            <v>-0.10172396307096987</v>
          </cell>
          <cell r="AX1370">
            <v>-0.10986161695440066</v>
          </cell>
          <cell r="AY1370">
            <v>-0.11894208938795915</v>
          </cell>
          <cell r="AZ1370">
            <v>-0.12641161169692086</v>
          </cell>
          <cell r="BA1370">
            <v>-0.13112334304650736</v>
          </cell>
          <cell r="BB1370">
            <v>-0.13302659228231514</v>
          </cell>
          <cell r="BC1370">
            <v>-0.13267645607302161</v>
          </cell>
          <cell r="BD1370">
            <v>-0.13078220987334599</v>
          </cell>
          <cell r="BE1370">
            <v>-4.521236430945175E-3</v>
          </cell>
          <cell r="BF1370">
            <v>7.2949558812879342E-4</v>
          </cell>
          <cell r="BG1370">
            <v>6.3874356486643144E-3</v>
          </cell>
          <cell r="BH1370">
            <v>1.2419202628000638E-2</v>
          </cell>
          <cell r="BI1370">
            <v>1.8789179124359609E-2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-8.0233357770762522E-5</v>
          </cell>
          <cell r="G1371">
            <v>-1.0906802372046011E-4</v>
          </cell>
          <cell r="H1371">
            <v>-1.3867539600908248E-4</v>
          </cell>
          <cell r="I1371">
            <v>-1.6894575683349818E-4</v>
          </cell>
          <cell r="J1371">
            <v>-1.9980803619460826E-4</v>
          </cell>
          <cell r="K1371">
            <v>-2.3119703018253398E-4</v>
          </cell>
          <cell r="L1371">
            <v>-2.6341471350634527E-4</v>
          </cell>
          <cell r="M1371">
            <v>-2.9613289247314265E-4</v>
          </cell>
          <cell r="N1371">
            <v>-3.293191199911287E-4</v>
          </cell>
          <cell r="O1371">
            <v>-3.629504239865315E-4</v>
          </cell>
          <cell r="P1371">
            <v>-3.9726305966145754E-4</v>
          </cell>
          <cell r="Q1371">
            <v>-4.3351507680306791E-4</v>
          </cell>
          <cell r="R1371">
            <v>-4.7033065907991313E-4</v>
          </cell>
          <cell r="S1371">
            <v>-5.0770496672685188E-4</v>
          </cell>
          <cell r="T1371">
            <v>-5.4564290256892752E-4</v>
          </cell>
          <cell r="U1371">
            <v>-5.8415645517566708E-4</v>
          </cell>
          <cell r="V1371">
            <v>-6.2527748210452463E-4</v>
          </cell>
          <cell r="W1371">
            <v>-6.6712263230979906E-4</v>
          </cell>
          <cell r="X1371">
            <v>-7.0969981808734596E-4</v>
          </cell>
          <cell r="Y1371">
            <v>-7.530197320876074E-4</v>
          </cell>
          <cell r="Z1371">
            <v>-7.9676968839871337E-4</v>
          </cell>
          <cell r="AA1371">
            <v>-8.4171364773325203E-4</v>
          </cell>
          <cell r="AB1371">
            <v>-8.8738895105396033E-4</v>
          </cell>
          <cell r="AC1371">
            <v>-9.3382009654460133E-4</v>
          </cell>
          <cell r="AD1371">
            <v>-9.8102709211922434E-4</v>
          </cell>
          <cell r="AE1371">
            <v>-1.0278914692142785E-3</v>
          </cell>
          <cell r="AF1371">
            <v>-1.0757027701659085E-3</v>
          </cell>
          <cell r="AG1371">
            <v>-1.1244005700367014E-3</v>
          </cell>
          <cell r="AH1371">
            <v>-1.1739671502197335E-3</v>
          </cell>
          <cell r="AI1371">
            <v>-1.2243815236605898E-3</v>
          </cell>
          <cell r="AJ1371">
            <v>-1.2756223573934583E-3</v>
          </cell>
          <cell r="AK1371">
            <v>-1.327150291017036E-3</v>
          </cell>
          <cell r="AL1371">
            <v>-1.3794406438666948E-3</v>
          </cell>
          <cell r="AM1371">
            <v>-1.4324889796789898E-3</v>
          </cell>
          <cell r="AN1371">
            <v>-1.4862953404551596E-3</v>
          </cell>
          <cell r="AO1371">
            <v>-1.5408634386343094E-3</v>
          </cell>
          <cell r="AP1371">
            <v>-1.5911166247419722E-3</v>
          </cell>
          <cell r="AQ1371">
            <v>-1.6420566095791947E-3</v>
          </cell>
          <cell r="AR1371">
            <v>-1.6936761852416719E-3</v>
          </cell>
          <cell r="AS1371">
            <v>-1.7459813484567066E-3</v>
          </cell>
          <cell r="AT1371">
            <v>-1.7989839594915649E-3</v>
          </cell>
          <cell r="AU1371">
            <v>-1.8602473872383163E-3</v>
          </cell>
          <cell r="AV1371">
            <v>-1.9242859451392735E-3</v>
          </cell>
          <cell r="AW1371">
            <v>-1.9882370300556111E-3</v>
          </cell>
          <cell r="AX1371">
            <v>-2.0509214623750998E-3</v>
          </cell>
          <cell r="AY1371">
            <v>-2.1119831934364487E-3</v>
          </cell>
          <cell r="AZ1371">
            <v>-2.1601626890340756E-3</v>
          </cell>
          <cell r="BA1371">
            <v>-2.2052222187785324E-3</v>
          </cell>
          <cell r="BB1371">
            <v>-2.2506661458144141E-3</v>
          </cell>
          <cell r="BC1371">
            <v>-2.2980369127329364E-3</v>
          </cell>
          <cell r="BD1371">
            <v>-2.3479033218508781E-3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</row>
        <row r="1372">
          <cell r="E1372" t="str">
            <v>100*((X_2-X_0)/GDP_0)-100*((M_2-M_0)/GDP_0)</v>
          </cell>
          <cell r="F1372">
            <v>3.1642368735685595E-3</v>
          </cell>
          <cell r="G1372">
            <v>3.8247610559875101E-3</v>
          </cell>
          <cell r="H1372">
            <v>4.0991571416087872E-3</v>
          </cell>
          <cell r="I1372">
            <v>3.9854733512048688E-3</v>
          </cell>
          <cell r="J1372">
            <v>3.5907091816749382E-3</v>
          </cell>
          <cell r="K1372">
            <v>2.9490774807785381E-3</v>
          </cell>
          <cell r="L1372">
            <v>2.1119144775820584E-3</v>
          </cell>
          <cell r="M1372">
            <v>1.0031065826205058E-3</v>
          </cell>
          <cell r="N1372">
            <v>-4.4027153710561422E-4</v>
          </cell>
          <cell r="O1372">
            <v>-2.2411684138325255E-3</v>
          </cell>
          <cell r="P1372">
            <v>-4.3722056706093811E-3</v>
          </cell>
          <cell r="Q1372">
            <v>-6.7078122488117738E-3</v>
          </cell>
          <cell r="R1372">
            <v>-9.2528378791457803E-3</v>
          </cell>
          <cell r="S1372">
            <v>-1.1935589748433055E-2</v>
          </cell>
          <cell r="T1372">
            <v>-1.4691405691188972E-2</v>
          </cell>
          <cell r="U1372">
            <v>-1.7466257634307012E-2</v>
          </cell>
          <cell r="V1372">
            <v>-2.0123875570728891E-2</v>
          </cell>
          <cell r="W1372">
            <v>-2.2724472802167571E-2</v>
          </cell>
          <cell r="X1372">
            <v>-2.5253942957499324E-2</v>
          </cell>
          <cell r="Y1372">
            <v>-2.7711131445566708E-2</v>
          </cell>
          <cell r="Z1372">
            <v>-3.0106392376375628E-2</v>
          </cell>
          <cell r="AA1372">
            <v>-3.2455327243722805E-2</v>
          </cell>
          <cell r="AB1372">
            <v>-3.4774094839513423E-2</v>
          </cell>
          <cell r="AC1372">
            <v>-3.7081356073332211E-2</v>
          </cell>
          <cell r="AD1372">
            <v>-3.9394738303397257E-2</v>
          </cell>
          <cell r="AE1372">
            <v>-4.1735358692706961E-2</v>
          </cell>
          <cell r="AF1372">
            <v>-4.4170252775037222E-2</v>
          </cell>
          <cell r="AG1372">
            <v>-4.666646852796625E-2</v>
          </cell>
          <cell r="AH1372">
            <v>-4.9234642692900801E-2</v>
          </cell>
          <cell r="AI1372">
            <v>-5.1879811799049179E-2</v>
          </cell>
          <cell r="AJ1372">
            <v>-5.4602471282104798E-2</v>
          </cell>
          <cell r="AK1372">
            <v>-5.7425160344234887E-2</v>
          </cell>
          <cell r="AL1372">
            <v>-6.0320416815807583E-2</v>
          </cell>
          <cell r="AM1372">
            <v>-6.328251796311879E-2</v>
          </cell>
          <cell r="AN1372">
            <v>-6.6304800471609179E-2</v>
          </cell>
          <cell r="AO1372">
            <v>-6.938065890168095E-2</v>
          </cell>
          <cell r="AP1372">
            <v>-7.2728212787605467E-2</v>
          </cell>
          <cell r="AQ1372">
            <v>-7.6132479384649898E-2</v>
          </cell>
          <cell r="AR1372">
            <v>-7.9582599108981869E-2</v>
          </cell>
          <cell r="AS1372">
            <v>-8.3068308084713688E-2</v>
          </cell>
          <cell r="AT1372">
            <v>-8.6580217668227516E-2</v>
          </cell>
          <cell r="AU1372">
            <v>-9.0828891046499535E-2</v>
          </cell>
          <cell r="AV1372">
            <v>-9.6832568191889914E-2</v>
          </cell>
          <cell r="AW1372">
            <v>-0.10530751087557401</v>
          </cell>
          <cell r="AX1372">
            <v>-0.11655591333220537</v>
          </cell>
          <cell r="AY1372">
            <v>-0.13052323504943403</v>
          </cell>
          <cell r="AZ1372">
            <v>-0.14602306677547183</v>
          </cell>
          <cell r="BA1372">
            <v>-0.16117938793738135</v>
          </cell>
          <cell r="BB1372">
            <v>-0.17462883477184676</v>
          </cell>
          <cell r="BC1372">
            <v>-0.18557303502411593</v>
          </cell>
          <cell r="BD1372">
            <v>-0.19373848459868281</v>
          </cell>
          <cell r="BE1372">
            <v>-0.19320109391079338</v>
          </cell>
          <cell r="BF1372">
            <v>-0.20237502709255517</v>
          </cell>
          <cell r="BG1372">
            <v>-0.21158891458899307</v>
          </cell>
          <cell r="BH1372">
            <v>-0.22082829874555396</v>
          </cell>
          <cell r="BI1372">
            <v>-0.23008438738529277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-4.1546264011062045E-3</v>
          </cell>
          <cell r="G1373">
            <v>-6.6979899844122927E-3</v>
          </cell>
          <cell r="H1373">
            <v>-7.4536979495765003E-3</v>
          </cell>
          <cell r="I1373">
            <v>-7.4688872434951308E-3</v>
          </cell>
          <cell r="J1373">
            <v>-7.7132007734549311E-3</v>
          </cell>
          <cell r="K1373">
            <v>-8.6318205792306375E-3</v>
          </cell>
          <cell r="L1373">
            <v>-1.0186050900566533E-2</v>
          </cell>
          <cell r="M1373">
            <v>-1.2081616903016375E-2</v>
          </cell>
          <cell r="N1373">
            <v>-1.3999195656618236E-2</v>
          </cell>
          <cell r="O1373">
            <v>-1.5709975419947779E-2</v>
          </cell>
          <cell r="P1373">
            <v>-1.7121460698078343E-2</v>
          </cell>
          <cell r="Q1373">
            <v>-1.821349438245792E-2</v>
          </cell>
          <cell r="R1373">
            <v>-1.9044684959343319E-2</v>
          </cell>
          <cell r="S1373">
            <v>-1.9719849030348117E-2</v>
          </cell>
          <cell r="T1373">
            <v>-2.0342745974946019E-2</v>
          </cell>
          <cell r="U1373">
            <v>-2.0997193283453869E-2</v>
          </cell>
          <cell r="V1373">
            <v>-2.17611703672311E-2</v>
          </cell>
          <cell r="W1373">
            <v>-2.2670623699361875E-2</v>
          </cell>
          <cell r="X1373">
            <v>-2.3752755257107398E-2</v>
          </cell>
          <cell r="Y1373">
            <v>-2.5018086532459613E-2</v>
          </cell>
          <cell r="Z1373">
            <v>-2.6442578284913323E-2</v>
          </cell>
          <cell r="AA1373">
            <v>-2.80375205230632E-2</v>
          </cell>
          <cell r="AB1373">
            <v>-2.9771613771439154E-2</v>
          </cell>
          <cell r="AC1373">
            <v>-3.1609239706487609E-2</v>
          </cell>
          <cell r="AD1373">
            <v>-3.3520863303677081E-2</v>
          </cell>
          <cell r="AE1373">
            <v>-3.5418361377511559E-2</v>
          </cell>
          <cell r="AF1373">
            <v>-3.7339670040818548E-2</v>
          </cell>
          <cell r="AG1373">
            <v>-3.9271544476833925E-2</v>
          </cell>
          <cell r="AH1373">
            <v>-4.1185104420580855E-2</v>
          </cell>
          <cell r="AI1373">
            <v>-4.3064494431326969E-2</v>
          </cell>
          <cell r="AJ1373">
            <v>-4.490560286290024E-2</v>
          </cell>
          <cell r="AK1373">
            <v>-4.6706553982095958E-2</v>
          </cell>
          <cell r="AL1373">
            <v>-4.8476572975035798E-2</v>
          </cell>
          <cell r="AM1373">
            <v>-5.0224290304717256E-2</v>
          </cell>
          <cell r="AN1373">
            <v>-5.1959308219833154E-2</v>
          </cell>
          <cell r="AO1373">
            <v>-5.3692332996165819E-2</v>
          </cell>
          <cell r="AP1373">
            <v>-5.5359488820452656E-2</v>
          </cell>
          <cell r="AQ1373">
            <v>-5.6990110546411933E-2</v>
          </cell>
          <cell r="AR1373">
            <v>-5.8579869042395573E-2</v>
          </cell>
          <cell r="AS1373">
            <v>-6.0114366138670487E-2</v>
          </cell>
          <cell r="AT1373">
            <v>-6.1593304679150668E-2</v>
          </cell>
          <cell r="AU1373">
            <v>-6.682355097818822E-2</v>
          </cell>
          <cell r="AV1373">
            <v>-7.5177797126637913E-2</v>
          </cell>
          <cell r="AW1373">
            <v>-8.4575002531499577E-2</v>
          </cell>
          <cell r="AX1373">
            <v>-9.3213737492675752E-2</v>
          </cell>
          <cell r="AY1373">
            <v>-0.10012191334242006</v>
          </cell>
          <cell r="AZ1373">
            <v>-9.9918672043606244E-2</v>
          </cell>
          <cell r="BA1373">
            <v>-9.3795443074377732E-2</v>
          </cell>
          <cell r="BB1373">
            <v>-8.5112958904589128E-2</v>
          </cell>
          <cell r="BC1373">
            <v>-7.6855929665551673E-2</v>
          </cell>
          <cell r="BD1373">
            <v>-7.0783552141700137E-2</v>
          </cell>
          <cell r="BE1373">
            <v>2.6026198978007193E-2</v>
          </cell>
          <cell r="BF1373">
            <v>2.8054577078108104E-2</v>
          </cell>
          <cell r="BG1373">
            <v>2.9998808361020476E-2</v>
          </cell>
          <cell r="BH1373">
            <v>3.1809355117782684E-2</v>
          </cell>
          <cell r="BI1373">
            <v>3.3456583928692905E-2</v>
          </cell>
        </row>
        <row r="1374">
          <cell r="E1374" t="str">
            <v>100*((I_2+CH_ccon_2-(I_0+CH_ccon_0))/GDP_0)</v>
          </cell>
          <cell r="F1374">
            <v>-2.2423069280846299E-3</v>
          </cell>
          <cell r="G1374">
            <v>-4.436201429610904E-3</v>
          </cell>
          <cell r="H1374">
            <v>-6.2776918116214031E-3</v>
          </cell>
          <cell r="I1374">
            <v>-7.7893937892423533E-3</v>
          </cell>
          <cell r="J1374">
            <v>-9.2484046738331872E-3</v>
          </cell>
          <cell r="K1374">
            <v>-1.0930599756810419E-2</v>
          </cell>
          <cell r="L1374">
            <v>-1.2947312206665257E-2</v>
          </cell>
          <cell r="M1374">
            <v>-1.5276889705930212E-2</v>
          </cell>
          <cell r="N1374">
            <v>-1.7840622766426024E-2</v>
          </cell>
          <cell r="O1374">
            <v>-2.0541380136036427E-2</v>
          </cell>
          <cell r="P1374">
            <v>-2.3285138148482171E-2</v>
          </cell>
          <cell r="Q1374">
            <v>-2.6046095533476664E-2</v>
          </cell>
          <cell r="R1374">
            <v>-2.8756459549504232E-2</v>
          </cell>
          <cell r="S1374">
            <v>-3.139982576410362E-2</v>
          </cell>
          <cell r="T1374">
            <v>-3.397498012004263E-2</v>
          </cell>
          <cell r="U1374">
            <v>-3.6486146032809016E-2</v>
          </cell>
          <cell r="V1374">
            <v>-3.8965461712850091E-2</v>
          </cell>
          <cell r="W1374">
            <v>-4.1401477085182714E-2</v>
          </cell>
          <cell r="X1374">
            <v>-4.3802528339116853E-2</v>
          </cell>
          <cell r="Y1374">
            <v>-4.6180060783735356E-2</v>
          </cell>
          <cell r="Z1374">
            <v>-4.8554660879881376E-2</v>
          </cell>
          <cell r="AA1374">
            <v>-5.0912391991677977E-2</v>
          </cell>
          <cell r="AB1374">
            <v>-5.3274175478546765E-2</v>
          </cell>
          <cell r="AC1374">
            <v>-5.5639098185684577E-2</v>
          </cell>
          <cell r="AD1374">
            <v>-5.8004840533784727E-2</v>
          </cell>
          <cell r="AE1374">
            <v>-6.0399766284812473E-2</v>
          </cell>
          <cell r="AF1374">
            <v>-6.2750184147612464E-2</v>
          </cell>
          <cell r="AG1374">
            <v>-6.5092789985702768E-2</v>
          </cell>
          <cell r="AH1374">
            <v>-6.7416940892353797E-2</v>
          </cell>
          <cell r="AI1374">
            <v>-6.9709876312422009E-2</v>
          </cell>
          <cell r="AJ1374">
            <v>-7.1959768560549517E-2</v>
          </cell>
          <cell r="AK1374">
            <v>-7.4150207028380044E-2</v>
          </cell>
          <cell r="AL1374">
            <v>-7.6278366184201543E-2</v>
          </cell>
          <cell r="AM1374">
            <v>-7.8338906107503103E-2</v>
          </cell>
          <cell r="AN1374">
            <v>-8.0327518576798637E-2</v>
          </cell>
          <cell r="AO1374">
            <v>-8.2241414472387267E-2</v>
          </cell>
          <cell r="AP1374">
            <v>-8.4026151864371887E-2</v>
          </cell>
          <cell r="AQ1374">
            <v>-8.5709221424888932E-2</v>
          </cell>
          <cell r="AR1374">
            <v>-8.7280037683551748E-2</v>
          </cell>
          <cell r="AS1374">
            <v>-8.8718886138302533E-2</v>
          </cell>
          <cell r="AT1374">
            <v>-9.0014076325873771E-2</v>
          </cell>
          <cell r="AU1374">
            <v>-9.2768532135325044E-2</v>
          </cell>
          <cell r="AV1374">
            <v>-9.7631898340590537E-2</v>
          </cell>
          <cell r="AW1374">
            <v>-0.10448401583187485</v>
          </cell>
          <cell r="AX1374">
            <v>-0.11281077990560923</v>
          </cell>
          <cell r="AY1374">
            <v>-0.12202756409940049</v>
          </cell>
          <cell r="AZ1374">
            <v>-0.12944814096480747</v>
          </cell>
          <cell r="BA1374">
            <v>-0.13393547284044774</v>
          </cell>
          <cell r="BB1374">
            <v>-0.13551923828417889</v>
          </cell>
          <cell r="BC1374">
            <v>-0.13484318585803401</v>
          </cell>
          <cell r="BD1374">
            <v>-0.13267946199690978</v>
          </cell>
          <cell r="BE1374">
            <v>-5.9201745623804168E-3</v>
          </cell>
          <cell r="BF1374">
            <v>-7.2690977721502409E-4</v>
          </cell>
          <cell r="BG1374">
            <v>4.8729519274250564E-3</v>
          </cell>
          <cell r="BH1374">
            <v>1.0844828951787504E-2</v>
          </cell>
          <cell r="BI1374">
            <v>1.7152317286497642E-2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-1.9836296820774191E-3</v>
          </cell>
          <cell r="G1375">
            <v>-3.8667253473525596E-3</v>
          </cell>
          <cell r="H1375">
            <v>-5.5165312028686731E-3</v>
          </cell>
          <cell r="I1375">
            <v>-6.9169053480821188E-3</v>
          </cell>
          <cell r="J1375">
            <v>-8.282029480273052E-3</v>
          </cell>
          <cell r="K1375">
            <v>-9.840767438060713E-3</v>
          </cell>
          <cell r="L1375">
            <v>-1.1702007218247287E-2</v>
          </cell>
          <cell r="M1375">
            <v>-1.3856160234185599E-2</v>
          </cell>
          <cell r="N1375">
            <v>-1.6239974900069908E-2</v>
          </cell>
          <cell r="O1375">
            <v>-1.8769725253320359E-2</v>
          </cell>
          <cell r="P1375">
            <v>-2.1360499812902136E-2</v>
          </cell>
          <cell r="Q1375">
            <v>-2.3988337753345079E-2</v>
          </cell>
          <cell r="R1375">
            <v>-2.6586154879117141E-2</v>
          </cell>
          <cell r="S1375">
            <v>-2.9134419173175663E-2</v>
          </cell>
          <cell r="T1375">
            <v>-3.1628198535194989E-2</v>
          </cell>
          <cell r="U1375">
            <v>-3.4068712487991037E-2</v>
          </cell>
          <cell r="V1375">
            <v>-3.6484348237539807E-2</v>
          </cell>
          <cell r="W1375">
            <v>-3.8861698314771813E-2</v>
          </cell>
          <cell r="X1375">
            <v>-4.1206970352188621E-2</v>
          </cell>
          <cell r="Y1375">
            <v>-4.3529680945045127E-2</v>
          </cell>
          <cell r="Z1375">
            <v>-4.5848603977288564E-2</v>
          </cell>
          <cell r="AA1375">
            <v>-4.8149377784324203E-2</v>
          </cell>
          <cell r="AB1375">
            <v>-5.0451977948130715E-2</v>
          </cell>
          <cell r="AC1375">
            <v>-5.275598022578229E-2</v>
          </cell>
          <cell r="AD1375">
            <v>-5.5059642549014291E-2</v>
          </cell>
          <cell r="AE1375">
            <v>-5.7391180106601859E-2</v>
          </cell>
          <cell r="AF1375">
            <v>-5.9678834788559357E-2</v>
          </cell>
          <cell r="AG1375">
            <v>-6.1958264312210923E-2</v>
          </cell>
          <cell r="AH1375">
            <v>-6.422017186164318E-2</v>
          </cell>
          <cell r="AI1375">
            <v>-6.645303324845539E-2</v>
          </cell>
          <cell r="AJ1375">
            <v>-6.8645902422861726E-2</v>
          </cell>
          <cell r="AK1375">
            <v>-7.0783212121377989E-2</v>
          </cell>
          <cell r="AL1375">
            <v>-7.2862244107675528E-2</v>
          </cell>
          <cell r="AM1375">
            <v>-7.4877639425729753E-2</v>
          </cell>
          <cell r="AN1375">
            <v>-7.6824937629628998E-2</v>
          </cell>
          <cell r="AO1375">
            <v>-7.8701077321296359E-2</v>
          </cell>
          <cell r="AP1375">
            <v>-8.0454499781628566E-2</v>
          </cell>
          <cell r="AQ1375">
            <v>-8.2111691096555792E-2</v>
          </cell>
          <cell r="AR1375">
            <v>-8.3665405101596285E-2</v>
          </cell>
          <cell r="AS1375">
            <v>-8.5098835760012079E-2</v>
          </cell>
          <cell r="AT1375">
            <v>-8.6400440673205237E-2</v>
          </cell>
          <cell r="AU1375">
            <v>-8.8977764728217015E-2</v>
          </cell>
          <cell r="AV1375">
            <v>-9.3459532617213098E-2</v>
          </cell>
          <cell r="AW1375">
            <v>-9.9799082545354273E-2</v>
          </cell>
          <cell r="AX1375">
            <v>-0.10757763208389677</v>
          </cell>
          <cell r="AY1375">
            <v>-0.11628592684643302</v>
          </cell>
          <cell r="AZ1375">
            <v>-0.12354477261936445</v>
          </cell>
          <cell r="BA1375">
            <v>-0.12824862369947193</v>
          </cell>
          <cell r="BB1375">
            <v>-0.13031411771996015</v>
          </cell>
          <cell r="BC1375">
            <v>-0.13023916399115174</v>
          </cell>
          <cell r="BD1375">
            <v>-0.12867960286868965</v>
          </cell>
          <cell r="BE1375">
            <v>-3.6374125724455979E-3</v>
          </cell>
          <cell r="BF1375">
            <v>1.4909450650637188E-3</v>
          </cell>
          <cell r="BG1375">
            <v>7.0179858722023399E-3</v>
          </cell>
          <cell r="BH1375">
            <v>1.2911954943280624E-2</v>
          </cell>
          <cell r="BI1375">
            <v>1.9138570094063296E-2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-1.5026117094251118E-4</v>
          </cell>
          <cell r="G1376">
            <v>-3.4690561640191302E-4</v>
          </cell>
          <cell r="H1376">
            <v>-4.5999211659878645E-4</v>
          </cell>
          <cell r="I1376">
            <v>-5.1968879385359975E-4</v>
          </cell>
          <cell r="J1376">
            <v>-5.6733409681976072E-4</v>
          </cell>
          <cell r="K1376">
            <v>-6.3357938903420231E-4</v>
          </cell>
          <cell r="L1376">
            <v>-7.1662898589152128E-4</v>
          </cell>
          <cell r="M1376">
            <v>-8.0773735211051435E-4</v>
          </cell>
          <cell r="N1376">
            <v>-8.9757469268452134E-4</v>
          </cell>
          <cell r="O1376">
            <v>-9.7901848764235218E-4</v>
          </cell>
          <cell r="P1376">
            <v>-1.0481002718558854E-3</v>
          </cell>
          <cell r="Q1376">
            <v>-1.1058831105276133E-3</v>
          </cell>
          <cell r="R1376">
            <v>-1.1536672107946137E-3</v>
          </cell>
          <cell r="S1376">
            <v>-1.1945992651270242E-3</v>
          </cell>
          <cell r="T1376">
            <v>-1.231709714880364E-3</v>
          </cell>
          <cell r="U1376">
            <v>-1.2670488627596558E-3</v>
          </cell>
          <cell r="V1376">
            <v>-1.3030291244692602E-3</v>
          </cell>
          <cell r="W1376">
            <v>-1.3404666584327901E-3</v>
          </cell>
          <cell r="X1376">
            <v>-1.3800229347052917E-3</v>
          </cell>
          <cell r="Y1376">
            <v>-1.4221603604479133E-3</v>
          </cell>
          <cell r="Z1376">
            <v>-1.4673327940808497E-3</v>
          </cell>
          <cell r="AA1376">
            <v>-1.515029582297352E-3</v>
          </cell>
          <cell r="AB1376">
            <v>-1.5652048600737131E-3</v>
          </cell>
          <cell r="AC1376">
            <v>-1.6170963086692895E-3</v>
          </cell>
          <cell r="AD1376">
            <v>-1.669956214792899E-3</v>
          </cell>
          <cell r="AE1376">
            <v>-1.7237629988626913E-3</v>
          </cell>
          <cell r="AF1376">
            <v>-1.7767643718791884E-3</v>
          </cell>
          <cell r="AG1376">
            <v>-1.829408952863459E-3</v>
          </cell>
          <cell r="AH1376">
            <v>-1.8809662014484365E-3</v>
          </cell>
          <cell r="AI1376">
            <v>-1.9308219913013248E-3</v>
          </cell>
          <cell r="AJ1376">
            <v>-1.9785972712528413E-3</v>
          </cell>
          <cell r="AK1376">
            <v>-2.0238916576097755E-3</v>
          </cell>
          <cell r="AL1376">
            <v>-2.066801009640584E-3</v>
          </cell>
          <cell r="AM1376">
            <v>-2.1075046766382785E-3</v>
          </cell>
          <cell r="AN1376">
            <v>-2.1462294778290293E-3</v>
          </cell>
          <cell r="AO1376">
            <v>-2.1832270358913049E-3</v>
          </cell>
          <cell r="AP1376">
            <v>-2.2164550592102174E-3</v>
          </cell>
          <cell r="AQ1376">
            <v>-2.2465701219487417E-3</v>
          </cell>
          <cell r="AR1376">
            <v>-2.2708689377137913E-3</v>
          </cell>
          <cell r="AS1376">
            <v>-2.2872948780337434E-3</v>
          </cell>
          <cell r="AT1376">
            <v>-2.2960356881603998E-3</v>
          </cell>
          <cell r="AU1376">
            <v>-2.3848355622667719E-3</v>
          </cell>
          <cell r="AV1376">
            <v>-2.5545605929534528E-3</v>
          </cell>
          <cell r="AW1376">
            <v>-2.760052760903413E-3</v>
          </cell>
          <cell r="AX1376">
            <v>-2.9491629512073754E-3</v>
          </cell>
          <cell r="AY1376">
            <v>-3.0854747114411676E-3</v>
          </cell>
          <cell r="AZ1376">
            <v>-3.036529267887961E-3</v>
          </cell>
          <cell r="BA1376">
            <v>-2.8121297939392525E-3</v>
          </cell>
          <cell r="BB1376">
            <v>-2.49264600186113E-3</v>
          </cell>
          <cell r="BC1376">
            <v>-2.1667297850086714E-3</v>
          </cell>
          <cell r="BD1376">
            <v>-1.8972521235641096E-3</v>
          </cell>
          <cell r="BE1376">
            <v>-1.3989381314381863E-3</v>
          </cell>
          <cell r="BF1376">
            <v>-1.4564053653442521E-3</v>
          </cell>
          <cell r="BG1376">
            <v>-1.5144837212395438E-3</v>
          </cell>
          <cell r="BH1376">
            <v>-1.5743736762150961E-3</v>
          </cell>
          <cell r="BI1376">
            <v>-1.6368618378615565E-3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-1.0841607506188938E-4</v>
          </cell>
          <cell r="G1377">
            <v>-2.2257046585806404E-4</v>
          </cell>
          <cell r="H1377">
            <v>-3.0116849215410473E-4</v>
          </cell>
          <cell r="I1377">
            <v>-3.5279964730727012E-4</v>
          </cell>
          <cell r="J1377">
            <v>-3.9904109673865261E-4</v>
          </cell>
          <cell r="K1377">
            <v>-4.5625292971904636E-4</v>
          </cell>
          <cell r="L1377">
            <v>-5.2867600252447765E-4</v>
          </cell>
          <cell r="M1377">
            <v>-6.1299211963380246E-4</v>
          </cell>
          <cell r="N1377">
            <v>-7.0307317367071238E-4</v>
          </cell>
          <cell r="O1377">
            <v>-7.9263639507602625E-4</v>
          </cell>
          <cell r="P1377">
            <v>-8.7653806372685068E-4</v>
          </cell>
          <cell r="Q1377">
            <v>-9.5187466960564818E-4</v>
          </cell>
          <cell r="R1377">
            <v>-1.0166374595920622E-3</v>
          </cell>
          <cell r="S1377">
            <v>-1.0708073257989057E-3</v>
          </cell>
          <cell r="T1377">
            <v>-1.1150718699715362E-3</v>
          </cell>
          <cell r="U1377">
            <v>-1.1503846820579253E-3</v>
          </cell>
          <cell r="V1377">
            <v>-1.1780843508403893E-3</v>
          </cell>
          <cell r="W1377">
            <v>-1.1993121119815372E-3</v>
          </cell>
          <cell r="X1377">
            <v>-1.2155350522189451E-3</v>
          </cell>
          <cell r="Y1377">
            <v>-1.228219478236903E-3</v>
          </cell>
          <cell r="Z1377">
            <v>-1.2387241085126904E-3</v>
          </cell>
          <cell r="AA1377">
            <v>-1.2479846250564273E-3</v>
          </cell>
          <cell r="AB1377">
            <v>-1.256992670341751E-3</v>
          </cell>
          <cell r="AC1377">
            <v>-1.2660216512332225E-3</v>
          </cell>
          <cell r="AD1377">
            <v>-1.2752417699806069E-3</v>
          </cell>
          <cell r="AE1377">
            <v>-1.2848231793471385E-3</v>
          </cell>
          <cell r="AF1377">
            <v>-1.2945849871723769E-3</v>
          </cell>
          <cell r="AG1377">
            <v>-1.3051167206287217E-3</v>
          </cell>
          <cell r="AH1377">
            <v>-1.3158028292649744E-3</v>
          </cell>
          <cell r="AI1377">
            <v>-1.3260210726633913E-3</v>
          </cell>
          <cell r="AJ1377">
            <v>-1.3352688664356742E-3</v>
          </cell>
          <cell r="AK1377">
            <v>-1.3431032493922879E-3</v>
          </cell>
          <cell r="AL1377">
            <v>-1.3493210668825929E-3</v>
          </cell>
          <cell r="AM1377">
            <v>-1.3537620051361789E-3</v>
          </cell>
          <cell r="AN1377">
            <v>-1.3563514693405074E-3</v>
          </cell>
          <cell r="AO1377">
            <v>-1.3571101151998951E-3</v>
          </cell>
          <cell r="AP1377">
            <v>-1.3551970235319364E-3</v>
          </cell>
          <cell r="AQ1377">
            <v>-1.3509602063843059E-3</v>
          </cell>
          <cell r="AR1377">
            <v>-1.3437636442415869E-3</v>
          </cell>
          <cell r="AS1377">
            <v>-1.3327555002579153E-3</v>
          </cell>
          <cell r="AT1377">
            <v>-1.3175999645103258E-3</v>
          </cell>
          <cell r="AU1377">
            <v>-1.4059318448425197E-3</v>
          </cell>
          <cell r="AV1377">
            <v>-1.6178051304259287E-3</v>
          </cell>
          <cell r="AW1377">
            <v>-1.9248805256159335E-3</v>
          </cell>
          <cell r="AX1377">
            <v>-2.2839848705038927E-3</v>
          </cell>
          <cell r="AY1377">
            <v>-2.6561625415261474E-3</v>
          </cell>
          <cell r="AZ1377">
            <v>-2.8668390775564074E-3</v>
          </cell>
          <cell r="BA1377">
            <v>-2.8747193470353904E-3</v>
          </cell>
          <cell r="BB1377">
            <v>-2.7124745623552972E-3</v>
          </cell>
          <cell r="BC1377">
            <v>-2.4372920818705205E-3</v>
          </cell>
          <cell r="BD1377">
            <v>-2.1026070046550513E-3</v>
          </cell>
          <cell r="BE1377">
            <v>-8.8382385850016597E-4</v>
          </cell>
          <cell r="BF1377">
            <v>-7.614494769360836E-4</v>
          </cell>
          <cell r="BG1377">
            <v>-6.3055022354030314E-4</v>
          </cell>
          <cell r="BH1377">
            <v>-4.9275231527942524E-4</v>
          </cell>
          <cell r="BI1377">
            <v>-3.4939096970396073E-4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-7.8748819941965031E-3</v>
          </cell>
          <cell r="G1378">
            <v>-1.2883781484640533E-2</v>
          </cell>
          <cell r="H1378">
            <v>-1.4474155555332935E-2</v>
          </cell>
          <cell r="I1378">
            <v>-1.4614323236761262E-2</v>
          </cell>
          <cell r="J1378">
            <v>-1.5153582186744341E-2</v>
          </cell>
          <cell r="K1378">
            <v>-1.6962561733413484E-2</v>
          </cell>
          <cell r="L1378">
            <v>-1.9963698163250054E-2</v>
          </cell>
          <cell r="M1378">
            <v>-2.3608674583852629E-2</v>
          </cell>
          <cell r="N1378">
            <v>-2.7295723845099928E-2</v>
          </cell>
          <cell r="O1378">
            <v>-3.0592468292978126E-2</v>
          </cell>
          <cell r="P1378">
            <v>-3.3332265578689402E-2</v>
          </cell>
          <cell r="Q1378">
            <v>-3.5449264967468697E-2</v>
          </cell>
          <cell r="R1378">
            <v>-3.7074473267484365E-2</v>
          </cell>
          <cell r="S1378">
            <v>-3.840561892050065E-2</v>
          </cell>
          <cell r="T1378">
            <v>-3.9638607074399257E-2</v>
          </cell>
          <cell r="U1378">
            <v>-4.093107105007654E-2</v>
          </cell>
          <cell r="V1378">
            <v>-4.243085022120896E-2</v>
          </cell>
          <cell r="W1378">
            <v>-4.4205896479587725E-2</v>
          </cell>
          <cell r="X1378">
            <v>-4.6308079687029657E-2</v>
          </cell>
          <cell r="Y1378">
            <v>-4.8758455427644343E-2</v>
          </cell>
          <cell r="Z1378">
            <v>-5.1504119580747521E-2</v>
          </cell>
          <cell r="AA1378">
            <v>-5.4595868198537012E-2</v>
          </cell>
          <cell r="AB1378">
            <v>-5.7955700100253971E-2</v>
          </cell>
          <cell r="AC1378">
            <v>-6.1517685904677322E-2</v>
          </cell>
          <cell r="AD1378">
            <v>-6.522674159712416E-2</v>
          </cell>
          <cell r="AE1378">
            <v>-6.8883202283387401E-2</v>
          </cell>
          <cell r="AF1378">
            <v>-7.2643607345279637E-2</v>
          </cell>
          <cell r="AG1378">
            <v>-7.6441869104126869E-2</v>
          </cell>
          <cell r="AH1378">
            <v>-8.0221740753194659E-2</v>
          </cell>
          <cell r="AI1378">
            <v>-8.3950512135688715E-2</v>
          </cell>
          <cell r="AJ1378">
            <v>-8.761783899945419E-2</v>
          </cell>
          <cell r="AK1378">
            <v>-9.1217820822420137E-2</v>
          </cell>
          <cell r="AL1378">
            <v>-9.4766597922357754E-2</v>
          </cell>
          <cell r="AM1378">
            <v>-9.8279692211722391E-2</v>
          </cell>
          <cell r="AN1378">
            <v>-0.10177477150618008</v>
          </cell>
          <cell r="AO1378">
            <v>-0.10527178269643667</v>
          </cell>
          <cell r="AP1378">
            <v>-0.10863358230297493</v>
          </cell>
          <cell r="AQ1378">
            <v>-0.11193836889685782</v>
          </cell>
          <cell r="AR1378">
            <v>-0.11516950370631385</v>
          </cell>
          <cell r="AS1378">
            <v>-0.1182926743938495</v>
          </cell>
          <cell r="AT1378">
            <v>-0.12130447098021024</v>
          </cell>
          <cell r="AU1378">
            <v>-0.13160629894911624</v>
          </cell>
          <cell r="AV1378">
            <v>-0.14803883576917087</v>
          </cell>
          <cell r="AW1378">
            <v>-0.16657555529268064</v>
          </cell>
          <cell r="AX1378">
            <v>-0.18368589257632406</v>
          </cell>
          <cell r="AY1378">
            <v>-0.1974336157726797</v>
          </cell>
          <cell r="AZ1378">
            <v>-0.19724136195710118</v>
          </cell>
          <cell r="BA1378">
            <v>-0.1853471830910336</v>
          </cell>
          <cell r="BB1378">
            <v>-0.16831173820783807</v>
          </cell>
          <cell r="BC1378">
            <v>-0.15202734760444425</v>
          </cell>
          <cell r="BD1378">
            <v>-0.14000878151999574</v>
          </cell>
          <cell r="BE1378">
            <v>4.7232767887850358E-2</v>
          </cell>
          <cell r="BF1378">
            <v>5.1108035496394422E-2</v>
          </cell>
          <cell r="BG1378">
            <v>5.4834125176528303E-2</v>
          </cell>
          <cell r="BH1378">
            <v>5.8312033652341277E-2</v>
          </cell>
          <cell r="BI1378">
            <v>6.1481245551497921E-2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-1.7126688416357894E-4</v>
          </cell>
          <cell r="G1379">
            <v>-1.9431064531394426E-3</v>
          </cell>
          <cell r="H1379">
            <v>4.6912798033371672E-3</v>
          </cell>
          <cell r="I1379">
            <v>1.2867490126677872E-2</v>
          </cell>
          <cell r="J1379">
            <v>1.9122768100277021E-2</v>
          </cell>
          <cell r="K1379">
            <v>2.3128710366493443E-2</v>
          </cell>
          <cell r="L1379">
            <v>2.6182452229517317E-2</v>
          </cell>
          <cell r="M1379">
            <v>2.9660088723226785E-2</v>
          </cell>
          <cell r="N1379">
            <v>3.4319978293018139E-2</v>
          </cell>
          <cell r="O1379">
            <v>4.0245385453197002E-2</v>
          </cell>
          <cell r="P1379">
            <v>4.7024604962198069E-2</v>
          </cell>
          <cell r="Q1379">
            <v>5.4144298365521593E-2</v>
          </cell>
          <cell r="R1379">
            <v>6.1111892072429619E-2</v>
          </cell>
          <cell r="S1379">
            <v>6.7529482158934506E-2</v>
          </cell>
          <cell r="T1379">
            <v>7.3169126416483543E-2</v>
          </cell>
          <cell r="U1379">
            <v>7.7975279763609073E-2</v>
          </cell>
          <cell r="V1379">
            <v>8.1971239952260966E-2</v>
          </cell>
          <cell r="W1379">
            <v>8.5291981921176152E-2</v>
          </cell>
          <cell r="X1379">
            <v>8.8111536389190448E-2</v>
          </cell>
          <cell r="Y1379">
            <v>9.0594700520552074E-2</v>
          </cell>
          <cell r="Z1379">
            <v>9.2945714122283363E-2</v>
          </cell>
          <cell r="AA1379">
            <v>9.5270519112933272E-2</v>
          </cell>
          <cell r="AB1379">
            <v>9.7667678794466362E-2</v>
          </cell>
          <cell r="AC1379">
            <v>0.10025236451272068</v>
          </cell>
          <cell r="AD1379">
            <v>0.10308750552734391</v>
          </cell>
          <cell r="AE1379">
            <v>0.10634136757896595</v>
          </cell>
          <cell r="AF1379">
            <v>0.10995642529301186</v>
          </cell>
          <cell r="AG1379">
            <v>0.1138271612892483</v>
          </cell>
          <cell r="AH1379">
            <v>0.11796672420416598</v>
          </cell>
          <cell r="AI1379">
            <v>0.12236102218083911</v>
          </cell>
          <cell r="AJ1379">
            <v>0.12696703664254461</v>
          </cell>
          <cell r="AK1379">
            <v>0.13174376367759422</v>
          </cell>
          <cell r="AL1379">
            <v>0.13664238224402325</v>
          </cell>
          <cell r="AM1379">
            <v>0.1416224198329985</v>
          </cell>
          <cell r="AN1379">
            <v>0.14666192195933458</v>
          </cell>
          <cell r="AO1379">
            <v>0.15174913174946791</v>
          </cell>
          <cell r="AP1379">
            <v>0.15703192525735599</v>
          </cell>
          <cell r="AQ1379">
            <v>0.16248291753078181</v>
          </cell>
          <cell r="AR1379">
            <v>0.16805127408776599</v>
          </cell>
          <cell r="AS1379">
            <v>0.17377146047703462</v>
          </cell>
          <cell r="AT1379">
            <v>0.17963232911133442</v>
          </cell>
          <cell r="AU1379">
            <v>0.18517078304194357</v>
          </cell>
          <cell r="AV1379">
            <v>0.19118972609937224</v>
          </cell>
          <cell r="AW1379">
            <v>0.20424245440340272</v>
          </cell>
          <cell r="AX1379">
            <v>0.22757075717145803</v>
          </cell>
          <cell r="AY1379">
            <v>0.26020526063259553</v>
          </cell>
          <cell r="AZ1379">
            <v>0.29948953514955523</v>
          </cell>
          <cell r="BA1379">
            <v>0.34038416885000533</v>
          </cell>
          <cell r="BB1379">
            <v>0.370744593148431</v>
          </cell>
          <cell r="BC1379">
            <v>0.38426529558013289</v>
          </cell>
          <cell r="BD1379">
            <v>0.38155136966577796</v>
          </cell>
          <cell r="BE1379">
            <v>0.26267238400008441</v>
          </cell>
          <cell r="BF1379">
            <v>0.27538704170322337</v>
          </cell>
          <cell r="BG1379">
            <v>0.28836276144614814</v>
          </cell>
          <cell r="BH1379">
            <v>0.30153980159357552</v>
          </cell>
          <cell r="BI1379">
            <v>0.31496987515489128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0</v>
          </cell>
          <cell r="BF1380">
            <v>0</v>
          </cell>
          <cell r="BG1380">
            <v>0</v>
          </cell>
          <cell r="BH1380">
            <v>0</v>
          </cell>
          <cell r="BI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-9.7283458163066605E-3</v>
          </cell>
          <cell r="G1381">
            <v>-1.8999812446918174E-2</v>
          </cell>
          <cell r="H1381">
            <v>-2.7011301277379829E-2</v>
          </cell>
          <cell r="I1381">
            <v>-3.3724945647506388E-2</v>
          </cell>
          <cell r="J1381">
            <v>-4.023711435824362E-2</v>
          </cell>
          <cell r="K1381">
            <v>-4.7683003160914339E-2</v>
          </cell>
          <cell r="L1381">
            <v>-5.6565535591079907E-2</v>
          </cell>
          <cell r="M1381">
            <v>-6.6832939153338433E-2</v>
          </cell>
          <cell r="N1381">
            <v>-7.8154325347401521E-2</v>
          </cell>
          <cell r="O1381">
            <v>-9.0105308863164257E-2</v>
          </cell>
          <cell r="P1381">
            <v>-0.1023085327531148</v>
          </cell>
          <cell r="Q1381">
            <v>-0.11453052914476292</v>
          </cell>
          <cell r="R1381">
            <v>-0.12651257291096396</v>
          </cell>
          <cell r="S1381">
            <v>-0.13815963097846273</v>
          </cell>
          <cell r="T1381">
            <v>-0.14945046949391694</v>
          </cell>
          <cell r="U1381">
            <v>-0.1603953206076314</v>
          </cell>
          <cell r="V1381">
            <v>-0.17113079460886471</v>
          </cell>
          <cell r="W1381">
            <v>-0.1816026316012298</v>
          </cell>
          <cell r="X1381">
            <v>-0.19184770466610379</v>
          </cell>
          <cell r="Y1381">
            <v>-0.20191777747420314</v>
          </cell>
          <cell r="Z1381">
            <v>-0.21184586035191133</v>
          </cell>
          <cell r="AA1381">
            <v>-0.22171451660758512</v>
          </cell>
          <cell r="AB1381">
            <v>-0.23153287766534136</v>
          </cell>
          <cell r="AC1381">
            <v>-0.24130756336637749</v>
          </cell>
          <cell r="AD1381">
            <v>-0.25103566193707127</v>
          </cell>
          <cell r="AE1381">
            <v>-0.26064770716729413</v>
          </cell>
          <cell r="AF1381">
            <v>-0.27019936799878019</v>
          </cell>
          <cell r="AG1381">
            <v>-0.27969326496740665</v>
          </cell>
          <cell r="AH1381">
            <v>-0.28909837568731334</v>
          </cell>
          <cell r="AI1381">
            <v>-0.29837086288245773</v>
          </cell>
          <cell r="AJ1381">
            <v>-0.30746817455573616</v>
          </cell>
          <cell r="AK1381">
            <v>-0.31632666894455541</v>
          </cell>
          <cell r="AL1381">
            <v>-0.3249395598970195</v>
          </cell>
          <cell r="AM1381">
            <v>-0.33328817992199777</v>
          </cell>
          <cell r="AN1381">
            <v>-0.34135789018465701</v>
          </cell>
          <cell r="AO1381">
            <v>-0.34914032714069565</v>
          </cell>
          <cell r="AP1381">
            <v>-0.35635437185944641</v>
          </cell>
          <cell r="AQ1381">
            <v>-0.3631990749529912</v>
          </cell>
          <cell r="AR1381">
            <v>-0.36963876985853794</v>
          </cell>
          <cell r="AS1381">
            <v>-0.3755995044324667</v>
          </cell>
          <cell r="AT1381">
            <v>-0.38103320858859924</v>
          </cell>
          <cell r="AU1381">
            <v>-0.39252068068543755</v>
          </cell>
          <cell r="AV1381">
            <v>-0.41287219985675083</v>
          </cell>
          <cell r="AW1381">
            <v>-0.44176161205904396</v>
          </cell>
          <cell r="AX1381">
            <v>-0.47719214907566698</v>
          </cell>
          <cell r="AY1381">
            <v>-0.51679891088479701</v>
          </cell>
          <cell r="AZ1381">
            <v>-0.54950786103373783</v>
          </cell>
          <cell r="BA1381">
            <v>-0.57032484313026544</v>
          </cell>
          <cell r="BB1381">
            <v>-0.57901523750467643</v>
          </cell>
          <cell r="BC1381">
            <v>-0.5779715459516277</v>
          </cell>
          <cell r="BD1381">
            <v>-0.57025755886360718</v>
          </cell>
          <cell r="BE1381">
            <v>-1.8968324761670097E-2</v>
          </cell>
          <cell r="BF1381">
            <v>3.056175197979627E-3</v>
          </cell>
          <cell r="BG1381">
            <v>2.6725331404020558E-2</v>
          </cell>
          <cell r="BH1381">
            <v>5.1902589871888338E-2</v>
          </cell>
          <cell r="BI1381">
            <v>7.8444032673608E-2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-1.0065977442541563E-2</v>
          </cell>
          <cell r="G1382">
            <v>-1.9607363105267339E-2</v>
          </cell>
          <cell r="H1382">
            <v>-2.7956884461832754E-2</v>
          </cell>
          <cell r="I1382">
            <v>-3.5028266362180371E-2</v>
          </cell>
          <cell r="J1382">
            <v>-4.1907648890893157E-2</v>
          </cell>
          <cell r="K1382">
            <v>-4.9750883431243231E-2</v>
          </cell>
          <cell r="L1382">
            <v>-5.9084917398521952E-2</v>
          </cell>
          <cell r="M1382">
            <v>-6.9869708503389472E-2</v>
          </cell>
          <cell r="N1382">
            <v>-8.1774886779684142E-2</v>
          </cell>
          <cell r="O1382">
            <v>-9.4368440882619531E-2</v>
          </cell>
          <cell r="P1382">
            <v>-0.10726507768629157</v>
          </cell>
          <cell r="Q1382">
            <v>-0.1202220075075533</v>
          </cell>
          <cell r="R1382">
            <v>-0.13296597123506615</v>
          </cell>
          <cell r="S1382">
            <v>-0.14539405098686897</v>
          </cell>
          <cell r="T1382">
            <v>-0.15747972886395178</v>
          </cell>
          <cell r="U1382">
            <v>-0.16922932187281026</v>
          </cell>
          <cell r="V1382">
            <v>-0.18078503563492276</v>
          </cell>
          <cell r="W1382">
            <v>-0.19208189385625518</v>
          </cell>
          <cell r="X1382">
            <v>-0.20315276601281518</v>
          </cell>
          <cell r="Y1382">
            <v>-0.21404681706473916</v>
          </cell>
          <cell r="Z1382">
            <v>-0.22479083939661582</v>
          </cell>
          <cell r="AA1382">
            <v>-0.23547520910360831</v>
          </cell>
          <cell r="AB1382">
            <v>-0.24610420736443928</v>
          </cell>
          <cell r="AC1382">
            <v>-0.25668250425087136</v>
          </cell>
          <cell r="AD1382">
            <v>-0.2672058734808691</v>
          </cell>
          <cell r="AE1382">
            <v>-0.27758864645363035</v>
          </cell>
          <cell r="AF1382">
            <v>-0.28790668413771758</v>
          </cell>
          <cell r="AG1382">
            <v>-0.29816011307863821</v>
          </cell>
          <cell r="AH1382">
            <v>-0.30831649994903509</v>
          </cell>
          <cell r="AI1382">
            <v>-0.31833062430428605</v>
          </cell>
          <cell r="AJ1382">
            <v>-0.32815847340222914</v>
          </cell>
          <cell r="AK1382">
            <v>-0.3377329702138776</v>
          </cell>
          <cell r="AL1382">
            <v>-0.34704785453893994</v>
          </cell>
          <cell r="AM1382">
            <v>-0.3560838074724737</v>
          </cell>
          <cell r="AN1382">
            <v>-0.3648255452721183</v>
          </cell>
          <cell r="AO1382">
            <v>-0.37326420325274334</v>
          </cell>
          <cell r="AP1382">
            <v>-0.38109545064807238</v>
          </cell>
          <cell r="AQ1382">
            <v>-0.38853760181887242</v>
          </cell>
          <cell r="AR1382">
            <v>-0.39555657358849583</v>
          </cell>
          <cell r="AS1382">
            <v>-0.40207648538055363</v>
          </cell>
          <cell r="AT1382">
            <v>-0.40804682605812825</v>
          </cell>
          <cell r="AU1382">
            <v>-0.42011390418599248</v>
          </cell>
          <cell r="AV1382">
            <v>-0.44123789854965123</v>
          </cell>
          <cell r="AW1382">
            <v>-0.47119757454712197</v>
          </cell>
          <cell r="AX1382">
            <v>-0.50802572910064736</v>
          </cell>
          <cell r="AY1382">
            <v>-0.54933532768273174</v>
          </cell>
          <cell r="AZ1382">
            <v>-0.58391174758181119</v>
          </cell>
          <cell r="BA1382">
            <v>-0.6065207112354476</v>
          </cell>
          <cell r="BB1382">
            <v>-0.61675322461615112</v>
          </cell>
          <cell r="BC1382">
            <v>-0.61694060067815082</v>
          </cell>
          <cell r="BD1382">
            <v>-0.6101614780905984</v>
          </cell>
          <cell r="BE1382">
            <v>-1.6590830803153711E-2</v>
          </cell>
          <cell r="BF1382">
            <v>6.790661820388344E-3</v>
          </cell>
          <cell r="BG1382">
            <v>3.1922676942941486E-2</v>
          </cell>
          <cell r="BH1382">
            <v>5.8664753424508831E-2</v>
          </cell>
          <cell r="BI1382">
            <v>8.686713636258947E-2</v>
          </cell>
        </row>
        <row r="1383">
          <cell r="E1383" t="str">
            <v>100*(X_2/X_0-1)</v>
          </cell>
          <cell r="F1383">
            <v>-1.2297370546199282E-3</v>
          </cell>
          <cell r="G1383">
            <v>-3.6362412176860204E-3</v>
          </cell>
          <cell r="H1383">
            <v>-6.9243247968864274E-3</v>
          </cell>
          <cell r="I1383">
            <v>-1.1081507157095771E-2</v>
          </cell>
          <cell r="J1383">
            <v>-1.6307699779971596E-2</v>
          </cell>
          <cell r="K1383">
            <v>-2.2821310469012257E-2</v>
          </cell>
          <cell r="L1383">
            <v>-3.0735946721605067E-2</v>
          </cell>
          <cell r="M1383">
            <v>-4.0040849362288355E-2</v>
          </cell>
          <cell r="N1383">
            <v>-5.0624749637262489E-2</v>
          </cell>
          <cell r="O1383">
            <v>-6.2315998206363687E-2</v>
          </cell>
          <cell r="P1383">
            <v>-7.4919589741762049E-2</v>
          </cell>
          <cell r="Q1383">
            <v>-8.8222517541858281E-2</v>
          </cell>
          <cell r="R1383">
            <v>-0.10204582911270688</v>
          </cell>
          <cell r="S1383">
            <v>-0.11624343395656433</v>
          </cell>
          <cell r="T1383">
            <v>-0.13069580361150246</v>
          </cell>
          <cell r="U1383">
            <v>-0.14530541384503159</v>
          </cell>
          <cell r="V1383">
            <v>-0.15998507949279706</v>
          </cell>
          <cell r="W1383">
            <v>-0.17468567287852732</v>
          </cell>
          <cell r="X1383">
            <v>-0.18938958788679017</v>
          </cell>
          <cell r="Y1383">
            <v>-0.20410187451029849</v>
          </cell>
          <cell r="Z1383">
            <v>-0.21883947283930505</v>
          </cell>
          <cell r="AA1383">
            <v>-0.23363723688389904</v>
          </cell>
          <cell r="AB1383">
            <v>-0.24852940544274338</v>
          </cell>
          <cell r="AC1383">
            <v>-0.26354911632252565</v>
          </cell>
          <cell r="AD1383">
            <v>-0.27872783856814909</v>
          </cell>
          <cell r="AE1383">
            <v>-0.29408335479029768</v>
          </cell>
          <cell r="AF1383">
            <v>-0.30965901440326293</v>
          </cell>
          <cell r="AG1383">
            <v>-0.32547873493798951</v>
          </cell>
          <cell r="AH1383">
            <v>-0.34155042932292323</v>
          </cell>
          <cell r="AI1383">
            <v>-0.35787193618325164</v>
          </cell>
          <cell r="AJ1383">
            <v>-0.37443542426067733</v>
          </cell>
          <cell r="AK1383">
            <v>-0.39123203045760002</v>
          </cell>
          <cell r="AL1383">
            <v>-0.408247609098078</v>
          </cell>
          <cell r="AM1383">
            <v>-0.42546587616857368</v>
          </cell>
          <cell r="AN1383">
            <v>-0.44287006906770232</v>
          </cell>
          <cell r="AO1383">
            <v>-0.46044557857709556</v>
          </cell>
          <cell r="AP1383">
            <v>-0.47818057888587839</v>
          </cell>
          <cell r="AQ1383">
            <v>-0.4960421126217307</v>
          </cell>
          <cell r="AR1383">
            <v>-0.51398124990029714</v>
          </cell>
          <cell r="AS1383">
            <v>-0.53194782968833954</v>
          </cell>
          <cell r="AT1383">
            <v>-0.54990152768268352</v>
          </cell>
          <cell r="AU1383">
            <v>-0.57364749555420813</v>
          </cell>
          <cell r="AV1383">
            <v>-0.60589194962827886</v>
          </cell>
          <cell r="AW1383">
            <v>-0.64716714891628335</v>
          </cell>
          <cell r="AX1383">
            <v>-0.69678539315409793</v>
          </cell>
          <cell r="AY1383">
            <v>-0.75355481636788513</v>
          </cell>
          <cell r="AZ1383">
            <v>-0.8084119503402043</v>
          </cell>
          <cell r="BA1383">
            <v>-0.8565638432976308</v>
          </cell>
          <cell r="BB1383">
            <v>-0.89631041481674778</v>
          </cell>
          <cell r="BC1383">
            <v>-0.92775050560561789</v>
          </cell>
          <cell r="BD1383">
            <v>-0.9517860361224928</v>
          </cell>
          <cell r="BE1383">
            <v>-0.54398262451842427</v>
          </cell>
          <cell r="BF1383">
            <v>-0.56541867023395254</v>
          </cell>
          <cell r="BG1383">
            <v>-0.5866946144340468</v>
          </cell>
          <cell r="BH1383">
            <v>-0.60781986002279575</v>
          </cell>
          <cell r="BI1383">
            <v>-0.62881021150971161</v>
          </cell>
        </row>
        <row r="1384">
          <cell r="E1384" t="str">
            <v>100*(M_2/M_0-1)</v>
          </cell>
          <cell r="F1384">
            <v>-1.1800458185973195E-2</v>
          </cell>
          <cell r="G1384">
            <v>-1.6360941706861087E-2</v>
          </cell>
          <cell r="H1384">
            <v>-2.0490681088469742E-2</v>
          </cell>
          <cell r="I1384">
            <v>-2.4182075711909334E-2</v>
          </cell>
          <cell r="J1384">
            <v>-2.7997190926931648E-2</v>
          </cell>
          <cell r="K1384">
            <v>-3.2266253289892077E-2</v>
          </cell>
          <cell r="L1384">
            <v>-3.7261362250207153E-2</v>
          </cell>
          <cell r="M1384">
            <v>-4.2726160596584517E-2</v>
          </cell>
          <cell r="N1384">
            <v>-4.8334836981656082E-2</v>
          </cell>
          <cell r="O1384">
            <v>-5.3836322932210301E-2</v>
          </cell>
          <cell r="P1384">
            <v>-5.9163957587604621E-2</v>
          </cell>
          <cell r="Q1384">
            <v>-6.4425175407467616E-2</v>
          </cell>
          <cell r="R1384">
            <v>-6.9491073522409685E-2</v>
          </cell>
          <cell r="S1384">
            <v>-7.4456511763287825E-2</v>
          </cell>
          <cell r="T1384">
            <v>-7.9421822178593615E-2</v>
          </cell>
          <cell r="U1384">
            <v>-8.4473987118793836E-2</v>
          </cell>
          <cell r="V1384">
            <v>-8.998974179963426E-2</v>
          </cell>
          <cell r="W1384">
            <v>-9.5717345449419788E-2</v>
          </cell>
          <cell r="X1384">
            <v>-0.10168847775351431</v>
          </cell>
          <cell r="Y1384">
            <v>-0.1079137457419832</v>
          </cell>
          <cell r="Z1384">
            <v>-0.11430792401408985</v>
          </cell>
          <cell r="AA1384">
            <v>-0.1210429924579759</v>
          </cell>
          <cell r="AB1384">
            <v>-0.12797412953333698</v>
          </cell>
          <cell r="AC1384">
            <v>-0.13507710303398701</v>
          </cell>
          <cell r="AD1384">
            <v>-0.1423279212497186</v>
          </cell>
          <cell r="AE1384">
            <v>-0.14942763430082495</v>
          </cell>
          <cell r="AF1384">
            <v>-0.15675248113021789</v>
          </cell>
          <cell r="AG1384">
            <v>-0.16418650352332254</v>
          </cell>
          <cell r="AH1384">
            <v>-0.17170462628218752</v>
          </cell>
          <cell r="AI1384">
            <v>-0.17928721744311371</v>
          </cell>
          <cell r="AJ1384">
            <v>-0.18692443484054078</v>
          </cell>
          <cell r="AK1384">
            <v>-0.19453076382786039</v>
          </cell>
          <cell r="AL1384">
            <v>-0.20218706815947618</v>
          </cell>
          <cell r="AM1384">
            <v>-0.20989821152085364</v>
          </cell>
          <cell r="AN1384">
            <v>-0.21767182084899694</v>
          </cell>
          <cell r="AO1384">
            <v>-0.22551719784972279</v>
          </cell>
          <cell r="AP1384">
            <v>-0.23258889300700192</v>
          </cell>
          <cell r="AQ1384">
            <v>-0.23973483847934407</v>
          </cell>
          <cell r="AR1384">
            <v>-0.24693197701806113</v>
          </cell>
          <cell r="AS1384">
            <v>-0.25415622069184796</v>
          </cell>
          <cell r="AT1384">
            <v>-0.26139038429828787</v>
          </cell>
          <cell r="AU1384">
            <v>-0.27210428997729297</v>
          </cell>
          <cell r="AV1384">
            <v>-0.28559884159707893</v>
          </cell>
          <cell r="AW1384">
            <v>-0.30000842643794767</v>
          </cell>
          <cell r="AX1384">
            <v>-0.31364094933453712</v>
          </cell>
          <cell r="AY1384">
            <v>-0.32550483586896162</v>
          </cell>
          <cell r="AZ1384">
            <v>-0.33038129745253109</v>
          </cell>
          <cell r="BA1384">
            <v>-0.32974829436452913</v>
          </cell>
          <cell r="BB1384">
            <v>-0.3265064027853648</v>
          </cell>
          <cell r="BC1384">
            <v>-0.32346647901693171</v>
          </cell>
          <cell r="BD1384">
            <v>-0.32246583107223836</v>
          </cell>
          <cell r="BE1384">
            <v>0.12102451906113032</v>
          </cell>
          <cell r="BF1384">
            <v>0.1305828611516846</v>
          </cell>
          <cell r="BG1384">
            <v>0.14036785952271646</v>
          </cell>
          <cell r="BH1384">
            <v>0.15031976500954336</v>
          </cell>
          <cell r="BI1384">
            <v>0.1603921557421506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-7.7149520254060633E-3</v>
          </cell>
          <cell r="G1385">
            <v>-1.2434295547170127E-2</v>
          </cell>
          <cell r="H1385">
            <v>-1.3838343020577959E-2</v>
          </cell>
          <cell r="I1385">
            <v>-1.3869418182199666E-2</v>
          </cell>
          <cell r="J1385">
            <v>-1.4327939360803121E-2</v>
          </cell>
          <cell r="K1385">
            <v>-1.6040720750065685E-2</v>
          </cell>
          <cell r="L1385">
            <v>-1.8932651548664303E-2</v>
          </cell>
          <cell r="M1385">
            <v>-2.2462997208727575E-2</v>
          </cell>
          <cell r="N1385">
            <v>-2.6038281221574255E-2</v>
          </cell>
          <cell r="O1385">
            <v>-2.9232850594229642E-2</v>
          </cell>
          <cell r="P1385">
            <v>-3.1884287814909484E-2</v>
          </cell>
          <cell r="Q1385">
            <v>-3.3925574253212964E-2</v>
          </cell>
          <cell r="R1385">
            <v>-3.5485996040274248E-2</v>
          </cell>
          <cell r="S1385">
            <v>-3.6760423385817642E-2</v>
          </cell>
          <cell r="T1385">
            <v>-3.7942089555298431E-2</v>
          </cell>
          <cell r="U1385">
            <v>-3.9187212853408759E-2</v>
          </cell>
          <cell r="V1385">
            <v>-4.0641397919827238E-2</v>
          </cell>
          <cell r="W1385">
            <v>-4.2372127766177048E-2</v>
          </cell>
          <cell r="X1385">
            <v>-4.4430844533083214E-2</v>
          </cell>
          <cell r="Y1385">
            <v>-4.6838074059585288E-2</v>
          </cell>
          <cell r="Z1385">
            <v>-4.9539843699009101E-2</v>
          </cell>
          <cell r="AA1385">
            <v>-5.2587055967889818E-2</v>
          </cell>
          <cell r="AB1385">
            <v>-5.5901770410460294E-2</v>
          </cell>
          <cell r="AC1385">
            <v>-5.9418455264270698E-2</v>
          </cell>
          <cell r="AD1385">
            <v>-6.3082572016504024E-2</v>
          </cell>
          <cell r="AE1385">
            <v>-6.6693253880389936E-2</v>
          </cell>
          <cell r="AF1385">
            <v>-7.0408440791236426E-2</v>
          </cell>
          <cell r="AG1385">
            <v>-7.416229305566846E-2</v>
          </cell>
          <cell r="AH1385">
            <v>-7.789916467806357E-2</v>
          </cell>
          <cell r="AI1385">
            <v>-8.1587102937008549E-2</v>
          </cell>
          <cell r="AJ1385">
            <v>-8.5216405410826201E-2</v>
          </cell>
          <cell r="AK1385">
            <v>-8.8781904149093371E-2</v>
          </cell>
          <cell r="AL1385">
            <v>-9.2299855280175702E-2</v>
          </cell>
          <cell r="AM1385">
            <v>-9.5785716474805493E-2</v>
          </cell>
          <cell r="AN1385">
            <v>-9.925702759494559E-2</v>
          </cell>
          <cell r="AO1385">
            <v>-0.10273359338272003</v>
          </cell>
          <cell r="AP1385">
            <v>-0.10608057998875431</v>
          </cell>
          <cell r="AQ1385">
            <v>-0.10937528440608801</v>
          </cell>
          <cell r="AR1385">
            <v>-0.11260614987725903</v>
          </cell>
          <cell r="AS1385">
            <v>-0.11574243983286658</v>
          </cell>
          <cell r="AT1385">
            <v>-0.11878049126257118</v>
          </cell>
          <cell r="AU1385">
            <v>-0.12906884530154983</v>
          </cell>
          <cell r="AV1385">
            <v>-0.14542808581711197</v>
          </cell>
          <cell r="AW1385">
            <v>-0.16385534489413711</v>
          </cell>
          <cell r="AX1385">
            <v>-0.18086520470703693</v>
          </cell>
          <cell r="AY1385">
            <v>-0.19456150463552646</v>
          </cell>
          <cell r="AZ1385">
            <v>-0.1944571781928639</v>
          </cell>
          <cell r="BA1385">
            <v>-0.18280743863755555</v>
          </cell>
          <cell r="BB1385">
            <v>-0.16612107311241298</v>
          </cell>
          <cell r="BC1385">
            <v>-0.1502113661499771</v>
          </cell>
          <cell r="BD1385">
            <v>-0.13852612995914892</v>
          </cell>
          <cell r="BE1385">
            <v>5.0694879674284543E-2</v>
          </cell>
          <cell r="BF1385">
            <v>5.4749036903967152E-2</v>
          </cell>
          <cell r="BG1385">
            <v>5.8653461274560392E-2</v>
          </cell>
          <cell r="BH1385">
            <v>6.230993204430213E-2</v>
          </cell>
          <cell r="BI1385">
            <v>6.5658514727173767E-2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-1.0046591429513363E-2</v>
          </cell>
          <cell r="G1386">
            <v>-1.9861129623066631E-2</v>
          </cell>
          <cell r="H1386">
            <v>-2.8088110685764445E-2</v>
          </cell>
          <cell r="I1386">
            <v>-3.4825331094634482E-2</v>
          </cell>
          <cell r="J1386">
            <v>-4.1314131342218285E-2</v>
          </cell>
          <cell r="K1386">
            <v>-4.8785428059605618E-2</v>
          </cell>
          <cell r="L1386">
            <v>-5.7715033397531812E-2</v>
          </cell>
          <cell r="M1386">
            <v>-6.8015044386937618E-2</v>
          </cell>
          <cell r="N1386">
            <v>-7.932502204525127E-2</v>
          </cell>
          <cell r="O1386">
            <v>-9.1204423259616529E-2</v>
          </cell>
          <cell r="P1386">
            <v>-0.10327395228162395</v>
          </cell>
          <cell r="Q1386">
            <v>-0.11530899353553448</v>
          </cell>
          <cell r="R1386">
            <v>-0.12706929822813295</v>
          </cell>
          <cell r="S1386">
            <v>-0.13847737506607061</v>
          </cell>
          <cell r="T1386">
            <v>-0.14952626167872296</v>
          </cell>
          <cell r="U1386">
            <v>-0.1602348828492195</v>
          </cell>
          <cell r="V1386">
            <v>-0.17074551147071571</v>
          </cell>
          <cell r="W1386">
            <v>-0.18100927333052352</v>
          </cell>
          <cell r="X1386">
            <v>-0.19106445886495349</v>
          </cell>
          <cell r="Y1386">
            <v>-0.20096284293659172</v>
          </cell>
          <cell r="Z1386">
            <v>-0.21073663820037059</v>
          </cell>
          <cell r="AA1386">
            <v>-0.22046706397442772</v>
          </cell>
          <cell r="AB1386">
            <v>-0.23015984572997139</v>
          </cell>
          <cell r="AC1386">
            <v>-0.23981803138412028</v>
          </cell>
          <cell r="AD1386">
            <v>-0.2494355841435647</v>
          </cell>
          <cell r="AE1386">
            <v>-0.25894098240000218</v>
          </cell>
          <cell r="AF1386">
            <v>-0.2683904786666802</v>
          </cell>
          <cell r="AG1386">
            <v>-0.27778355592137371</v>
          </cell>
          <cell r="AH1386">
            <v>-0.28708684828305797</v>
          </cell>
          <cell r="AI1386">
            <v>-0.29625516749690606</v>
          </cell>
          <cell r="AJ1386">
            <v>-0.30524564926901476</v>
          </cell>
          <cell r="AK1386">
            <v>-0.31399504441589343</v>
          </cell>
          <cell r="AL1386">
            <v>-0.32249714503441718</v>
          </cell>
          <cell r="AM1386">
            <v>-0.33073464414278275</v>
          </cell>
          <cell r="AN1386">
            <v>-0.33869432341964156</v>
          </cell>
          <cell r="AO1386">
            <v>-0.34636911416471294</v>
          </cell>
          <cell r="AP1386">
            <v>-0.35347773006864092</v>
          </cell>
          <cell r="AQ1386">
            <v>-0.36021709286575554</v>
          </cell>
          <cell r="AR1386">
            <v>-0.36654107501867816</v>
          </cell>
          <cell r="AS1386">
            <v>-0.3723693107249515</v>
          </cell>
          <cell r="AT1386">
            <v>-0.37765585025532067</v>
          </cell>
          <cell r="AU1386">
            <v>-0.38912402147073255</v>
          </cell>
          <cell r="AV1386">
            <v>-0.40949166166455164</v>
          </cell>
          <cell r="AW1386">
            <v>-0.43825469614823254</v>
          </cell>
          <cell r="AX1386">
            <v>-0.4732662131332277</v>
          </cell>
          <cell r="AY1386">
            <v>-0.5120894542637866</v>
          </cell>
          <cell r="AZ1386">
            <v>-0.54347262698257737</v>
          </cell>
          <cell r="BA1386">
            <v>-0.56263219207883797</v>
          </cell>
          <cell r="BB1386">
            <v>-0.56967807794725545</v>
          </cell>
          <cell r="BC1386">
            <v>-0.56729298042924592</v>
          </cell>
          <cell r="BD1386">
            <v>-0.5587004508761706</v>
          </cell>
          <cell r="BE1386">
            <v>-2.4029598338692892E-2</v>
          </cell>
          <cell r="BF1386">
            <v>-2.9464789680022641E-3</v>
          </cell>
          <cell r="BG1386">
            <v>1.9727906363664616E-2</v>
          </cell>
          <cell r="BH1386">
            <v>4.3856441714518191E-2</v>
          </cell>
          <cell r="BI1386">
            <v>6.9296504480398369E-2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-1.844959944382607E-2</v>
          </cell>
          <cell r="G1387">
            <v>-4.2655322695228648E-2</v>
          </cell>
          <cell r="H1387">
            <v>-5.66509587179298E-2</v>
          </cell>
          <cell r="I1387">
            <v>-6.4066906835891224E-2</v>
          </cell>
          <cell r="J1387">
            <v>-6.9973176384408031E-2</v>
          </cell>
          <cell r="K1387">
            <v>-7.8150135627130801E-2</v>
          </cell>
          <cell r="L1387">
            <v>-8.8360988021074505E-2</v>
          </cell>
          <cell r="M1387">
            <v>-9.9559305706486967E-2</v>
          </cell>
          <cell r="N1387">
            <v>-0.11059703155600342</v>
          </cell>
          <cell r="O1387">
            <v>-0.12059894654500303</v>
          </cell>
          <cell r="P1387">
            <v>-0.12912578225123816</v>
          </cell>
          <cell r="Q1387">
            <v>-0.13618444702760968</v>
          </cell>
          <cell r="R1387">
            <v>-0.14202260435123293</v>
          </cell>
          <cell r="S1387">
            <v>-0.14702712958992725</v>
          </cell>
          <cell r="T1387">
            <v>-0.15156966035637653</v>
          </cell>
          <cell r="U1387">
            <v>-0.15590030592828041</v>
          </cell>
          <cell r="V1387">
            <v>-0.16031331686663375</v>
          </cell>
          <cell r="W1387">
            <v>-0.16490657296193145</v>
          </cell>
          <cell r="X1387">
            <v>-0.16975928795557316</v>
          </cell>
          <cell r="Y1387">
            <v>-0.17492671899086432</v>
          </cell>
          <cell r="Z1387">
            <v>-0.18042133789454295</v>
          </cell>
          <cell r="AA1387">
            <v>-0.18629216947473326</v>
          </cell>
          <cell r="AB1387">
            <v>-0.19245538446813759</v>
          </cell>
          <cell r="AC1387">
            <v>-0.19881915850638032</v>
          </cell>
          <cell r="AD1387">
            <v>-0.20529346957470773</v>
          </cell>
          <cell r="AE1387">
            <v>-0.21174493909017489</v>
          </cell>
          <cell r="AF1387">
            <v>-0.21824960924986536</v>
          </cell>
          <cell r="AG1387">
            <v>-0.22472275061078406</v>
          </cell>
          <cell r="AH1387">
            <v>-0.23106958813705614</v>
          </cell>
          <cell r="AI1387">
            <v>-0.23721014895857762</v>
          </cell>
          <cell r="AJ1387">
            <v>-0.2430949203272692</v>
          </cell>
          <cell r="AK1387">
            <v>-0.24867321932996456</v>
          </cell>
          <cell r="AL1387">
            <v>-0.25395638588886493</v>
          </cell>
          <cell r="AM1387">
            <v>-0.25896659524621279</v>
          </cell>
          <cell r="AN1387">
            <v>-0.26373198620400773</v>
          </cell>
          <cell r="AO1387">
            <v>-0.26828354528877218</v>
          </cell>
          <cell r="AP1387">
            <v>-0.27233451180342927</v>
          </cell>
          <cell r="AQ1387">
            <v>-0.27602357280064327</v>
          </cell>
          <cell r="AR1387">
            <v>-0.27901117785567031</v>
          </cell>
          <cell r="AS1387">
            <v>-0.28103811694204506</v>
          </cell>
          <cell r="AT1387">
            <v>-0.28212129764569882</v>
          </cell>
          <cell r="AU1387">
            <v>-0.29302386649249224</v>
          </cell>
          <cell r="AV1387">
            <v>-0.31384898223718594</v>
          </cell>
          <cell r="AW1387">
            <v>-0.33905445622449681</v>
          </cell>
          <cell r="AX1387">
            <v>-0.36224625859648807</v>
          </cell>
          <cell r="AY1387">
            <v>-0.37896408252938718</v>
          </cell>
          <cell r="AZ1387">
            <v>-0.37295045770041613</v>
          </cell>
          <cell r="BA1387">
            <v>-0.34540106149785199</v>
          </cell>
          <cell r="BB1387">
            <v>-0.30617934299835836</v>
          </cell>
          <cell r="BC1387">
            <v>-0.26616649565897044</v>
          </cell>
          <cell r="BD1387">
            <v>-0.23308153872807491</v>
          </cell>
          <cell r="BE1387">
            <v>-0.17458533209651073</v>
          </cell>
          <cell r="BF1387">
            <v>-0.18184727266860046</v>
          </cell>
          <cell r="BG1387">
            <v>-0.18919186420462974</v>
          </cell>
          <cell r="BH1387">
            <v>-0.19676894095761455</v>
          </cell>
          <cell r="BI1387">
            <v>-0.20467680295104262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-6.028607038088829E-3</v>
          </cell>
          <cell r="G1388">
            <v>-1.2351028520740659E-2</v>
          </cell>
          <cell r="H1388">
            <v>-1.6678405604697577E-2</v>
          </cell>
          <cell r="I1388">
            <v>-1.9499993550442518E-2</v>
          </cell>
          <cell r="J1388">
            <v>-2.2019562982211749E-2</v>
          </cell>
          <cell r="K1388">
            <v>-2.514269848127304E-2</v>
          </cell>
          <cell r="L1388">
            <v>-2.9100226537703833E-2</v>
          </cell>
          <cell r="M1388">
            <v>-3.3712278631881087E-2</v>
          </cell>
          <cell r="N1388">
            <v>-3.8638949993363703E-2</v>
          </cell>
          <cell r="O1388">
            <v>-4.3534205315909347E-2</v>
          </cell>
          <cell r="P1388">
            <v>-4.812119995388775E-2</v>
          </cell>
          <cell r="Q1388">
            <v>-5.2224126112121461E-2</v>
          </cell>
          <cell r="R1388">
            <v>-5.5751533627390604E-2</v>
          </cell>
          <cell r="S1388">
            <v>-5.8696605317321016E-2</v>
          </cell>
          <cell r="T1388">
            <v>-6.1095444506897856E-2</v>
          </cell>
          <cell r="U1388">
            <v>-6.3000270261948099E-2</v>
          </cell>
          <cell r="V1388">
            <v>-6.4484922925700516E-2</v>
          </cell>
          <cell r="W1388">
            <v>-6.5612559725614084E-2</v>
          </cell>
          <cell r="X1388">
            <v>-6.6464124131160318E-2</v>
          </cell>
          <cell r="Y1388">
            <v>-6.7120375654572406E-2</v>
          </cell>
          <cell r="Z1388">
            <v>-6.7651136876534235E-2</v>
          </cell>
          <cell r="AA1388">
            <v>-6.8122665374181768E-2</v>
          </cell>
          <cell r="AB1388">
            <v>-6.8573215782752328E-2</v>
          </cell>
          <cell r="AC1388">
            <v>-6.9023542888624334E-2</v>
          </cell>
          <cell r="AD1388">
            <v>-6.9484562077182233E-2</v>
          </cell>
          <cell r="AE1388">
            <v>-6.995237732029258E-2</v>
          </cell>
          <cell r="AF1388">
            <v>-7.0451637468926798E-2</v>
          </cell>
          <cell r="AG1388">
            <v>-7.0982553267262549E-2</v>
          </cell>
          <cell r="AH1388">
            <v>-7.151917541579067E-2</v>
          </cell>
          <cell r="AI1388">
            <v>-7.2031037260567032E-2</v>
          </cell>
          <cell r="AJ1388">
            <v>-7.2492600931750584E-2</v>
          </cell>
          <cell r="AK1388">
            <v>-7.2880830636501415E-2</v>
          </cell>
          <cell r="AL1388">
            <v>-7.318528021774684E-2</v>
          </cell>
          <cell r="AM1388">
            <v>-7.3397537776298538E-2</v>
          </cell>
          <cell r="AN1388">
            <v>-7.3513636026389939E-2</v>
          </cell>
          <cell r="AO1388">
            <v>-7.3534622268656147E-2</v>
          </cell>
          <cell r="AP1388">
            <v>-7.3411753865326723E-2</v>
          </cell>
          <cell r="AQ1388">
            <v>-7.3169695347785613E-2</v>
          </cell>
          <cell r="AR1388">
            <v>-7.2769934906058431E-2</v>
          </cell>
          <cell r="AS1388">
            <v>-7.216572829528145E-2</v>
          </cell>
          <cell r="AT1388">
            <v>-7.1339125766134437E-2</v>
          </cell>
          <cell r="AU1388">
            <v>-7.6118025276417089E-2</v>
          </cell>
          <cell r="AV1388">
            <v>-8.758804522048802E-2</v>
          </cell>
          <cell r="AW1388">
            <v>-0.10421601868952912</v>
          </cell>
          <cell r="AX1388">
            <v>-0.12366689150780097</v>
          </cell>
          <cell r="AY1388">
            <v>-0.14383440917203894</v>
          </cell>
          <cell r="AZ1388">
            <v>-0.1552672872817018</v>
          </cell>
          <cell r="BA1388">
            <v>-0.15572504459809844</v>
          </cell>
          <cell r="BB1388">
            <v>-0.14697187644808762</v>
          </cell>
          <cell r="BC1388">
            <v>-0.13209915500279612</v>
          </cell>
          <cell r="BD1388">
            <v>-0.11399639797912142</v>
          </cell>
          <cell r="BE1388">
            <v>-4.6237572208673861E-2</v>
          </cell>
          <cell r="BF1388">
            <v>-3.9788414709518438E-2</v>
          </cell>
          <cell r="BG1388">
            <v>-3.2910111721817792E-2</v>
          </cell>
          <cell r="BH1388">
            <v>-2.5688620004793439E-2</v>
          </cell>
          <cell r="BI1388">
            <v>-1.8194280593819556E-2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8.2456910945882811E-3</v>
          </cell>
          <cell r="G1389">
            <v>1.7504830634229585E-2</v>
          </cell>
          <cell r="H1389">
            <v>2.678316654720625E-2</v>
          </cell>
          <cell r="I1389">
            <v>3.5858209023409415E-2</v>
          </cell>
          <cell r="J1389">
            <v>4.5249252714008037E-2</v>
          </cell>
          <cell r="K1389">
            <v>5.5588594383038092E-2</v>
          </cell>
          <cell r="L1389">
            <v>6.7457984308361141E-2</v>
          </cell>
          <cell r="M1389">
            <v>8.114953875877351E-2</v>
          </cell>
          <cell r="N1389">
            <v>9.6662601412234039E-2</v>
          </cell>
          <cell r="O1389">
            <v>0.11377778984222875</v>
          </cell>
          <cell r="P1389">
            <v>0.132114916656767</v>
          </cell>
          <cell r="Q1389">
            <v>0.15130159562379841</v>
          </cell>
          <cell r="R1389">
            <v>0.17094761207074871</v>
          </cell>
          <cell r="S1389">
            <v>0.19072574986154223</v>
          </cell>
          <cell r="T1389">
            <v>0.21037723160486355</v>
          </cell>
          <cell r="U1389">
            <v>0.22971709953252262</v>
          </cell>
          <cell r="V1389">
            <v>0.24860608124022132</v>
          </cell>
          <cell r="W1389">
            <v>0.26699744919598256</v>
          </cell>
          <cell r="X1389">
            <v>0.28491195754620779</v>
          </cell>
          <cell r="Y1389">
            <v>0.30241309471861211</v>
          </cell>
          <cell r="Z1389">
            <v>0.31961522366155126</v>
          </cell>
          <cell r="AA1389">
            <v>0.33659490902919753</v>
          </cell>
          <cell r="AB1389">
            <v>0.35345767301486752</v>
          </cell>
          <cell r="AC1389">
            <v>0.37029625210340811</v>
          </cell>
          <cell r="AD1389">
            <v>0.38719052039313251</v>
          </cell>
          <cell r="AE1389">
            <v>0.40429441690570389</v>
          </cell>
          <cell r="AF1389">
            <v>0.42162769773368414</v>
          </cell>
          <cell r="AG1389">
            <v>0.43922828646625334</v>
          </cell>
          <cell r="AH1389">
            <v>0.45710275773238607</v>
          </cell>
          <cell r="AI1389">
            <v>0.47523517930481152</v>
          </cell>
          <cell r="AJ1389">
            <v>0.49359731516926963</v>
          </cell>
          <cell r="AK1389">
            <v>0.51216044670332472</v>
          </cell>
          <cell r="AL1389">
            <v>0.53088795472280292</v>
          </cell>
          <cell r="AM1389">
            <v>0.54974112488070936</v>
          </cell>
          <cell r="AN1389">
            <v>0.56868454784351208</v>
          </cell>
          <cell r="AO1389">
            <v>0.58768870629872794</v>
          </cell>
          <cell r="AP1389">
            <v>0.60678856429257078</v>
          </cell>
          <cell r="AQ1389">
            <v>0.62593464557043621</v>
          </cell>
          <cell r="AR1389">
            <v>0.64507431199711807</v>
          </cell>
          <cell r="AS1389">
            <v>0.66416545275744809</v>
          </cell>
          <cell r="AT1389">
            <v>0.68316095954850109</v>
          </cell>
          <cell r="AU1389">
            <v>0.70941374828663584</v>
          </cell>
          <cell r="AV1389">
            <v>0.74667699879640281</v>
          </cell>
          <cell r="AW1389">
            <v>0.79628659996586748</v>
          </cell>
          <cell r="AX1389">
            <v>0.85755612244642343</v>
          </cell>
          <cell r="AY1389">
            <v>0.92870645011247088</v>
          </cell>
          <cell r="AZ1389">
            <v>0.99743637113705041</v>
          </cell>
          <cell r="BA1389">
            <v>1.0563433970845137</v>
          </cell>
          <cell r="BB1389">
            <v>1.1015586475412453</v>
          </cell>
          <cell r="BC1389">
            <v>1.1323267380551671</v>
          </cell>
          <cell r="BD1389">
            <v>1.1497393223790731</v>
          </cell>
          <cell r="BE1389">
            <v>0.8125431429759411</v>
          </cell>
          <cell r="BF1389">
            <v>0.84413600174433334</v>
          </cell>
          <cell r="BG1389">
            <v>0.87530829797670684</v>
          </cell>
          <cell r="BH1389">
            <v>0.90604525289521565</v>
          </cell>
          <cell r="BI1389">
            <v>0.93634214291802298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-1.1584992066882016E-2</v>
          </cell>
          <cell r="G1390">
            <v>-1.4504592457131871E-2</v>
          </cell>
          <cell r="H1390">
            <v>-1.4106896556720372E-2</v>
          </cell>
          <cell r="I1390">
            <v>-1.3663442513944801E-2</v>
          </cell>
          <cell r="J1390">
            <v>-1.4625357340514178E-2</v>
          </cell>
          <cell r="K1390">
            <v>-1.7137377639309115E-2</v>
          </cell>
          <cell r="L1390">
            <v>-2.0589987719454861E-2</v>
          </cell>
          <cell r="M1390">
            <v>-2.4287146473378485E-2</v>
          </cell>
          <cell r="N1390">
            <v>-2.771932322862547E-2</v>
          </cell>
          <cell r="O1390">
            <v>-3.0621892288040797E-2</v>
          </cell>
          <cell r="P1390">
            <v>-3.2987725012945113E-2</v>
          </cell>
          <cell r="Q1390">
            <v>-3.4820656930767413E-2</v>
          </cell>
          <cell r="R1390">
            <v>-3.6294146514070924E-2</v>
          </cell>
          <cell r="S1390">
            <v>-3.7606582073879125E-2</v>
          </cell>
          <cell r="T1390">
            <v>-3.8920311185242085E-2</v>
          </cell>
          <cell r="U1390">
            <v>-4.0350950979295419E-2</v>
          </cell>
          <cell r="V1390">
            <v>-4.2028983477115922E-2</v>
          </cell>
          <cell r="W1390">
            <v>-4.3975307107868566E-2</v>
          </cell>
          <cell r="X1390">
            <v>-4.6237156122819201E-2</v>
          </cell>
          <cell r="Y1390">
            <v>-4.8824853736251228E-2</v>
          </cell>
          <cell r="Z1390">
            <v>-5.1665058633365568E-2</v>
          </cell>
          <cell r="AA1390">
            <v>-5.4839106952697669E-2</v>
          </cell>
          <cell r="AB1390">
            <v>-5.8243414219782963E-2</v>
          </cell>
          <cell r="AC1390">
            <v>-6.1823270840499767E-2</v>
          </cell>
          <cell r="AD1390">
            <v>-6.5533155564745371E-2</v>
          </cell>
          <cell r="AE1390">
            <v>-6.9135700222711094E-2</v>
          </cell>
          <cell r="AF1390">
            <v>-7.2882003485830182E-2</v>
          </cell>
          <cell r="AG1390">
            <v>-7.6661329028060443E-2</v>
          </cell>
          <cell r="AH1390">
            <v>-8.0423060034306992E-2</v>
          </cell>
          <cell r="AI1390">
            <v>-8.4143479784803965E-2</v>
          </cell>
          <cell r="AJ1390">
            <v>-8.7818843486453524E-2</v>
          </cell>
          <cell r="AK1390">
            <v>-9.1439755316047311E-2</v>
          </cell>
          <cell r="AL1390">
            <v>-9.5028570456845429E-2</v>
          </cell>
          <cell r="AM1390">
            <v>-9.8595117886457473E-2</v>
          </cell>
          <cell r="AN1390">
            <v>-0.10215479663566729</v>
          </cell>
          <cell r="AO1390">
            <v>-0.10572561865407337</v>
          </cell>
          <cell r="AP1390">
            <v>-0.10910180612375697</v>
          </cell>
          <cell r="AQ1390">
            <v>-0.11245762178404561</v>
          </cell>
          <cell r="AR1390">
            <v>-0.11573518566230234</v>
          </cell>
          <cell r="AS1390">
            <v>-0.11890165358197091</v>
          </cell>
          <cell r="AT1390">
            <v>-0.12197142329699595</v>
          </cell>
          <cell r="AU1390">
            <v>-0.13578032116547956</v>
          </cell>
          <cell r="AV1390">
            <v>-0.15435858321264373</v>
          </cell>
          <cell r="AW1390">
            <v>-0.1727108972038538</v>
          </cell>
          <cell r="AX1390">
            <v>-0.18814624062162277</v>
          </cell>
          <cell r="AY1390">
            <v>-0.19985602330998553</v>
          </cell>
          <cell r="AZ1390">
            <v>-0.19323968954949589</v>
          </cell>
          <cell r="BA1390">
            <v>-0.17757365065662611</v>
          </cell>
          <cell r="BB1390">
            <v>-0.16075500001222487</v>
          </cell>
          <cell r="BC1390">
            <v>-0.14734182765574477</v>
          </cell>
          <cell r="BD1390">
            <v>-0.13906010146123027</v>
          </cell>
          <cell r="BE1390">
            <v>4.7498446736571331E-2</v>
          </cell>
          <cell r="BF1390">
            <v>5.1407209653087094E-2</v>
          </cell>
          <cell r="BG1390">
            <v>5.5114852930970848E-2</v>
          </cell>
          <cell r="BH1390">
            <v>5.8544590700004839E-2</v>
          </cell>
          <cell r="BI1390">
            <v>6.1660941499108723E-2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1.0526965438906188E-3</v>
          </cell>
          <cell r="G1391">
            <v>7.7945350522190537E-3</v>
          </cell>
          <cell r="H1391">
            <v>1.6477081554211459E-2</v>
          </cell>
          <cell r="I1391">
            <v>2.5499699130460129E-2</v>
          </cell>
          <cell r="J1391">
            <v>3.5183709755037818E-2</v>
          </cell>
          <cell r="K1391">
            <v>4.6508775809139813E-2</v>
          </cell>
          <cell r="L1391">
            <v>6.0182348382098461E-2</v>
          </cell>
          <cell r="M1391">
            <v>7.6451821072098802E-2</v>
          </cell>
          <cell r="N1391">
            <v>9.5155689764614415E-2</v>
          </cell>
          <cell r="O1391">
            <v>0.11588021901729473</v>
          </cell>
          <cell r="P1391">
            <v>0.13806955312415381</v>
          </cell>
          <cell r="Q1391">
            <v>0.16116748462083885</v>
          </cell>
          <cell r="R1391">
            <v>0.18474725686283833</v>
          </cell>
          <cell r="S1391">
            <v>0.2084791091196192</v>
          </cell>
          <cell r="T1391">
            <v>0.23211747228992774</v>
          </cell>
          <cell r="U1391">
            <v>0.25548486089701505</v>
          </cell>
          <cell r="V1391">
            <v>0.27836680395627589</v>
          </cell>
          <cell r="W1391">
            <v>0.30073468261686553</v>
          </cell>
          <cell r="X1391">
            <v>0.32261542149013556</v>
          </cell>
          <cell r="Y1391">
            <v>0.34407437044420286</v>
          </cell>
          <cell r="Z1391">
            <v>0.36523441973523862</v>
          </cell>
          <cell r="AA1391">
            <v>0.38616187420433823</v>
          </cell>
          <cell r="AB1391">
            <v>0.40696063782703629</v>
          </cell>
          <cell r="AC1391">
            <v>0.42771882696448493</v>
          </cell>
          <cell r="AD1391">
            <v>0.44851044873401857</v>
          </cell>
          <cell r="AE1391">
            <v>0.46950991422072264</v>
          </cell>
          <cell r="AF1391">
            <v>0.490735181618418</v>
          </cell>
          <cell r="AG1391">
            <v>0.5122060045552046</v>
          </cell>
          <cell r="AH1391">
            <v>0.53391380440742653</v>
          </cell>
          <cell r="AI1391">
            <v>0.55583040061651934</v>
          </cell>
          <cell r="AJ1391">
            <v>0.57791868988287254</v>
          </cell>
          <cell r="AK1391">
            <v>0.60016063631525007</v>
          </cell>
          <cell r="AL1391">
            <v>0.6225099319969063</v>
          </cell>
          <cell r="AM1391">
            <v>0.64492202332609994</v>
          </cell>
          <cell r="AN1391">
            <v>0.66735766911745209</v>
          </cell>
          <cell r="AO1391">
            <v>0.68978488558379958</v>
          </cell>
          <cell r="AP1391">
            <v>0.71238533451835062</v>
          </cell>
          <cell r="AQ1391">
            <v>0.73504228216618728</v>
          </cell>
          <cell r="AR1391">
            <v>0.75760804052884545</v>
          </cell>
          <cell r="AS1391">
            <v>0.77993891258970605</v>
          </cell>
          <cell r="AT1391">
            <v>0.80192027811289979</v>
          </cell>
          <cell r="AU1391">
            <v>0.83180291164364206</v>
          </cell>
          <cell r="AV1391">
            <v>0.87487598228255248</v>
          </cell>
          <cell r="AW1391">
            <v>0.93334147726820138</v>
          </cell>
          <cell r="AX1391">
            <v>1.0065763296689068</v>
          </cell>
          <cell r="AY1391">
            <v>1.092400640544966</v>
          </cell>
          <cell r="AZ1391">
            <v>1.1768101046256696</v>
          </cell>
          <cell r="BA1391">
            <v>1.2499184026954935</v>
          </cell>
          <cell r="BB1391">
            <v>1.3065223288145522</v>
          </cell>
          <cell r="BC1391">
            <v>1.3457259592803306</v>
          </cell>
          <cell r="BD1391">
            <v>1.3691022348072179</v>
          </cell>
          <cell r="BE1391">
            <v>0.67226973873200091</v>
          </cell>
          <cell r="BF1391">
            <v>0.69672447596293985</v>
          </cell>
          <cell r="BG1391">
            <v>0.72048719210395795</v>
          </cell>
          <cell r="BH1391">
            <v>0.74351876459619604</v>
          </cell>
          <cell r="BI1391">
            <v>0.76583071177447337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-1.8777986617579678E-2</v>
          </cell>
          <cell r="G1392">
            <v>-2.4214888039142402E-2</v>
          </cell>
          <cell r="H1392">
            <v>-2.4412981549715163E-2</v>
          </cell>
          <cell r="I1392">
            <v>-2.4021952406894087E-2</v>
          </cell>
          <cell r="J1392">
            <v>-2.4690900299484397E-2</v>
          </cell>
          <cell r="K1392">
            <v>-2.6217196213207394E-2</v>
          </cell>
          <cell r="L1392">
            <v>-2.7865623645717541E-2</v>
          </cell>
          <cell r="M1392">
            <v>-2.8984864160053192E-2</v>
          </cell>
          <cell r="N1392">
            <v>-2.9226234876245094E-2</v>
          </cell>
          <cell r="O1392">
            <v>-2.8519463112974819E-2</v>
          </cell>
          <cell r="P1392">
            <v>-2.7033088545558304E-2</v>
          </cell>
          <cell r="Q1392">
            <v>-2.4954767933726973E-2</v>
          </cell>
          <cell r="R1392">
            <v>-2.2494501721981308E-2</v>
          </cell>
          <cell r="S1392">
            <v>-1.9853222815802152E-2</v>
          </cell>
          <cell r="T1392">
            <v>-1.7180070500177891E-2</v>
          </cell>
          <cell r="U1392">
            <v>-1.4583189614802983E-2</v>
          </cell>
          <cell r="V1392">
            <v>-1.2268260761061356E-2</v>
          </cell>
          <cell r="W1392">
            <v>-1.0238073686985594E-2</v>
          </cell>
          <cell r="X1392">
            <v>-8.5336921788914388E-3</v>
          </cell>
          <cell r="Y1392">
            <v>-7.1635780106604763E-3</v>
          </cell>
          <cell r="Z1392">
            <v>-6.0458625596782056E-3</v>
          </cell>
          <cell r="AA1392">
            <v>-5.2721417775569712E-3</v>
          </cell>
          <cell r="AB1392">
            <v>-4.7404494076142001E-3</v>
          </cell>
          <cell r="AC1392">
            <v>-4.4006959794229417E-3</v>
          </cell>
          <cell r="AD1392">
            <v>-4.213227223859306E-3</v>
          </cell>
          <cell r="AE1392">
            <v>-3.9202029076923495E-3</v>
          </cell>
          <cell r="AF1392">
            <v>-3.7745196010963156E-3</v>
          </cell>
          <cell r="AG1392">
            <v>-3.6836109391091831E-3</v>
          </cell>
          <cell r="AH1392">
            <v>-3.6120133592665304E-3</v>
          </cell>
          <cell r="AI1392">
            <v>-3.5482584730961442E-3</v>
          </cell>
          <cell r="AJ1392">
            <v>-3.4974687728506204E-3</v>
          </cell>
          <cell r="AK1392">
            <v>-3.4395657041219607E-3</v>
          </cell>
          <cell r="AL1392">
            <v>-3.406593182742057E-3</v>
          </cell>
          <cell r="AM1392">
            <v>-3.4142194410669013E-3</v>
          </cell>
          <cell r="AN1392">
            <v>-3.4816753617272767E-3</v>
          </cell>
          <cell r="AO1392">
            <v>-3.6294393690017301E-3</v>
          </cell>
          <cell r="AP1392">
            <v>-3.5050358979771268E-3</v>
          </cell>
          <cell r="AQ1392">
            <v>-3.3499851882945464E-3</v>
          </cell>
          <cell r="AR1392">
            <v>-3.2014571305749584E-3</v>
          </cell>
          <cell r="AS1392">
            <v>-3.1281937497129597E-3</v>
          </cell>
          <cell r="AT1392">
            <v>-3.212104732597254E-3</v>
          </cell>
          <cell r="AU1392">
            <v>-1.3391157808473331E-2</v>
          </cell>
          <cell r="AV1392">
            <v>-2.6159599726494065E-2</v>
          </cell>
          <cell r="AW1392">
            <v>-3.5656019901519898E-2</v>
          </cell>
          <cell r="AX1392">
            <v>-3.9126033399139448E-2</v>
          </cell>
          <cell r="AY1392">
            <v>-3.6161832877490419E-2</v>
          </cell>
          <cell r="AZ1392">
            <v>-1.3865956060876705E-2</v>
          </cell>
          <cell r="BA1392">
            <v>1.6001354954353619E-2</v>
          </cell>
          <cell r="BB1392">
            <v>4.4208681261082017E-2</v>
          </cell>
          <cell r="BC1392">
            <v>6.6057393569418643E-2</v>
          </cell>
          <cell r="BD1392">
            <v>8.0302810966914606E-2</v>
          </cell>
          <cell r="BE1392">
            <v>-9.277495750736886E-2</v>
          </cell>
          <cell r="BF1392">
            <v>-9.6004316128306399E-2</v>
          </cell>
          <cell r="BG1392">
            <v>-9.970625294177804E-2</v>
          </cell>
          <cell r="BH1392">
            <v>-0.10398189759901477</v>
          </cell>
          <cell r="BI1392">
            <v>-0.10885048964444088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-1.1584992066882016E-2</v>
          </cell>
          <cell r="G1394">
            <v>-1.4504592457131871E-2</v>
          </cell>
          <cell r="H1394">
            <v>-1.4106896556720372E-2</v>
          </cell>
          <cell r="I1394">
            <v>-1.3663442513944801E-2</v>
          </cell>
          <cell r="J1394">
            <v>-1.4625357340514178E-2</v>
          </cell>
          <cell r="K1394">
            <v>-1.7137377639309115E-2</v>
          </cell>
          <cell r="L1394">
            <v>-2.0589987719454861E-2</v>
          </cell>
          <cell r="M1394">
            <v>-2.4287146473378485E-2</v>
          </cell>
          <cell r="N1394">
            <v>-2.771932322862547E-2</v>
          </cell>
          <cell r="O1394">
            <v>-3.0621892288040797E-2</v>
          </cell>
          <cell r="P1394">
            <v>-3.2987725012945113E-2</v>
          </cell>
          <cell r="Q1394">
            <v>-3.4820656930767413E-2</v>
          </cell>
          <cell r="R1394">
            <v>-3.6294146514070924E-2</v>
          </cell>
          <cell r="S1394">
            <v>-3.7606582073879125E-2</v>
          </cell>
          <cell r="T1394">
            <v>-3.8920311185242085E-2</v>
          </cell>
          <cell r="U1394">
            <v>-4.0350950979295419E-2</v>
          </cell>
          <cell r="V1394">
            <v>-4.2028983477115922E-2</v>
          </cell>
          <cell r="W1394">
            <v>-4.3975307107868566E-2</v>
          </cell>
          <cell r="X1394">
            <v>-4.6237156122819201E-2</v>
          </cell>
          <cell r="Y1394">
            <v>-4.8824853736251228E-2</v>
          </cell>
          <cell r="Z1394">
            <v>-5.1665058633365568E-2</v>
          </cell>
          <cell r="AA1394">
            <v>-5.4839106952697669E-2</v>
          </cell>
          <cell r="AB1394">
            <v>-5.8243414219782963E-2</v>
          </cell>
          <cell r="AC1394">
            <v>-6.1823270840499767E-2</v>
          </cell>
          <cell r="AD1394">
            <v>-6.5533155564745371E-2</v>
          </cell>
          <cell r="AE1394">
            <v>-6.9135700222711094E-2</v>
          </cell>
          <cell r="AF1394">
            <v>-7.2882003485830182E-2</v>
          </cell>
          <cell r="AG1394">
            <v>-7.6661329028060443E-2</v>
          </cell>
          <cell r="AH1394">
            <v>-8.0423060034306992E-2</v>
          </cell>
          <cell r="AI1394">
            <v>-8.4143479784803965E-2</v>
          </cell>
          <cell r="AJ1394">
            <v>-8.7818843486453524E-2</v>
          </cell>
          <cell r="AK1394">
            <v>-9.1439755316047311E-2</v>
          </cell>
          <cell r="AL1394">
            <v>-9.5028570456845429E-2</v>
          </cell>
          <cell r="AM1394">
            <v>-9.8595117886457473E-2</v>
          </cell>
          <cell r="AN1394">
            <v>-0.10215479663566729</v>
          </cell>
          <cell r="AO1394">
            <v>-0.10572561865407337</v>
          </cell>
          <cell r="AP1394">
            <v>-0.10910180612375697</v>
          </cell>
          <cell r="AQ1394">
            <v>-0.11245762178404561</v>
          </cell>
          <cell r="AR1394">
            <v>-0.11573518566230234</v>
          </cell>
          <cell r="AS1394">
            <v>-0.11890165358197091</v>
          </cell>
          <cell r="AT1394">
            <v>-0.12197142329699595</v>
          </cell>
          <cell r="AU1394">
            <v>-0.13578032116547956</v>
          </cell>
          <cell r="AV1394">
            <v>-0.15435858321264373</v>
          </cell>
          <cell r="AW1394">
            <v>-0.1727108972038538</v>
          </cell>
          <cell r="AX1394">
            <v>-0.18814624062162277</v>
          </cell>
          <cell r="AY1394">
            <v>-0.19985602330998553</v>
          </cell>
          <cell r="AZ1394">
            <v>-0.19323968954949589</v>
          </cell>
          <cell r="BA1394">
            <v>-0.17757365065662611</v>
          </cell>
          <cell r="BB1394">
            <v>-0.16075500001222487</v>
          </cell>
          <cell r="BC1394">
            <v>-0.14734182765574477</v>
          </cell>
          <cell r="BD1394">
            <v>-0.13906010146123027</v>
          </cell>
          <cell r="BE1394">
            <v>4.7498446736571331E-2</v>
          </cell>
          <cell r="BF1394">
            <v>5.1407209653087094E-2</v>
          </cell>
          <cell r="BG1394">
            <v>5.5114852930970848E-2</v>
          </cell>
          <cell r="BH1394">
            <v>5.8544590700004839E-2</v>
          </cell>
          <cell r="BI1394">
            <v>6.1660941499108723E-2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1.311768508929223E-2</v>
          </cell>
          <cell r="G1395">
            <v>2.3632055728017853E-2</v>
          </cell>
          <cell r="H1395">
            <v>3.2071271750155894E-2</v>
          </cell>
          <cell r="I1395">
            <v>4.0551080563577813E-2</v>
          </cell>
          <cell r="J1395">
            <v>5.0693502973597759E-2</v>
          </cell>
          <cell r="K1395">
            <v>6.3173337534139229E-2</v>
          </cell>
          <cell r="L1395">
            <v>7.7953980532718958E-2</v>
          </cell>
          <cell r="M1395">
            <v>9.4672762995351434E-2</v>
          </cell>
          <cell r="N1395">
            <v>0.1128718849687127</v>
          </cell>
          <cell r="O1395">
            <v>0.13212632095669363</v>
          </cell>
          <cell r="P1395">
            <v>0.15209626362786555</v>
          </cell>
          <cell r="Q1395">
            <v>0.17244619501097791</v>
          </cell>
          <cell r="R1395">
            <v>0.19300282356202736</v>
          </cell>
          <cell r="S1395">
            <v>0.21363408750478818</v>
          </cell>
          <cell r="T1395">
            <v>0.23423115651730608</v>
          </cell>
          <cell r="U1395">
            <v>0.25470441709476432</v>
          </cell>
          <cell r="V1395">
            <v>0.27498752900669832</v>
          </cell>
          <cell r="W1395">
            <v>0.29506789701108094</v>
          </cell>
          <cell r="X1395">
            <v>0.31498485774053009</v>
          </cell>
          <cell r="Y1395">
            <v>0.33479333654338195</v>
          </cell>
          <cell r="Z1395">
            <v>0.35453108993201976</v>
          </cell>
          <cell r="AA1395">
            <v>0.37432035001094821</v>
          </cell>
          <cell r="AB1395">
            <v>0.39418212063029312</v>
          </cell>
          <cell r="AC1395">
            <v>0.41415899987571336</v>
          </cell>
          <cell r="AD1395">
            <v>0.43429151342782024</v>
          </cell>
          <cell r="AE1395">
            <v>0.4545350860842845</v>
          </cell>
          <cell r="AF1395">
            <v>0.47509609867497637</v>
          </cell>
          <cell r="AG1395">
            <v>0.49593193100221367</v>
          </cell>
          <cell r="AH1395">
            <v>0.51701619642736674</v>
          </cell>
          <cell r="AI1395">
            <v>0.53832156799444864</v>
          </cell>
          <cell r="AJ1395">
            <v>0.55982493648352172</v>
          </cell>
          <cell r="AK1395">
            <v>0.58150124106743917</v>
          </cell>
          <cell r="AL1395">
            <v>0.60333056461465695</v>
          </cell>
          <cell r="AM1395">
            <v>0.62528712644183138</v>
          </cell>
          <cell r="AN1395">
            <v>0.64734962023380582</v>
          </cell>
          <cell r="AO1395">
            <v>0.66950395507745508</v>
          </cell>
          <cell r="AP1395">
            <v>0.69164647366795062</v>
          </cell>
          <cell r="AQ1395">
            <v>0.71380078521903201</v>
          </cell>
          <cell r="AR1395">
            <v>0.73587837938176026</v>
          </cell>
          <cell r="AS1395">
            <v>0.75781370221690292</v>
          </cell>
          <cell r="AT1395">
            <v>0.77957930988616919</v>
          </cell>
          <cell r="AU1395">
            <v>0.81897679994771266</v>
          </cell>
          <cell r="AV1395">
            <v>0.87396526174270406</v>
          </cell>
          <cell r="AW1395">
            <v>0.94090799967947447</v>
          </cell>
          <cell r="AX1395">
            <v>1.0164934637283185</v>
          </cell>
          <cell r="AY1395">
            <v>1.0982962451668854</v>
          </cell>
          <cell r="AZ1395">
            <v>1.1603755266397675</v>
          </cell>
          <cell r="BA1395">
            <v>1.2044102948052915</v>
          </cell>
          <cell r="BB1395">
            <v>1.2344841175792709</v>
          </cell>
          <cell r="BC1395">
            <v>1.2543233261967046</v>
          </cell>
          <cell r="BD1395">
            <v>1.2664772860919271</v>
          </cell>
          <cell r="BE1395">
            <v>0.92349145427912394</v>
          </cell>
          <cell r="BF1395">
            <v>0.95712879840108567</v>
          </cell>
          <cell r="BG1395">
            <v>0.99049300470144264</v>
          </cell>
          <cell r="BH1395">
            <v>1.0236628073144516</v>
          </cell>
          <cell r="BI1395">
            <v>1.0566729836185118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8.2283138356453733E-3</v>
          </cell>
          <cell r="G1396">
            <v>1.6124844191534038E-2</v>
          </cell>
          <cell r="H1396">
            <v>2.3280815020632062E-2</v>
          </cell>
          <cell r="I1396">
            <v>3.1037233132225062E-2</v>
          </cell>
          <cell r="J1396">
            <v>4.0580712929805252E-2</v>
          </cell>
          <cell r="K1396">
            <v>5.2387521549945859E-2</v>
          </cell>
          <cell r="L1396">
            <v>6.6344031513021484E-2</v>
          </cell>
          <cell r="M1396">
            <v>8.2069860768663183E-2</v>
          </cell>
          <cell r="N1396">
            <v>9.9115589315301733E-2</v>
          </cell>
          <cell r="O1396">
            <v>0.1170747761702895</v>
          </cell>
          <cell r="P1396">
            <v>0.13562442592578439</v>
          </cell>
          <cell r="Q1396">
            <v>0.1544617349266586</v>
          </cell>
          <cell r="R1396">
            <v>0.17345210075701001</v>
          </cell>
          <cell r="S1396">
            <v>0.19250400899681885</v>
          </cell>
          <cell r="T1396">
            <v>0.21154319739777883</v>
          </cell>
          <cell r="U1396">
            <v>0.23050986021859732</v>
          </cell>
          <cell r="V1396">
            <v>0.24933790827732505</v>
          </cell>
          <cell r="W1396">
            <v>0.26806148516396178</v>
          </cell>
          <cell r="X1396">
            <v>0.2867405706023618</v>
          </cell>
          <cell r="Y1396">
            <v>0.30544064575863672</v>
          </cell>
          <cell r="Z1396">
            <v>0.32421637780388757</v>
          </cell>
          <cell r="AA1396">
            <v>0.34315347058206935</v>
          </cell>
          <cell r="AB1396">
            <v>0.36229204562769901</v>
          </cell>
          <cell r="AC1396">
            <v>0.38166965435391109</v>
          </cell>
          <cell r="AD1396">
            <v>0.40132045234522185</v>
          </cell>
          <cell r="AE1396">
            <v>0.42123901223547477</v>
          </cell>
          <cell r="AF1396">
            <v>0.44153091776208964</v>
          </cell>
          <cell r="AG1396">
            <v>0.46217558639816136</v>
          </cell>
          <cell r="AH1396">
            <v>0.48314079935913856</v>
          </cell>
          <cell r="AI1396">
            <v>0.50439765304697293</v>
          </cell>
          <cell r="AJ1396">
            <v>0.52592356116718531</v>
          </cell>
          <cell r="AK1396">
            <v>0.54770068611407208</v>
          </cell>
          <cell r="AL1396">
            <v>0.56970357057632981</v>
          </cell>
          <cell r="AM1396">
            <v>0.59190797889898672</v>
          </cell>
          <cell r="AN1396">
            <v>0.61429573163538365</v>
          </cell>
          <cell r="AO1396">
            <v>0.63685592588595963</v>
          </cell>
          <cell r="AP1396">
            <v>0.65955037570755159</v>
          </cell>
          <cell r="AQ1396">
            <v>0.68230306259708939</v>
          </cell>
          <cell r="AR1396">
            <v>0.70501816274595175</v>
          </cell>
          <cell r="AS1396">
            <v>0.72763138728471066</v>
          </cell>
          <cell r="AT1396">
            <v>0.75012122774940071</v>
          </cell>
          <cell r="AU1396">
            <v>0.79446165386800605</v>
          </cell>
          <cell r="AV1396">
            <v>0.85665559204353148</v>
          </cell>
          <cell r="AW1396">
            <v>0.93179682923985041</v>
          </cell>
          <cell r="AX1396">
            <v>1.0157814734968573</v>
          </cell>
          <cell r="AY1396">
            <v>1.1057394253870978</v>
          </cell>
          <cell r="AZ1396">
            <v>1.1697540728925038</v>
          </cell>
          <cell r="BA1396">
            <v>1.2123312082353177</v>
          </cell>
          <cell r="BB1396">
            <v>1.2394827007962794</v>
          </cell>
          <cell r="BC1396">
            <v>1.2562148152414965</v>
          </cell>
          <cell r="BD1396">
            <v>1.2658779925992736</v>
          </cell>
          <cell r="BE1396">
            <v>0.76004335846093785</v>
          </cell>
          <cell r="BF1396">
            <v>0.7871795426503958</v>
          </cell>
          <cell r="BG1396">
            <v>0.81408310092607739</v>
          </cell>
          <cell r="BH1396">
            <v>0.8408317434181356</v>
          </cell>
          <cell r="BI1396">
            <v>0.86746467176475051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1.0903752971103131E-2</v>
          </cell>
          <cell r="G1397">
            <v>1.7481041350442261E-2</v>
          </cell>
          <cell r="H1397">
            <v>2.4982384382599143E-2</v>
          </cell>
          <cell r="I1397">
            <v>3.3302472690421858E-2</v>
          </cell>
          <cell r="J1397">
            <v>4.2321830649560965E-2</v>
          </cell>
          <cell r="K1397">
            <v>5.1906994670192219E-2</v>
          </cell>
          <cell r="L1397">
            <v>6.1959280367873681E-2</v>
          </cell>
          <cell r="M1397">
            <v>7.2345665310202811E-2</v>
          </cell>
          <cell r="N1397">
            <v>8.2955114707528033E-2</v>
          </cell>
          <cell r="O1397">
            <v>9.3699024512150508E-2</v>
          </cell>
          <cell r="P1397">
            <v>0.10458789826770509</v>
          </cell>
          <cell r="Q1397">
            <v>0.11568131515855562</v>
          </cell>
          <cell r="R1397">
            <v>0.12687931108912309</v>
          </cell>
          <cell r="S1397">
            <v>0.13816955145975474</v>
          </cell>
          <cell r="T1397">
            <v>0.14955688634485931</v>
          </cell>
          <cell r="U1397">
            <v>0.1610566589359097</v>
          </cell>
          <cell r="V1397">
            <v>0.17302284824116665</v>
          </cell>
          <cell r="W1397">
            <v>0.18523132827548139</v>
          </cell>
          <cell r="X1397">
            <v>0.19770370426830386</v>
          </cell>
          <cell r="Y1397">
            <v>0.21045897391895885</v>
          </cell>
          <cell r="Z1397">
            <v>0.2234116900603933</v>
          </cell>
          <cell r="AA1397">
            <v>0.2368247672335011</v>
          </cell>
          <cell r="AB1397">
            <v>0.25052993166669868</v>
          </cell>
          <cell r="AC1397">
            <v>0.26454218665523666</v>
          </cell>
          <cell r="AD1397">
            <v>0.27886590816208479</v>
          </cell>
          <cell r="AE1397">
            <v>0.29314277845102765</v>
          </cell>
          <cell r="AF1397">
            <v>0.3079375436213283</v>
          </cell>
          <cell r="AG1397">
            <v>0.32300798836739641</v>
          </cell>
          <cell r="AH1397">
            <v>0.33835240427944058</v>
          </cell>
          <cell r="AI1397">
            <v>0.35396012314439229</v>
          </cell>
          <cell r="AJ1397">
            <v>0.36982029144114748</v>
          </cell>
          <cell r="AK1397">
            <v>0.38582745031086052</v>
          </cell>
          <cell r="AL1397">
            <v>0.40205157401691505</v>
          </cell>
          <cell r="AM1397">
            <v>0.41849154482167528</v>
          </cell>
          <cell r="AN1397">
            <v>0.43514997149367574</v>
          </cell>
          <cell r="AO1397">
            <v>0.45203196405843027</v>
          </cell>
          <cell r="AP1397">
            <v>0.46811883785604635</v>
          </cell>
          <cell r="AQ1397">
            <v>0.48432287619626369</v>
          </cell>
          <cell r="AR1397">
            <v>0.50063839365446228</v>
          </cell>
          <cell r="AS1397">
            <v>0.51707816935024908</v>
          </cell>
          <cell r="AT1397">
            <v>0.53366167325372693</v>
          </cell>
          <cell r="AU1397">
            <v>0.56198476725275448</v>
          </cell>
          <cell r="AV1397">
            <v>0.59539364480516443</v>
          </cell>
          <cell r="AW1397">
            <v>0.63040856747893503</v>
          </cell>
          <cell r="AX1397">
            <v>0.66537319519537341</v>
          </cell>
          <cell r="AY1397">
            <v>0.69959278601579022</v>
          </cell>
          <cell r="AZ1397">
            <v>0.71735377641053422</v>
          </cell>
          <cell r="BA1397">
            <v>0.72785868362739148</v>
          </cell>
          <cell r="BB1397">
            <v>0.73574988774831596</v>
          </cell>
          <cell r="BC1397">
            <v>0.74332034898130228</v>
          </cell>
          <cell r="BD1397">
            <v>0.7516014726825393</v>
          </cell>
          <cell r="BE1397">
            <v>0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-6.4143832509966359E-3</v>
          </cell>
          <cell r="G1398">
            <v>-5.7784936763671801E-3</v>
          </cell>
          <cell r="H1398">
            <v>-1.2726906577165131E-3</v>
          </cell>
          <cell r="I1398">
            <v>4.5935442427369466E-3</v>
          </cell>
          <cell r="J1398">
            <v>1.0862005708656142E-2</v>
          </cell>
          <cell r="K1398">
            <v>1.7614225014117579E-2</v>
          </cell>
          <cell r="L1398">
            <v>2.52979117687957E-2</v>
          </cell>
          <cell r="M1398">
            <v>3.4369364796504875E-2</v>
          </cell>
          <cell r="N1398">
            <v>4.5083845299154213E-2</v>
          </cell>
          <cell r="O1398">
            <v>5.747403669722484E-2</v>
          </cell>
          <cell r="P1398">
            <v>7.1392037268358521E-2</v>
          </cell>
          <cell r="Q1398">
            <v>8.6509019061020709E-2</v>
          </cell>
          <cell r="R1398">
            <v>0.10254929448616501</v>
          </cell>
          <cell r="S1398">
            <v>0.11921568182107212</v>
          </cell>
          <cell r="T1398">
            <v>0.13623656786185823</v>
          </cell>
          <cell r="U1398">
            <v>0.15338226217096462</v>
          </cell>
          <cell r="V1398">
            <v>0.17037686395158236</v>
          </cell>
          <cell r="W1398">
            <v>0.18713462190207419</v>
          </cell>
          <cell r="X1398">
            <v>0.20359251610375662</v>
          </cell>
          <cell r="Y1398">
            <v>0.21973156549981443</v>
          </cell>
          <cell r="Z1398">
            <v>0.23557762814323535</v>
          </cell>
          <cell r="AA1398">
            <v>0.25116450212265828</v>
          </cell>
          <cell r="AB1398">
            <v>0.26657616607863588</v>
          </cell>
          <cell r="AC1398">
            <v>0.28189096513033807</v>
          </cell>
          <cell r="AD1398">
            <v>0.29718142801102854</v>
          </cell>
          <cell r="AE1398">
            <v>0.31253098260630718</v>
          </cell>
          <cell r="AF1398">
            <v>0.32798725204257195</v>
          </cell>
          <cell r="AG1398">
            <v>0.34361628110615161</v>
          </cell>
          <cell r="AH1398">
            <v>0.35946794850774122</v>
          </cell>
          <cell r="AI1398">
            <v>0.37556666436069364</v>
          </cell>
          <cell r="AJ1398">
            <v>0.39191522274208968</v>
          </cell>
          <cell r="AK1398">
            <v>0.40852429770841248</v>
          </cell>
          <cell r="AL1398">
            <v>0.42536102676167253</v>
          </cell>
          <cell r="AM1398">
            <v>0.44239541428994222</v>
          </cell>
          <cell r="AN1398">
            <v>0.45959608590566692</v>
          </cell>
          <cell r="AO1398">
            <v>0.47693351232529491</v>
          </cell>
          <cell r="AP1398">
            <v>0.49458368383612505</v>
          </cell>
          <cell r="AQ1398">
            <v>0.51239183341869055</v>
          </cell>
          <cell r="AR1398">
            <v>0.53029007232283654</v>
          </cell>
          <cell r="AS1398">
            <v>0.54822455711223128</v>
          </cell>
          <cell r="AT1398">
            <v>0.56614348246266655</v>
          </cell>
          <cell r="AU1398">
            <v>0.58342274133207361</v>
          </cell>
          <cell r="AV1398">
            <v>0.60487709716603444</v>
          </cell>
          <cell r="AW1398">
            <v>0.63467467217022122</v>
          </cell>
          <cell r="AX1398">
            <v>0.67485717390349809</v>
          </cell>
          <cell r="AY1398">
            <v>0.7256102402299458</v>
          </cell>
          <cell r="AZ1398">
            <v>0.78685725980729426</v>
          </cell>
          <cell r="BA1398">
            <v>0.85031156008736897</v>
          </cell>
          <cell r="BB1398">
            <v>0.90849362362206421</v>
          </cell>
          <cell r="BC1398">
            <v>0.95692230049493343</v>
          </cell>
          <cell r="BD1398">
            <v>0.99382968691446028</v>
          </cell>
          <cell r="BE1398">
            <v>0.52299662863573015</v>
          </cell>
          <cell r="BF1398">
            <v>0.54651107442689195</v>
          </cell>
          <cell r="BG1398">
            <v>0.5699060909814424</v>
          </cell>
          <cell r="BH1398">
            <v>0.5931206808498013</v>
          </cell>
          <cell r="BI1398">
            <v>0.61613815686294426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-2.6239862868404629E-2</v>
          </cell>
          <cell r="G1399">
            <v>-3.7775824944086267E-2</v>
          </cell>
          <cell r="H1399">
            <v>-4.2145520431735584E-2</v>
          </cell>
          <cell r="I1399">
            <v>-4.4905869166589341E-2</v>
          </cell>
          <cell r="J1399">
            <v>-4.8983275800484893E-2</v>
          </cell>
          <cell r="K1399">
            <v>-5.5071695582287195E-2</v>
          </cell>
          <cell r="L1399">
            <v>-6.2694858707357248E-2</v>
          </cell>
          <cell r="M1399">
            <v>-7.0992468330266512E-2</v>
          </cell>
          <cell r="N1399">
            <v>-7.9199569393006986E-2</v>
          </cell>
          <cell r="O1399">
            <v>-8.6800306066980859E-2</v>
          </cell>
          <cell r="P1399">
            <v>-9.3556140741568594E-2</v>
          </cell>
          <cell r="Q1399">
            <v>-9.9428175533577967E-2</v>
          </cell>
          <cell r="R1399">
            <v>-0.10447594631022294</v>
          </cell>
          <cell r="S1399">
            <v>-0.10886806911341029</v>
          </cell>
          <cell r="T1399">
            <v>-0.11277981761417255</v>
          </cell>
          <cell r="U1399">
            <v>-0.11637150608303504</v>
          </cell>
          <cell r="V1399">
            <v>-0.11990970112827348</v>
          </cell>
          <cell r="W1399">
            <v>-0.12345422539429274</v>
          </cell>
          <cell r="X1399">
            <v>-0.12713558918850953</v>
          </cell>
          <cell r="Y1399">
            <v>-0.13104609932423905</v>
          </cell>
          <cell r="Z1399">
            <v>-0.13520068068276769</v>
          </cell>
          <cell r="AA1399">
            <v>-0.13972259210572879</v>
          </cell>
          <cell r="AB1399">
            <v>-0.14452989002741168</v>
          </cell>
          <cell r="AC1399">
            <v>-0.14958218399369061</v>
          </cell>
          <cell r="AD1399">
            <v>-0.15484124497073815</v>
          </cell>
          <cell r="AE1399">
            <v>-0.16014097889813783</v>
          </cell>
          <cell r="AF1399">
            <v>-0.16570303161043132</v>
          </cell>
          <cell r="AG1399">
            <v>-0.1713891555326752</v>
          </cell>
          <cell r="AH1399">
            <v>-0.17710587943221556</v>
          </cell>
          <cell r="AI1399">
            <v>-0.18278950922325787</v>
          </cell>
          <cell r="AJ1399">
            <v>-0.1884055158009712</v>
          </cell>
          <cell r="AK1399">
            <v>-0.19390549037930915</v>
          </cell>
          <cell r="AL1399">
            <v>-0.19930799673045785</v>
          </cell>
          <cell r="AM1399">
            <v>-0.20461424020016272</v>
          </cell>
          <cell r="AN1399">
            <v>-0.20983559881793123</v>
          </cell>
          <cell r="AO1399">
            <v>-0.21499004088676443</v>
          </cell>
          <cell r="AP1399">
            <v>-0.21973363464918849</v>
          </cell>
          <cell r="AQ1399">
            <v>-0.22434389595575865</v>
          </cell>
          <cell r="AR1399">
            <v>-0.22877885408606469</v>
          </cell>
          <cell r="AS1399">
            <v>-0.23301786299023686</v>
          </cell>
          <cell r="AT1399">
            <v>-0.23708009179054246</v>
          </cell>
          <cell r="AU1399">
            <v>-0.25957739536873747</v>
          </cell>
          <cell r="AV1399">
            <v>-0.29351382087878797</v>
          </cell>
          <cell r="AW1399">
            <v>-0.33111433537693635</v>
          </cell>
          <cell r="AX1399">
            <v>-0.36700738427455359</v>
          </cell>
          <cell r="AY1399">
            <v>-0.39845541490654002</v>
          </cell>
          <cell r="AZ1399">
            <v>-0.39906720322437916</v>
          </cell>
          <cell r="BA1399">
            <v>-0.3789298081519954</v>
          </cell>
          <cell r="BB1399">
            <v>-0.34940938162137947</v>
          </cell>
          <cell r="BC1399">
            <v>-0.31866836630353168</v>
          </cell>
          <cell r="BD1399">
            <v>-0.29121653983825713</v>
          </cell>
          <cell r="BE1399">
            <v>-0.24021035105309396</v>
          </cell>
          <cell r="BF1399">
            <v>-0.24428123002031565</v>
          </cell>
          <cell r="BG1399">
            <v>-0.24825121388079019</v>
          </cell>
          <cell r="BH1399">
            <v>-0.25224222680291231</v>
          </cell>
          <cell r="BI1399">
            <v>-0.25630122591391302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-6.4143697055984994E-3</v>
          </cell>
          <cell r="G1400">
            <v>-5.7784997606113997E-3</v>
          </cell>
          <cell r="H1400">
            <v>-1.2726828052866956E-3</v>
          </cell>
          <cell r="I1400">
            <v>4.5935671076025031E-3</v>
          </cell>
          <cell r="J1400">
            <v>1.0862011443113495E-2</v>
          </cell>
          <cell r="K1400">
            <v>1.7614224216844221E-2</v>
          </cell>
          <cell r="L1400">
            <v>2.5297920288114284E-2</v>
          </cell>
          <cell r="M1400">
            <v>3.4369347282336982E-2</v>
          </cell>
          <cell r="N1400">
            <v>4.5083832327974527E-2</v>
          </cell>
          <cell r="O1400">
            <v>5.7474033288862358E-2</v>
          </cell>
          <cell r="P1400">
            <v>7.1392048101870387E-2</v>
          </cell>
          <cell r="Q1400">
            <v>8.6509015933500244E-2</v>
          </cell>
          <cell r="R1400">
            <v>0.10254928908901562</v>
          </cell>
          <cell r="S1400">
            <v>0.11921568018455897</v>
          </cell>
          <cell r="T1400">
            <v>0.13623655776002774</v>
          </cell>
          <cell r="U1400">
            <v>0.15338226169328006</v>
          </cell>
          <cell r="V1400">
            <v>0.17037685914695899</v>
          </cell>
          <cell r="W1400">
            <v>0.18713461644177531</v>
          </cell>
          <cell r="X1400">
            <v>0.20359252259614102</v>
          </cell>
          <cell r="Y1400">
            <v>0.21973156862971077</v>
          </cell>
          <cell r="Z1400">
            <v>0.23557761597332583</v>
          </cell>
          <cell r="AA1400">
            <v>0.25116442290016305</v>
          </cell>
          <cell r="AB1400">
            <v>0.26657615127299028</v>
          </cell>
          <cell r="AC1400">
            <v>0.28189095554500554</v>
          </cell>
          <cell r="AD1400">
            <v>0.29718140565031526</v>
          </cell>
          <cell r="AE1400">
            <v>0.31253096620809107</v>
          </cell>
          <cell r="AF1400">
            <v>0.32798720199200826</v>
          </cell>
          <cell r="AG1400">
            <v>0.34361634033550637</v>
          </cell>
          <cell r="AH1400">
            <v>0.35946792436380992</v>
          </cell>
          <cell r="AI1400">
            <v>0.37556670143881199</v>
          </cell>
          <cell r="AJ1400">
            <v>0.39191525040482844</v>
          </cell>
          <cell r="AK1400">
            <v>0.40852431520459476</v>
          </cell>
          <cell r="AL1400">
            <v>0.42536110391604431</v>
          </cell>
          <cell r="AM1400">
            <v>0.44239533789589558</v>
          </cell>
          <cell r="AN1400">
            <v>0.45959607715744255</v>
          </cell>
          <cell r="AO1400">
            <v>0.47693354149513922</v>
          </cell>
          <cell r="AP1400">
            <v>0.49458366597849857</v>
          </cell>
          <cell r="AQ1400">
            <v>0.51239182049733767</v>
          </cell>
          <cell r="AR1400">
            <v>0.53029004300537697</v>
          </cell>
          <cell r="AS1400">
            <v>0.54822455594785158</v>
          </cell>
          <cell r="AT1400">
            <v>0.56614344831842356</v>
          </cell>
          <cell r="AU1400">
            <v>0.5834227598259023</v>
          </cell>
          <cell r="AV1400">
            <v>0.60487711763559382</v>
          </cell>
          <cell r="AW1400">
            <v>0.63467461387751722</v>
          </cell>
          <cell r="AX1400">
            <v>0.67485713051858021</v>
          </cell>
          <cell r="AY1400">
            <v>0.7256101761074607</v>
          </cell>
          <cell r="AZ1400">
            <v>0.78685726481770857</v>
          </cell>
          <cell r="BA1400">
            <v>0.85031152934744725</v>
          </cell>
          <cell r="BB1400">
            <v>0.9084936274168065</v>
          </cell>
          <cell r="BC1400">
            <v>0.95692229242188009</v>
          </cell>
          <cell r="BD1400">
            <v>0.99382967152479296</v>
          </cell>
          <cell r="BE1400">
            <v>0.52299658260768211</v>
          </cell>
          <cell r="BF1400">
            <v>0.54651106337506583</v>
          </cell>
          <cell r="BG1400">
            <v>0.5699060494213759</v>
          </cell>
          <cell r="BH1400">
            <v>0.59312071470607464</v>
          </cell>
          <cell r="BI1400">
            <v>0.61613814107257525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-2.3184665281972272E-2</v>
          </cell>
          <cell r="G1401">
            <v>-3.4666398625171624E-2</v>
          </cell>
          <cell r="H1401">
            <v>-3.8519750884158377E-2</v>
          </cell>
          <cell r="I1401">
            <v>-4.0422009504481604E-2</v>
          </cell>
          <cell r="J1401">
            <v>-4.3630540759886927E-2</v>
          </cell>
          <cell r="K1401">
            <v>-4.9032784290603537E-2</v>
          </cell>
          <cell r="L1401">
            <v>-5.6200693198493745E-2</v>
          </cell>
          <cell r="M1401">
            <v>-6.4250452450276274E-2</v>
          </cell>
          <cell r="N1401">
            <v>-7.2384734456376609E-2</v>
          </cell>
          <cell r="O1401">
            <v>-8.0067382167314793E-2</v>
          </cell>
          <cell r="P1401">
            <v>-8.7017462528593548E-2</v>
          </cell>
          <cell r="Q1401">
            <v>-9.3196176887944127E-2</v>
          </cell>
          <cell r="R1401">
            <v>-9.8656438967525961E-2</v>
          </cell>
          <cell r="S1401">
            <v>-0.1035499512780258</v>
          </cell>
          <cell r="T1401">
            <v>-0.10802522775857915</v>
          </cell>
          <cell r="U1401">
            <v>-0.11220771672380003</v>
          </cell>
          <cell r="V1401">
            <v>-0.11622621095148666</v>
          </cell>
          <cell r="W1401">
            <v>-0.12019272265643144</v>
          </cell>
          <cell r="X1401">
            <v>-0.12421220890378448</v>
          </cell>
          <cell r="Y1401">
            <v>-0.12836424442929095</v>
          </cell>
          <cell r="Z1401">
            <v>-0.1327015900395967</v>
          </cell>
          <cell r="AA1401">
            <v>-0.13723684016175852</v>
          </cell>
          <cell r="AB1401">
            <v>-0.14197726178650782</v>
          </cell>
          <cell r="AC1401">
            <v>-0.14688500893560441</v>
          </cell>
          <cell r="AD1401">
            <v>-0.15193227740537552</v>
          </cell>
          <cell r="AE1401">
            <v>-0.15711265607004643</v>
          </cell>
          <cell r="AF1401">
            <v>-0.16239679879841429</v>
          </cell>
          <cell r="AG1401">
            <v>-0.1677892236510381</v>
          </cell>
          <cell r="AH1401">
            <v>-0.17320366288634537</v>
          </cell>
          <cell r="AI1401">
            <v>-0.17858408767368328</v>
          </cell>
          <cell r="AJ1401">
            <v>-0.18390328193810257</v>
          </cell>
          <cell r="AK1401">
            <v>-0.18914668572619364</v>
          </cell>
          <cell r="AL1401">
            <v>-0.19430941443511207</v>
          </cell>
          <cell r="AM1401">
            <v>-0.19939259902751472</v>
          </cell>
          <cell r="AN1401">
            <v>-0.20440244047460476</v>
          </cell>
          <cell r="AO1401">
            <v>-0.20935124673279182</v>
          </cell>
          <cell r="AP1401">
            <v>-0.21419670542215385</v>
          </cell>
          <cell r="AQ1401">
            <v>-0.21888933877520778</v>
          </cell>
          <cell r="AR1401">
            <v>-0.22340115436504382</v>
          </cell>
          <cell r="AS1401">
            <v>-0.22770753669932864</v>
          </cell>
          <cell r="AT1401">
            <v>-0.23182222621989101</v>
          </cell>
          <cell r="AU1401">
            <v>-0.25357412289110925</v>
          </cell>
          <cell r="AV1401">
            <v>-0.28821171277834123</v>
          </cell>
          <cell r="AW1401">
            <v>-0.32833223592423355</v>
          </cell>
          <cell r="AX1401">
            <v>-0.36836463601280789</v>
          </cell>
          <cell r="AY1401">
            <v>-0.40536243249020831</v>
          </cell>
          <cell r="AZ1401">
            <v>-0.41385234667741244</v>
          </cell>
          <cell r="BA1401">
            <v>-0.40081621285205093</v>
          </cell>
          <cell r="BB1401">
            <v>-0.37711689476473964</v>
          </cell>
          <cell r="BC1401">
            <v>-0.35106905557720225</v>
          </cell>
          <cell r="BD1401">
            <v>-0.32727217320296376</v>
          </cell>
          <cell r="BE1401">
            <v>-0.55346485136600343</v>
          </cell>
          <cell r="BF1401">
            <v>-0.56941968367145712</v>
          </cell>
          <cell r="BG1401">
            <v>-0.58518679972733301</v>
          </cell>
          <cell r="BH1401">
            <v>-0.60091463051668015</v>
          </cell>
          <cell r="BI1401">
            <v>-0.61665616465492734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7.1929945506976622E-3</v>
          </cell>
          <cell r="G1402">
            <v>9.7102955820105308E-3</v>
          </cell>
          <cell r="H1402">
            <v>1.0306084992994791E-2</v>
          </cell>
          <cell r="I1402">
            <v>1.0358509892949286E-2</v>
          </cell>
          <cell r="J1402">
            <v>1.0065542958970219E-2</v>
          </cell>
          <cell r="K1402">
            <v>9.0798185738982795E-3</v>
          </cell>
          <cell r="L1402">
            <v>7.2756359262626802E-3</v>
          </cell>
          <cell r="M1402">
            <v>4.6977176866747072E-3</v>
          </cell>
          <cell r="N1402">
            <v>1.5069116476196243E-3</v>
          </cell>
          <cell r="O1402">
            <v>-2.1024291750659785E-3</v>
          </cell>
          <cell r="P1402">
            <v>-5.9546364673868091E-3</v>
          </cell>
          <cell r="Q1402">
            <v>-9.8658889970404395E-3</v>
          </cell>
          <cell r="R1402">
            <v>-1.3799644792089616E-2</v>
          </cell>
          <cell r="S1402">
            <v>-1.7753359258076973E-2</v>
          </cell>
          <cell r="T1402">
            <v>-2.1740240685064194E-2</v>
          </cell>
          <cell r="U1402">
            <v>-2.5767761364492436E-2</v>
          </cell>
          <cell r="V1402">
            <v>-2.9760722716054566E-2</v>
          </cell>
          <cell r="W1402">
            <v>-3.3737233420882973E-2</v>
          </cell>
          <cell r="X1402">
            <v>-3.7703463943927762E-2</v>
          </cell>
          <cell r="Y1402">
            <v>-4.1661275725590752E-2</v>
          </cell>
          <cell r="Z1402">
            <v>-4.5619196073687363E-2</v>
          </cell>
          <cell r="AA1402">
            <v>-4.9566965175140698E-2</v>
          </cell>
          <cell r="AB1402">
            <v>-5.3502964812168763E-2</v>
          </cell>
          <cell r="AC1402">
            <v>-5.7422574861076825E-2</v>
          </cell>
          <cell r="AD1402">
            <v>-6.1319928340886065E-2</v>
          </cell>
          <cell r="AE1402">
            <v>-6.5215497315018744E-2</v>
          </cell>
          <cell r="AF1402">
            <v>-6.9107483884733867E-2</v>
          </cell>
          <cell r="AG1402">
            <v>-7.297771808895126E-2</v>
          </cell>
          <cell r="AH1402">
            <v>-7.6811046675040462E-2</v>
          </cell>
          <cell r="AI1402">
            <v>-8.0595221311707821E-2</v>
          </cell>
          <cell r="AJ1402">
            <v>-8.4321374713602903E-2</v>
          </cell>
          <cell r="AK1402">
            <v>-8.800018961192535E-2</v>
          </cell>
          <cell r="AL1402">
            <v>-9.1621977274103372E-2</v>
          </cell>
          <cell r="AM1402">
            <v>-9.5180898445390572E-2</v>
          </cell>
          <cell r="AN1402">
            <v>-9.8673121273940012E-2</v>
          </cell>
          <cell r="AO1402">
            <v>-0.10209617928507164</v>
          </cell>
          <cell r="AP1402">
            <v>-0.10559677022577985</v>
          </cell>
          <cell r="AQ1402">
            <v>-0.10910763659575107</v>
          </cell>
          <cell r="AR1402">
            <v>-0.11253372853172738</v>
          </cell>
          <cell r="AS1402">
            <v>-0.11577345983225795</v>
          </cell>
          <cell r="AT1402">
            <v>-0.1187593185643987</v>
          </cell>
          <cell r="AU1402">
            <v>-0.12238916335700623</v>
          </cell>
          <cell r="AV1402">
            <v>-0.12819898348614966</v>
          </cell>
          <cell r="AW1402">
            <v>-0.1370548773023339</v>
          </cell>
          <cell r="AX1402">
            <v>-0.14902020722248333</v>
          </cell>
          <cell r="AY1402">
            <v>-0.16369419043249511</v>
          </cell>
          <cell r="AZ1402">
            <v>-0.17937373348861918</v>
          </cell>
          <cell r="BA1402">
            <v>-0.19357500561097973</v>
          </cell>
          <cell r="BB1402">
            <v>-0.20496368127330689</v>
          </cell>
          <cell r="BC1402">
            <v>-0.21339922122516342</v>
          </cell>
          <cell r="BD1402">
            <v>-0.21936291242814487</v>
          </cell>
          <cell r="BE1402">
            <v>0.14027340424394019</v>
          </cell>
          <cell r="BF1402">
            <v>0.14741152578139349</v>
          </cell>
          <cell r="BG1402">
            <v>0.15482110587274889</v>
          </cell>
          <cell r="BH1402">
            <v>0.16252648829901961</v>
          </cell>
          <cell r="BI1402">
            <v>0.17051143114354961</v>
          </cell>
        </row>
        <row r="1403">
          <cell r="C1403" t="str">
            <v>Emploi en millier</v>
          </cell>
          <cell r="E1403" t="str">
            <v>F_L_2-F_L_0</v>
          </cell>
          <cell r="F1403">
            <v>1.9688999999998487</v>
          </cell>
          <cell r="G1403">
            <v>2.6610799999980372</v>
          </cell>
          <cell r="H1403">
            <v>2.828590000000986</v>
          </cell>
          <cell r="I1403">
            <v>2.8489899999985937</v>
          </cell>
          <cell r="J1403">
            <v>2.7762299999994866</v>
          </cell>
          <cell r="K1403">
            <v>2.5131399999991118</v>
          </cell>
          <cell r="L1403">
            <v>2.0212499999979627</v>
          </cell>
          <cell r="M1403">
            <v>1.3101500000011583</v>
          </cell>
          <cell r="N1403">
            <v>0.42195999999967171</v>
          </cell>
          <cell r="O1403">
            <v>-0.59115999999994528</v>
          </cell>
          <cell r="P1403">
            <v>-1.6824999999989814</v>
          </cell>
          <cell r="Q1403">
            <v>-2.8010299999987183</v>
          </cell>
          <cell r="R1403">
            <v>-3.9362299999993411</v>
          </cell>
          <cell r="S1403">
            <v>-5.0871399999996356</v>
          </cell>
          <cell r="T1403">
            <v>-6.2573599999996077</v>
          </cell>
          <cell r="U1403">
            <v>-7.4489400000020396</v>
          </cell>
          <cell r="V1403">
            <v>-8.6400100000028033</v>
          </cell>
          <cell r="W1403">
            <v>-9.8355800000026647</v>
          </cell>
          <cell r="X1403">
            <v>-11.037299999999959</v>
          </cell>
          <cell r="Y1403">
            <v>-12.245620000001509</v>
          </cell>
          <cell r="Z1403">
            <v>-13.457480000000942</v>
          </cell>
          <cell r="AA1403">
            <v>-14.67554999999993</v>
          </cell>
          <cell r="AB1403">
            <v>-15.899720000001253</v>
          </cell>
          <cell r="AC1403">
            <v>-17.12865999999849</v>
          </cell>
          <cell r="AD1403">
            <v>-18.36055000000124</v>
          </cell>
          <cell r="AE1403">
            <v>-19.579879999997502</v>
          </cell>
          <cell r="AF1403">
            <v>-20.798699999999371</v>
          </cell>
          <cell r="AG1403">
            <v>-22.013039999998</v>
          </cell>
          <cell r="AH1403">
            <v>-23.219289999997272</v>
          </cell>
          <cell r="AI1403">
            <v>-24.4145099999987</v>
          </cell>
          <cell r="AJ1403">
            <v>-25.596619999996619</v>
          </cell>
          <cell r="AK1403">
            <v>-26.769309999999678</v>
          </cell>
          <cell r="AL1403">
            <v>-27.929920000002312</v>
          </cell>
          <cell r="AM1403">
            <v>-29.076779999999417</v>
          </cell>
          <cell r="AN1403">
            <v>-30.208679999999731</v>
          </cell>
          <cell r="AO1403">
            <v>-31.324710000000778</v>
          </cell>
          <cell r="AP1403">
            <v>-32.462289999999484</v>
          </cell>
          <cell r="AQ1403">
            <v>-33.601459999998042</v>
          </cell>
          <cell r="AR1403">
            <v>-34.713850000000093</v>
          </cell>
          <cell r="AS1403">
            <v>-35.768830000000889</v>
          </cell>
          <cell r="AT1403">
            <v>-36.746020000002318</v>
          </cell>
          <cell r="AU1403">
            <v>-37.924280000002909</v>
          </cell>
          <cell r="AV1403">
            <v>-39.782259999999951</v>
          </cell>
          <cell r="AW1403">
            <v>-42.592900000003283</v>
          </cell>
          <cell r="AX1403">
            <v>-46.380600000000413</v>
          </cell>
          <cell r="AY1403">
            <v>-51.025050000000192</v>
          </cell>
          <cell r="AZ1403">
            <v>-55.999579999999696</v>
          </cell>
          <cell r="BA1403">
            <v>-60.529099999999744</v>
          </cell>
          <cell r="BB1403">
            <v>-64.193449999998847</v>
          </cell>
          <cell r="BC1403">
            <v>-66.944139999999607</v>
          </cell>
          <cell r="BD1403">
            <v>-68.927690000000439</v>
          </cell>
          <cell r="BE1403">
            <v>43.635760000001028</v>
          </cell>
          <cell r="BF1403">
            <v>45.909630000001926</v>
          </cell>
          <cell r="BG1403">
            <v>48.272320000000036</v>
          </cell>
          <cell r="BH1403">
            <v>50.7316000000028</v>
          </cell>
          <cell r="BI1403">
            <v>53.282609999998385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-5.2507899999998386E-3</v>
          </cell>
          <cell r="G1404">
            <v>-6.6874100000002823E-3</v>
          </cell>
          <cell r="H1404">
            <v>-6.8059299999978506E-3</v>
          </cell>
          <cell r="I1404">
            <v>-6.6742299999977828E-3</v>
          </cell>
          <cell r="J1404">
            <v>-6.3849300000001774E-3</v>
          </cell>
          <cell r="K1404">
            <v>-5.6531500000012169E-3</v>
          </cell>
          <cell r="L1404">
            <v>-4.3935299999992017E-3</v>
          </cell>
          <cell r="M1404">
            <v>-2.6414999999974098E-3</v>
          </cell>
          <cell r="N1404">
            <v>-5.1447999999953975E-4</v>
          </cell>
          <cell r="O1404">
            <v>1.8551899999996735E-3</v>
          </cell>
          <cell r="P1404">
            <v>4.3514599999988635E-3</v>
          </cell>
          <cell r="Q1404">
            <v>6.8637499999996132E-3</v>
          </cell>
          <cell r="R1404">
            <v>9.3781300000012058E-3</v>
          </cell>
          <cell r="S1404">
            <v>1.1901170000000461E-2</v>
          </cell>
          <cell r="T1404">
            <v>1.4445999999998516E-2</v>
          </cell>
          <cell r="U1404">
            <v>1.7018750000000193E-2</v>
          </cell>
          <cell r="V1404">
            <v>1.956432000000119E-2</v>
          </cell>
          <cell r="W1404">
            <v>2.2099680000001176E-2</v>
          </cell>
          <cell r="X1404">
            <v>2.4629939999998296E-2</v>
          </cell>
          <cell r="Y1404">
            <v>2.7156289999999417E-2</v>
          </cell>
          <cell r="Z1404">
            <v>2.9698170000000412E-2</v>
          </cell>
          <cell r="AA1404">
            <v>3.2212090000000027E-2</v>
          </cell>
          <cell r="AB1404">
            <v>3.4722119999999745E-2</v>
          </cell>
          <cell r="AC1404">
            <v>3.7223940000000177E-2</v>
          </cell>
          <cell r="AD1404">
            <v>3.9712960000001796E-2</v>
          </cell>
          <cell r="AE1404">
            <v>4.2255650000000422E-2</v>
          </cell>
          <cell r="AF1404">
            <v>4.4738769999999595E-2</v>
          </cell>
          <cell r="AG1404">
            <v>4.7205129999999818E-2</v>
          </cell>
          <cell r="AH1404">
            <v>4.9644579999999494E-2</v>
          </cell>
          <cell r="AI1404">
            <v>5.2049930000000466E-2</v>
          </cell>
          <cell r="AJ1404">
            <v>5.4416489999997708E-2</v>
          </cell>
          <cell r="AK1404">
            <v>5.675357000000103E-2</v>
          </cell>
          <cell r="AL1404">
            <v>5.9054280000001014E-2</v>
          </cell>
          <cell r="AM1404">
            <v>6.1314949999999313E-2</v>
          </cell>
          <cell r="AN1404">
            <v>6.3533269999999087E-2</v>
          </cell>
          <cell r="AO1404">
            <v>6.5707749999999177E-2</v>
          </cell>
          <cell r="AP1404">
            <v>6.7963369999998746E-2</v>
          </cell>
          <cell r="AQ1404">
            <v>7.021446999999903E-2</v>
          </cell>
          <cell r="AR1404">
            <v>7.2395629999999489E-2</v>
          </cell>
          <cell r="AS1404">
            <v>7.4439869999998187E-2</v>
          </cell>
          <cell r="AT1404">
            <v>7.6306870000000804E-2</v>
          </cell>
          <cell r="AU1404">
            <v>7.8663619999999601E-2</v>
          </cell>
          <cell r="AV1404">
            <v>8.2591710000001761E-2</v>
          </cell>
          <cell r="AW1404">
            <v>8.8623459999997989E-2</v>
          </cell>
          <cell r="AX1404">
            <v>9.6714300000000364E-2</v>
          </cell>
          <cell r="AY1404">
            <v>0.106528119999999</v>
          </cell>
          <cell r="AZ1404">
            <v>0.1168179200000008</v>
          </cell>
          <cell r="BA1404">
            <v>0.12586079999999944</v>
          </cell>
          <cell r="BB1404">
            <v>0.13285356999999942</v>
          </cell>
          <cell r="BC1404">
            <v>0.13784025999999949</v>
          </cell>
          <cell r="BD1404">
            <v>0.14124367999999998</v>
          </cell>
          <cell r="BE1404">
            <v>-8.9909590000000761E-2</v>
          </cell>
          <cell r="BF1404">
            <v>-9.4422660000001435E-2</v>
          </cell>
          <cell r="BG1404">
            <v>-9.911473000000226E-2</v>
          </cell>
          <cell r="BH1404">
            <v>-0.10399653000000009</v>
          </cell>
          <cell r="BI1404">
            <v>-0.10905186999999872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2.4026845405551028E-3</v>
          </cell>
          <cell r="G1405">
            <v>3.4509256851833481E-3</v>
          </cell>
          <cell r="H1405">
            <v>3.6142513750545002E-3</v>
          </cell>
          <cell r="I1405">
            <v>3.3246386016693233E-3</v>
          </cell>
          <cell r="J1405">
            <v>3.077953671063241E-3</v>
          </cell>
          <cell r="K1405">
            <v>3.0894072926375069E-3</v>
          </cell>
          <cell r="L1405">
            <v>3.4059166066314692E-3</v>
          </cell>
          <cell r="M1405">
            <v>3.877752699812595E-3</v>
          </cell>
          <cell r="N1405">
            <v>4.3400760177121633E-3</v>
          </cell>
          <cell r="O1405">
            <v>4.6741928857391493E-3</v>
          </cell>
          <cell r="P1405">
            <v>4.8097495515130213E-3</v>
          </cell>
          <cell r="Q1405">
            <v>4.7557403742554301E-3</v>
          </cell>
          <cell r="R1405">
            <v>4.5020807506861507E-3</v>
          </cell>
          <cell r="S1405">
            <v>4.0971006036097726E-3</v>
          </cell>
          <cell r="T1405">
            <v>3.5822076173977306E-3</v>
          </cell>
          <cell r="U1405">
            <v>2.9893510972976191E-3</v>
          </cell>
          <cell r="V1405">
            <v>2.3315550856221195E-3</v>
          </cell>
          <cell r="W1405">
            <v>1.6248989141944524E-3</v>
          </cell>
          <cell r="X1405">
            <v>8.9550602991620917E-4</v>
          </cell>
          <cell r="Y1405">
            <v>1.5891032769015448E-4</v>
          </cell>
          <cell r="Z1405">
            <v>-5.5723242855191396E-4</v>
          </cell>
          <cell r="AA1405">
            <v>-1.3061235044949625E-3</v>
          </cell>
          <cell r="AB1405">
            <v>-2.0511095368676464E-3</v>
          </cell>
          <cell r="AC1405">
            <v>-2.8038384366583027E-3</v>
          </cell>
          <cell r="AD1405">
            <v>-3.5722096137313572E-3</v>
          </cell>
          <cell r="AE1405">
            <v>-4.2898125295939837E-3</v>
          </cell>
          <cell r="AF1405">
            <v>-5.1110964872572509E-3</v>
          </cell>
          <cell r="AG1405">
            <v>-5.9566884097628052E-3</v>
          </cell>
          <cell r="AH1405">
            <v>-6.8464389972238381E-3</v>
          </cell>
          <cell r="AI1405">
            <v>-7.7906020079234264E-3</v>
          </cell>
          <cell r="AJ1405">
            <v>-8.7931071830600355E-3</v>
          </cell>
          <cell r="AK1405">
            <v>-9.8508503267860301E-3</v>
          </cell>
          <cell r="AL1405">
            <v>-1.0964355882257717E-2</v>
          </cell>
          <cell r="AM1405">
            <v>-1.2134912921882898E-2</v>
          </cell>
          <cell r="AN1405">
            <v>-1.3362276452731246E-2</v>
          </cell>
          <cell r="AO1405">
            <v>-1.4644928821934758E-2</v>
          </cell>
          <cell r="AP1405">
            <v>-1.5923814549514796E-2</v>
          </cell>
          <cell r="AQ1405">
            <v>-1.7257388251777507E-2</v>
          </cell>
          <cell r="AR1405">
            <v>-1.8662317507196314E-2</v>
          </cell>
          <cell r="AS1405">
            <v>-2.0152613261771916E-2</v>
          </cell>
          <cell r="AT1405">
            <v>-2.1732703486904842E-2</v>
          </cell>
          <cell r="AU1405">
            <v>-2.1045732084798537E-2</v>
          </cell>
          <cell r="AV1405">
            <v>-1.8311419396414376E-2</v>
          </cell>
          <cell r="AW1405">
            <v>-1.4670344244330023E-2</v>
          </cell>
          <cell r="AX1405">
            <v>-1.1158185876075519E-2</v>
          </cell>
          <cell r="AY1405">
            <v>-8.3740503039871315E-3</v>
          </cell>
          <cell r="AZ1405">
            <v>-9.9439820014355015E-3</v>
          </cell>
          <cell r="BA1405">
            <v>-1.5384611651044995E-2</v>
          </cell>
          <cell r="BB1405">
            <v>-2.2911509236457725E-2</v>
          </cell>
          <cell r="BC1405">
            <v>-3.0901004480820268E-2</v>
          </cell>
          <cell r="BD1405">
            <v>-3.837529214727347E-2</v>
          </cell>
          <cell r="BE1405">
            <v>2.5088340241877227E-2</v>
          </cell>
          <cell r="BF1405">
            <v>2.3677838209086803E-2</v>
          </cell>
          <cell r="BG1405">
            <v>2.2157323216682578E-2</v>
          </cell>
          <cell r="BH1405">
            <v>2.0562063689133103E-2</v>
          </cell>
          <cell r="BI1405">
            <v>1.8911098973554932E-2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-6.1793029364903829E-4</v>
          </cell>
          <cell r="G1406">
            <v>1.1764530558500824E-4</v>
          </cell>
          <cell r="H1406">
            <v>7.7688437487549028E-4</v>
          </cell>
          <cell r="I1406">
            <v>1.3553701310509148E-3</v>
          </cell>
          <cell r="J1406">
            <v>1.9187027463016607E-3</v>
          </cell>
          <cell r="K1406">
            <v>2.5524520160816189E-3</v>
          </cell>
          <cell r="L1406">
            <v>3.1189268812417681E-3</v>
          </cell>
          <cell r="M1406">
            <v>3.5771795333136569E-3</v>
          </cell>
          <cell r="N1406">
            <v>3.9363701263676193E-3</v>
          </cell>
          <cell r="O1406">
            <v>4.2170402004907889E-3</v>
          </cell>
          <cell r="P1406">
            <v>4.4334744153029168E-3</v>
          </cell>
          <cell r="Q1406">
            <v>4.6177306444556906E-3</v>
          </cell>
          <cell r="R1406">
            <v>4.7779423064959331E-3</v>
          </cell>
          <cell r="S1406">
            <v>4.9243779174232977E-3</v>
          </cell>
          <cell r="T1406">
            <v>5.0619205767300779E-3</v>
          </cell>
          <cell r="U1406">
            <v>5.1883101743753143E-3</v>
          </cell>
          <cell r="V1406">
            <v>5.3039973782654723E-3</v>
          </cell>
          <cell r="W1406">
            <v>5.4059117000604048E-3</v>
          </cell>
          <cell r="X1406">
            <v>5.4940317351551138E-3</v>
          </cell>
          <cell r="Y1406">
            <v>5.5700091250525038E-3</v>
          </cell>
          <cell r="Z1406">
            <v>5.6418356399629346E-3</v>
          </cell>
          <cell r="AA1406">
            <v>5.7025525562080445E-3</v>
          </cell>
          <cell r="AB1406">
            <v>5.7581800869847127E-3</v>
          </cell>
          <cell r="AC1406">
            <v>5.8097088131503841E-3</v>
          </cell>
          <cell r="AD1406">
            <v>5.8570920988144232E-3</v>
          </cell>
          <cell r="AE1406">
            <v>5.9161333855049791E-3</v>
          </cell>
          <cell r="AF1406">
            <v>5.9644414254723596E-3</v>
          </cell>
          <cell r="AG1406">
            <v>6.0077766737921812E-3</v>
          </cell>
          <cell r="AH1406">
            <v>6.0451932284398546E-3</v>
          </cell>
          <cell r="AI1406">
            <v>6.0753808642767526E-3</v>
          </cell>
          <cell r="AJ1406">
            <v>6.0969898490123575E-3</v>
          </cell>
          <cell r="AK1406">
            <v>6.1082509474981797E-3</v>
          </cell>
          <cell r="AL1406">
            <v>6.1084363916903001E-3</v>
          </cell>
          <cell r="AM1406">
            <v>6.096927070391514E-3</v>
          </cell>
          <cell r="AN1406">
            <v>6.073329073907896E-3</v>
          </cell>
          <cell r="AO1406">
            <v>6.0374212910711822E-3</v>
          </cell>
          <cell r="AP1406">
            <v>5.9892483576016661E-3</v>
          </cell>
          <cell r="AQ1406">
            <v>5.9280221283389278E-3</v>
          </cell>
          <cell r="AR1406">
            <v>5.8252282353869408E-3</v>
          </cell>
          <cell r="AS1406">
            <v>5.6625056244258634E-3</v>
          </cell>
          <cell r="AT1406">
            <v>5.4423215790352225E-3</v>
          </cell>
          <cell r="AU1406">
            <v>5.1174512070728886E-3</v>
          </cell>
          <cell r="AV1406">
            <v>4.7170476298109484E-3</v>
          </cell>
          <cell r="AW1406">
            <v>4.2661687789909489E-3</v>
          </cell>
          <cell r="AX1406">
            <v>3.7685588641991896E-3</v>
          </cell>
          <cell r="AY1406">
            <v>3.2116805576498306E-3</v>
          </cell>
          <cell r="AZ1406">
            <v>2.6874317135496331E-3</v>
          </cell>
          <cell r="BA1406">
            <v>2.2156251539177246E-3</v>
          </cell>
          <cell r="BB1406">
            <v>1.8089301260666366E-3</v>
          </cell>
          <cell r="BC1406">
            <v>1.4746238067929462E-3</v>
          </cell>
          <cell r="BD1406">
            <v>1.2183455088181361E-3</v>
          </cell>
          <cell r="BE1406">
            <v>-1.4290277810535823E-2</v>
          </cell>
          <cell r="BF1406">
            <v>-1.4575120011606733E-2</v>
          </cell>
          <cell r="BG1406">
            <v>-1.4850600843896618E-2</v>
          </cell>
          <cell r="BH1406">
            <v>-1.5118730917251105E-2</v>
          </cell>
          <cell r="BI1406">
            <v>-1.5380040732979224E-2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1.9217254976474155E-3</v>
          </cell>
          <cell r="G1407">
            <v>1.7589870984175554E-3</v>
          </cell>
          <cell r="H1407">
            <v>1.2160332379331298E-3</v>
          </cell>
          <cell r="I1407">
            <v>8.5187885193876989E-4</v>
          </cell>
          <cell r="J1407">
            <v>9.2598811015677518E-4</v>
          </cell>
          <cell r="K1407">
            <v>1.4514427919712011E-3</v>
          </cell>
          <cell r="L1407">
            <v>2.2922712736669903E-3</v>
          </cell>
          <cell r="M1407">
            <v>3.251001275976842E-3</v>
          </cell>
          <cell r="N1407">
            <v>4.1765428544815117E-3</v>
          </cell>
          <cell r="O1407">
            <v>4.9953336757205605E-3</v>
          </cell>
          <cell r="P1407">
            <v>5.7265049887766581E-3</v>
          </cell>
          <cell r="Q1407">
            <v>6.368105818442462E-3</v>
          </cell>
          <cell r="R1407">
            <v>6.9864449726520124E-3</v>
          </cell>
          <cell r="S1407">
            <v>7.6475726193540525E-3</v>
          </cell>
          <cell r="T1407">
            <v>8.4025333499288674E-3</v>
          </cell>
          <cell r="U1407">
            <v>9.2824550601783382E-3</v>
          </cell>
          <cell r="V1407">
            <v>1.0314559141705185E-2</v>
          </cell>
          <cell r="W1407">
            <v>1.1487469283114039E-2</v>
          </cell>
          <cell r="X1407">
            <v>1.2791207012645281E-2</v>
          </cell>
          <cell r="Y1407">
            <v>1.4206970208365075E-2</v>
          </cell>
          <cell r="Z1407">
            <v>1.568122861633589E-2</v>
          </cell>
          <cell r="AA1407">
            <v>1.7251074217874432E-2</v>
          </cell>
          <cell r="AB1407">
            <v>1.886236838875336E-2</v>
          </cell>
          <cell r="AC1407">
            <v>2.0491763025876488E-2</v>
          </cell>
          <cell r="AD1407">
            <v>2.2122910316471796E-2</v>
          </cell>
          <cell r="AE1407">
            <v>2.3637939521909582E-2</v>
          </cell>
          <cell r="AF1407">
            <v>2.5190562463153286E-2</v>
          </cell>
          <cell r="AG1407">
            <v>2.6726438975551096E-2</v>
          </cell>
          <cell r="AH1407">
            <v>2.8236181508585478E-2</v>
          </cell>
          <cell r="AI1407">
            <v>2.9718511649286718E-2</v>
          </cell>
          <cell r="AJ1407">
            <v>3.1177387747522704E-2</v>
          </cell>
          <cell r="AK1407">
            <v>3.261456956724193E-2</v>
          </cell>
          <cell r="AL1407">
            <v>3.4039388364405725E-2</v>
          </cell>
          <cell r="AM1407">
            <v>3.5457459710641667E-2</v>
          </cell>
          <cell r="AN1407">
            <v>3.6874155211292149E-2</v>
          </cell>
          <cell r="AO1407">
            <v>3.8294402708921552E-2</v>
          </cell>
          <cell r="AP1407">
            <v>3.9646892620551599E-2</v>
          </cell>
          <cell r="AQ1407">
            <v>4.0996630656025754E-2</v>
          </cell>
          <cell r="AR1407">
            <v>4.2344022389196288E-2</v>
          </cell>
          <cell r="AS1407">
            <v>4.3678839847587428E-2</v>
          </cell>
          <cell r="AT1407">
            <v>4.4992706918447971E-2</v>
          </cell>
          <cell r="AU1407">
            <v>4.766829501757848E-2</v>
          </cell>
          <cell r="AV1407">
            <v>5.0664018277195709E-2</v>
          </cell>
          <cell r="AW1407">
            <v>5.3171943806698867E-2</v>
          </cell>
          <cell r="AX1407">
            <v>5.489781584069478E-2</v>
          </cell>
          <cell r="AY1407">
            <v>5.5935519505835044E-2</v>
          </cell>
          <cell r="AZ1407">
            <v>5.4695856398830178E-2</v>
          </cell>
          <cell r="BA1407">
            <v>5.2974715489571528E-2</v>
          </cell>
          <cell r="BB1407">
            <v>5.2210772576848391E-2</v>
          </cell>
          <cell r="BC1407">
            <v>5.3058870266263228E-2</v>
          </cell>
          <cell r="BD1407">
            <v>5.5536233829490189E-2</v>
          </cell>
          <cell r="BE1407">
            <v>-3.3322679994021893E-2</v>
          </cell>
          <cell r="BF1407">
            <v>-3.5692533237813295E-2</v>
          </cell>
          <cell r="BG1407">
            <v>-3.8023948859414007E-2</v>
          </cell>
          <cell r="BH1407">
            <v>-4.0292657603382964E-2</v>
          </cell>
          <cell r="BI1407">
            <v>-4.248222650924012E-2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1.6913892462885188E-3</v>
          </cell>
          <cell r="G1408">
            <v>1.0818965656031118E-2</v>
          </cell>
          <cell r="H1408">
            <v>1.1476739204699729E-2</v>
          </cell>
          <cell r="I1408">
            <v>1.0215049002255949E-2</v>
          </cell>
          <cell r="J1408">
            <v>9.72499662734716E-3</v>
          </cell>
          <cell r="K1408">
            <v>1.0767622378160882E-2</v>
          </cell>
          <cell r="L1408">
            <v>1.3044929916160297E-2</v>
          </cell>
          <cell r="M1408">
            <v>1.5894690067288705E-2</v>
          </cell>
          <cell r="N1408">
            <v>1.875807533339123E-2</v>
          </cell>
          <cell r="O1408">
            <v>2.1303164786103113E-2</v>
          </cell>
          <cell r="P1408">
            <v>2.3408914824963115E-2</v>
          </cell>
          <cell r="Q1408">
            <v>2.5100743555002761E-2</v>
          </cell>
          <cell r="R1408">
            <v>2.6421393379853775E-2</v>
          </cell>
          <cell r="S1408">
            <v>2.7510117786759547E-2</v>
          </cell>
          <cell r="T1408">
            <v>2.8498430147063172E-2</v>
          </cell>
          <cell r="U1408">
            <v>2.9475981598152748E-2</v>
          </cell>
          <cell r="V1408">
            <v>3.0514850001573876E-2</v>
          </cell>
          <cell r="W1408">
            <v>3.1654772396024974E-2</v>
          </cell>
          <cell r="X1408">
            <v>3.2904218725911955E-2</v>
          </cell>
          <cell r="Y1408">
            <v>3.4294392459027767E-2</v>
          </cell>
          <cell r="Z1408">
            <v>3.5813153035748474E-2</v>
          </cell>
          <cell r="AA1408">
            <v>3.7463059571347934E-2</v>
          </cell>
          <cell r="AB1408">
            <v>3.9257657367580343E-2</v>
          </cell>
          <cell r="AC1408">
            <v>4.1131623526920007E-2</v>
          </cell>
          <cell r="AD1408">
            <v>4.3060451114771206E-2</v>
          </cell>
          <cell r="AE1408">
            <v>4.4960858791774118E-2</v>
          </cell>
          <cell r="AF1408">
            <v>4.6858374439728151E-2</v>
          </cell>
          <cell r="AG1408">
            <v>4.8844904786107292E-2</v>
          </cell>
          <cell r="AH1408">
            <v>5.0839652497279737E-2</v>
          </cell>
          <cell r="AI1408">
            <v>5.2815740706511037E-2</v>
          </cell>
          <cell r="AJ1408">
            <v>5.4766277943976184E-2</v>
          </cell>
          <cell r="AK1408">
            <v>5.6690692161782963E-2</v>
          </cell>
          <cell r="AL1408">
            <v>5.8595896951389725E-2</v>
          </cell>
          <cell r="AM1408">
            <v>6.0495589860027135E-2</v>
          </cell>
          <cell r="AN1408">
            <v>6.2395245989392729E-2</v>
          </cell>
          <cell r="AO1408">
            <v>6.4303622946820446E-2</v>
          </cell>
          <cell r="AP1408">
            <v>6.6165127606421237E-2</v>
          </cell>
          <cell r="AQ1408">
            <v>6.7979989960718218E-2</v>
          </cell>
          <cell r="AR1408">
            <v>6.9822654927497424E-2</v>
          </cell>
          <cell r="AS1408">
            <v>7.1646968666222791E-2</v>
          </cell>
          <cell r="AT1408">
            <v>7.3438631389604811E-2</v>
          </cell>
          <cell r="AU1408">
            <v>7.6460601258824049E-2</v>
          </cell>
          <cell r="AV1408">
            <v>8.5099294843114265E-2</v>
          </cell>
          <cell r="AW1408">
            <v>9.5158876279052493E-2</v>
          </cell>
          <cell r="AX1408">
            <v>0.10427313303582475</v>
          </cell>
          <cell r="AY1408">
            <v>0.11161515419017415</v>
          </cell>
          <cell r="AZ1408">
            <v>0.11555429708095324</v>
          </cell>
          <cell r="BA1408">
            <v>0.11096262014922612</v>
          </cell>
          <cell r="BB1408">
            <v>0.10394176979600084</v>
          </cell>
          <cell r="BC1408">
            <v>9.8037430716877913E-2</v>
          </cell>
          <cell r="BD1408">
            <v>9.4628780710813265E-2</v>
          </cell>
          <cell r="BE1408">
            <v>-2.889316514713032E-2</v>
          </cell>
          <cell r="BF1408">
            <v>-3.2486357194434073E-2</v>
          </cell>
          <cell r="BG1408">
            <v>-3.6087102957965168E-2</v>
          </cell>
          <cell r="BH1408">
            <v>-3.964266266881554E-2</v>
          </cell>
          <cell r="BI1408">
            <v>-4.3128238461639587E-2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-8.8973279669279925E-3</v>
          </cell>
          <cell r="G1409">
            <v>-4.2060717812764103E-3</v>
          </cell>
          <cell r="H1409">
            <v>2.3493590371459483E-3</v>
          </cell>
          <cell r="I1409">
            <v>7.1350281190984965E-3</v>
          </cell>
          <cell r="J1409">
            <v>1.0058926645195587E-2</v>
          </cell>
          <cell r="K1409">
            <v>1.2522556630600867E-2</v>
          </cell>
          <cell r="L1409">
            <v>1.5817710553955866E-2</v>
          </cell>
          <cell r="M1409">
            <v>2.0674395074671281E-2</v>
          </cell>
          <cell r="N1409">
            <v>2.7257936268998417E-2</v>
          </cell>
          <cell r="O1409">
            <v>3.5388291861959686E-2</v>
          </cell>
          <cell r="P1409">
            <v>4.4755153684106208E-2</v>
          </cell>
          <cell r="Q1409">
            <v>5.5158970998914203E-2</v>
          </cell>
          <cell r="R1409">
            <v>6.6365251000688463E-2</v>
          </cell>
          <cell r="S1409">
            <v>7.8266499946011425E-2</v>
          </cell>
          <cell r="T1409">
            <v>9.0886189598071709E-2</v>
          </cell>
          <cell r="U1409">
            <v>0.10431339104207682</v>
          </cell>
          <cell r="V1409">
            <v>0.11869998645595015</v>
          </cell>
          <cell r="W1409">
            <v>0.13415587215616087</v>
          </cell>
          <cell r="X1409">
            <v>0.15073083113400498</v>
          </cell>
          <cell r="Y1409">
            <v>0.16849140546675301</v>
          </cell>
          <cell r="Z1409">
            <v>0.18758162665487577</v>
          </cell>
          <cell r="AA1409">
            <v>0.20786832300291325</v>
          </cell>
          <cell r="AB1409">
            <v>0.22946907716339116</v>
          </cell>
          <cell r="AC1409">
            <v>0.25237690069305208</v>
          </cell>
          <cell r="AD1409">
            <v>0.27656453187828722</v>
          </cell>
          <cell r="AE1409">
            <v>0.30240099353566752</v>
          </cell>
          <cell r="AF1409">
            <v>0.32924288431384063</v>
          </cell>
          <cell r="AG1409">
            <v>0.35728223076952892</v>
          </cell>
          <cell r="AH1409">
            <v>0.38649857798799259</v>
          </cell>
          <cell r="AI1409">
            <v>0.41684415573951528</v>
          </cell>
          <cell r="AJ1409">
            <v>0.44826530926262986</v>
          </cell>
          <cell r="AK1409">
            <v>0.4807048934139635</v>
          </cell>
          <cell r="AL1409">
            <v>0.51412259410970051</v>
          </cell>
          <cell r="AM1409">
            <v>0.5484986205692044</v>
          </cell>
          <cell r="AN1409">
            <v>0.58381526514291737</v>
          </cell>
          <cell r="AO1409">
            <v>0.62006008054079631</v>
          </cell>
          <cell r="AP1409">
            <v>0.65736193818151101</v>
          </cell>
          <cell r="AQ1409">
            <v>0.69552463344196847</v>
          </cell>
          <cell r="AR1409">
            <v>0.73459079277463646</v>
          </cell>
          <cell r="AS1409">
            <v>0.77452353905552718</v>
          </cell>
          <cell r="AT1409">
            <v>0.81525721032637</v>
          </cell>
          <cell r="AU1409">
            <v>0.85140939758092671</v>
          </cell>
          <cell r="AV1409">
            <v>0.88949673841058896</v>
          </cell>
          <cell r="AW1409">
            <v>0.93208626103317149</v>
          </cell>
          <cell r="AX1409">
            <v>0.97912169485148137</v>
          </cell>
          <cell r="AY1409">
            <v>1.0294641164214968</v>
          </cell>
          <cell r="AZ1409">
            <v>1.0888035388252337</v>
          </cell>
          <cell r="BA1409">
            <v>1.1478502521279021</v>
          </cell>
          <cell r="BB1409">
            <v>1.203171839377426</v>
          </cell>
          <cell r="BC1409">
            <v>1.255211008277668</v>
          </cell>
          <cell r="BD1409">
            <v>1.3060569450224602</v>
          </cell>
          <cell r="BE1409">
            <v>-0.31622750646672637</v>
          </cell>
          <cell r="BF1409">
            <v>-0.35047498363949825</v>
          </cell>
          <cell r="BG1409">
            <v>-0.38649508567719648</v>
          </cell>
          <cell r="BH1409">
            <v>-0.42419383410826628</v>
          </cell>
          <cell r="BI1409">
            <v>-0.46344306992865403</v>
          </cell>
        </row>
        <row r="1410">
          <cell r="C1410" t="str">
            <v>PIB</v>
          </cell>
          <cell r="E1410" t="str">
            <v>GDP_2</v>
          </cell>
          <cell r="F1410">
            <v>2200495.5989999999</v>
          </cell>
          <cell r="G1410">
            <v>2228086.3130000001</v>
          </cell>
          <cell r="H1410">
            <v>2258687.5619999999</v>
          </cell>
          <cell r="I1410">
            <v>2291372.7409999999</v>
          </cell>
          <cell r="J1410">
            <v>2326043.6800000002</v>
          </cell>
          <cell r="K1410">
            <v>2362554.469</v>
          </cell>
          <cell r="L1410">
            <v>2399174.4700000002</v>
          </cell>
          <cell r="M1410">
            <v>2436858.048</v>
          </cell>
          <cell r="N1410">
            <v>2475527.898</v>
          </cell>
          <cell r="O1410">
            <v>2515111.7220000001</v>
          </cell>
          <cell r="P1410">
            <v>2558300.1869999999</v>
          </cell>
          <cell r="Q1410">
            <v>2600299.3560000001</v>
          </cell>
          <cell r="R1410">
            <v>2642882.6630000002</v>
          </cell>
          <cell r="S1410">
            <v>2686002.9569999999</v>
          </cell>
          <cell r="T1410">
            <v>2729640.6069999998</v>
          </cell>
          <cell r="U1410">
            <v>2773793.844</v>
          </cell>
          <cell r="V1410">
            <v>2818476.0010000002</v>
          </cell>
          <cell r="W1410">
            <v>2863706.1320000002</v>
          </cell>
          <cell r="X1410">
            <v>2909509.2710000002</v>
          </cell>
          <cell r="Y1410">
            <v>2955911.55</v>
          </cell>
          <cell r="Z1410">
            <v>3000873.41</v>
          </cell>
          <cell r="AA1410">
            <v>3047956.26</v>
          </cell>
          <cell r="AB1410">
            <v>3095818.4580000001</v>
          </cell>
          <cell r="AC1410">
            <v>3144483.3679999998</v>
          </cell>
          <cell r="AD1410">
            <v>3193959.4210000001</v>
          </cell>
          <cell r="AE1410">
            <v>3238258.2009999999</v>
          </cell>
          <cell r="AF1410">
            <v>3284785.2689999999</v>
          </cell>
          <cell r="AG1410">
            <v>3331575.6340000001</v>
          </cell>
          <cell r="AH1410">
            <v>3378774.801</v>
          </cell>
          <cell r="AI1410">
            <v>3426497.287</v>
          </cell>
          <cell r="AJ1410">
            <v>3474831.3509999998</v>
          </cell>
          <cell r="AK1410">
            <v>3523838.5630000001</v>
          </cell>
          <cell r="AL1410">
            <v>3573558.3629999999</v>
          </cell>
          <cell r="AM1410">
            <v>3624011.6770000001</v>
          </cell>
          <cell r="AN1410">
            <v>3675206.9720000001</v>
          </cell>
          <cell r="AO1410">
            <v>3727145.0649999999</v>
          </cell>
          <cell r="AP1410">
            <v>3778357.6009999998</v>
          </cell>
          <cell r="AQ1410">
            <v>3829870.372</v>
          </cell>
          <cell r="AR1410">
            <v>3881753.5090000001</v>
          </cell>
          <cell r="AS1410">
            <v>3934082.2609999999</v>
          </cell>
          <cell r="AT1410">
            <v>3986926.912</v>
          </cell>
          <cell r="AU1410">
            <v>4040348.0839999998</v>
          </cell>
          <cell r="AV1410">
            <v>4094397.0920000002</v>
          </cell>
          <cell r="AW1410">
            <v>4149113.1690000002</v>
          </cell>
          <cell r="AX1410">
            <v>4204525.6109999996</v>
          </cell>
          <cell r="AY1410">
            <v>4260655.7019999996</v>
          </cell>
          <cell r="AZ1410">
            <v>4318011.0429999996</v>
          </cell>
          <cell r="BA1410">
            <v>4376583.6809999999</v>
          </cell>
          <cell r="BB1410">
            <v>4436297.5070000002</v>
          </cell>
          <cell r="BC1410">
            <v>4497041.2390000001</v>
          </cell>
          <cell r="BD1410">
            <v>4558725.7659999998</v>
          </cell>
          <cell r="BE1410">
            <v>4934052.733</v>
          </cell>
          <cell r="BF1410">
            <v>5016319.7319999998</v>
          </cell>
          <cell r="BG1410">
            <v>5099876.3890000004</v>
          </cell>
          <cell r="BH1410">
            <v>5184742.5460000001</v>
          </cell>
          <cell r="BI1410">
            <v>5270939.8990000002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0</v>
          </cell>
          <cell r="H1411">
            <v>0</v>
          </cell>
          <cell r="I1411">
            <v>-4.3641945612904465E-8</v>
          </cell>
          <cell r="J1411">
            <v>0</v>
          </cell>
          <cell r="K1411">
            <v>0</v>
          </cell>
          <cell r="L1411">
            <v>-4.1681014195660282E-8</v>
          </cell>
          <cell r="M1411">
            <v>-4.1036452014253655E-8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-1.8971946236234771E-8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1178139.675</v>
          </cell>
          <cell r="G1412">
            <v>1217043.8430000001</v>
          </cell>
          <cell r="H1412">
            <v>1257949.4040000001</v>
          </cell>
          <cell r="I1412">
            <v>1300241.915</v>
          </cell>
          <cell r="J1412">
            <v>1344193.963</v>
          </cell>
          <cell r="K1412">
            <v>1389904.0179999999</v>
          </cell>
          <cell r="L1412">
            <v>1435965.36</v>
          </cell>
          <cell r="M1412">
            <v>1483691.648</v>
          </cell>
          <cell r="N1412">
            <v>1533083.709</v>
          </cell>
          <cell r="O1412">
            <v>1584169.7139999999</v>
          </cell>
          <cell r="P1412">
            <v>1639653.4639999999</v>
          </cell>
          <cell r="Q1412">
            <v>1694356.49</v>
          </cell>
          <cell r="R1412">
            <v>1750892.6529999999</v>
          </cell>
          <cell r="S1412">
            <v>1809291.405</v>
          </cell>
          <cell r="T1412">
            <v>1869609.121</v>
          </cell>
          <cell r="U1412">
            <v>1931894.372</v>
          </cell>
          <cell r="V1412">
            <v>1996186.3049999999</v>
          </cell>
          <cell r="W1412">
            <v>2062519.209</v>
          </cell>
          <cell r="X1412">
            <v>2130924.9029999999</v>
          </cell>
          <cell r="Y1412">
            <v>2201437.122</v>
          </cell>
          <cell r="Z1412">
            <v>2271698.6549999998</v>
          </cell>
          <cell r="AA1412">
            <v>2346444.304</v>
          </cell>
          <cell r="AB1412">
            <v>2423393.409</v>
          </cell>
          <cell r="AC1412">
            <v>2502606.8859999999</v>
          </cell>
          <cell r="AD1412">
            <v>2584125.1850000001</v>
          </cell>
          <cell r="AE1412">
            <v>2660392.4670000002</v>
          </cell>
          <cell r="AF1412">
            <v>2742748.6519999998</v>
          </cell>
          <cell r="AG1412">
            <v>2827294.5639999998</v>
          </cell>
          <cell r="AH1412">
            <v>2914130.5040000002</v>
          </cell>
          <cell r="AI1412">
            <v>3003311.0950000002</v>
          </cell>
          <cell r="AJ1412">
            <v>3094898.8369999998</v>
          </cell>
          <cell r="AK1412">
            <v>3188974.375</v>
          </cell>
          <cell r="AL1412">
            <v>3285636.8309999998</v>
          </cell>
          <cell r="AM1412">
            <v>3385001.0449999999</v>
          </cell>
          <cell r="AN1412">
            <v>3487192.5890000002</v>
          </cell>
          <cell r="AO1412">
            <v>3592344.9720000001</v>
          </cell>
          <cell r="AP1412">
            <v>3698348.8829999999</v>
          </cell>
          <cell r="AQ1412">
            <v>3807465.22</v>
          </cell>
          <cell r="AR1412">
            <v>3919814.14</v>
          </cell>
          <cell r="AS1412">
            <v>4035528.0660000001</v>
          </cell>
          <cell r="AT1412">
            <v>4154738.0860000001</v>
          </cell>
          <cell r="AU1412">
            <v>4277575.7039999999</v>
          </cell>
          <cell r="AV1412">
            <v>4404175.9469999997</v>
          </cell>
          <cell r="AW1412">
            <v>4534680.591</v>
          </cell>
          <cell r="AX1412">
            <v>4669236.7280000001</v>
          </cell>
          <cell r="AY1412">
            <v>4807997.2359999996</v>
          </cell>
          <cell r="AZ1412">
            <v>4950713.7750000004</v>
          </cell>
          <cell r="BA1412">
            <v>5096458.0920000002</v>
          </cell>
          <cell r="BB1412">
            <v>5245753.1730000004</v>
          </cell>
          <cell r="BC1412">
            <v>5399046.7470000004</v>
          </cell>
          <cell r="BD1412">
            <v>5556681.0719999997</v>
          </cell>
          <cell r="BE1412">
            <v>6406006.1739999996</v>
          </cell>
          <cell r="BF1412">
            <v>6609777.1940000001</v>
          </cell>
          <cell r="BG1412">
            <v>6819700.4450000003</v>
          </cell>
          <cell r="BH1412">
            <v>7035997.3969999999</v>
          </cell>
          <cell r="BI1412">
            <v>7258896.4110000003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1010845.1090000001</v>
          </cell>
          <cell r="G1413">
            <v>1043105.2</v>
          </cell>
          <cell r="H1413">
            <v>1076928.3319999999</v>
          </cell>
          <cell r="I1413">
            <v>1112459.048</v>
          </cell>
          <cell r="J1413">
            <v>1149964.5209999999</v>
          </cell>
          <cell r="K1413">
            <v>1189617.1070000001</v>
          </cell>
          <cell r="L1413">
            <v>1230774.3219999999</v>
          </cell>
          <cell r="M1413">
            <v>1273716.8400000001</v>
          </cell>
          <cell r="N1413">
            <v>1318485.4890000001</v>
          </cell>
          <cell r="O1413">
            <v>1365112.977</v>
          </cell>
          <cell r="P1413">
            <v>1415008.6059999999</v>
          </cell>
          <cell r="Q1413">
            <v>1466312.098</v>
          </cell>
          <cell r="R1413">
            <v>1519445.831</v>
          </cell>
          <cell r="S1413">
            <v>1574425.0109999999</v>
          </cell>
          <cell r="T1413">
            <v>1631288.568</v>
          </cell>
          <cell r="U1413">
            <v>1690088.432</v>
          </cell>
          <cell r="V1413">
            <v>1750881.2690000001</v>
          </cell>
          <cell r="W1413">
            <v>1813725.7339999999</v>
          </cell>
          <cell r="X1413">
            <v>1878678.8130000001</v>
          </cell>
          <cell r="Y1413">
            <v>1945794.5360000001</v>
          </cell>
          <cell r="Z1413">
            <v>2013870.1780000001</v>
          </cell>
          <cell r="AA1413">
            <v>2084660.98</v>
          </cell>
          <cell r="AB1413">
            <v>2157862.6749999998</v>
          </cell>
          <cell r="AC1413">
            <v>2233536.6809999999</v>
          </cell>
          <cell r="AD1413">
            <v>2311726.6179999998</v>
          </cell>
          <cell r="AE1413">
            <v>2388467.423</v>
          </cell>
          <cell r="AF1413">
            <v>2467304.8659999999</v>
          </cell>
          <cell r="AG1413">
            <v>2547805.0830000001</v>
          </cell>
          <cell r="AH1413">
            <v>2630184.6949999998</v>
          </cell>
          <cell r="AI1413">
            <v>2714634.7579999999</v>
          </cell>
          <cell r="AJ1413">
            <v>2801323.193</v>
          </cell>
          <cell r="AK1413">
            <v>2890400.3369999998</v>
          </cell>
          <cell r="AL1413">
            <v>2982004.1159999999</v>
          </cell>
          <cell r="AM1413">
            <v>3076265.9709999999</v>
          </cell>
          <cell r="AN1413">
            <v>3173315.4849999999</v>
          </cell>
          <cell r="AO1413">
            <v>3273283.804</v>
          </cell>
          <cell r="AP1413">
            <v>3375121.7919999999</v>
          </cell>
          <cell r="AQ1413">
            <v>3479361.64</v>
          </cell>
          <cell r="AR1413">
            <v>3586223.3650000002</v>
          </cell>
          <cell r="AS1413">
            <v>3695947.3330000001</v>
          </cell>
          <cell r="AT1413">
            <v>3808776.048</v>
          </cell>
          <cell r="AU1413">
            <v>3924945.2990000001</v>
          </cell>
          <cell r="AV1413">
            <v>4044679.1230000001</v>
          </cell>
          <cell r="AW1413">
            <v>4168190.361</v>
          </cell>
          <cell r="AX1413">
            <v>4295682.3990000002</v>
          </cell>
          <cell r="AY1413">
            <v>4427351.665</v>
          </cell>
          <cell r="AZ1413">
            <v>4563060.5250000004</v>
          </cell>
          <cell r="BA1413">
            <v>4702708.3190000001</v>
          </cell>
          <cell r="BB1413">
            <v>4846336.426</v>
          </cell>
          <cell r="BC1413">
            <v>4994089.57</v>
          </cell>
          <cell r="BD1413">
            <v>5146185.4809999997</v>
          </cell>
          <cell r="BE1413">
            <v>6227547.3530000001</v>
          </cell>
          <cell r="BF1413">
            <v>6447101.7589999996</v>
          </cell>
          <cell r="BG1413">
            <v>6673897.7949999999</v>
          </cell>
          <cell r="BH1413">
            <v>6908213.1090000002</v>
          </cell>
          <cell r="BI1413">
            <v>7150343.2790000001</v>
          </cell>
        </row>
        <row r="1414">
          <cell r="C1414" t="str">
            <v>Solde public</v>
          </cell>
          <cell r="E1414" t="str">
            <v>Bal_G_tot_VAL_2</v>
          </cell>
          <cell r="F1414">
            <v>-65317.498520000001</v>
          </cell>
          <cell r="G1414">
            <v>-68695.700110000005</v>
          </cell>
          <cell r="H1414">
            <v>-72343.343890000004</v>
          </cell>
          <cell r="I1414">
            <v>-75487.972259999995</v>
          </cell>
          <cell r="J1414">
            <v>-78160.148950000003</v>
          </cell>
          <cell r="K1414">
            <v>-80309.610409999994</v>
          </cell>
          <cell r="L1414">
            <v>-81198.256739999997</v>
          </cell>
          <cell r="M1414">
            <v>-81922.113840000005</v>
          </cell>
          <cell r="N1414">
            <v>-82449.419890000005</v>
          </cell>
          <cell r="O1414">
            <v>-82785.465719999993</v>
          </cell>
          <cell r="P1414">
            <v>-84234.313550000006</v>
          </cell>
          <cell r="Q1414">
            <v>-83422.132840000006</v>
          </cell>
          <cell r="R1414">
            <v>-82653.455090000003</v>
          </cell>
          <cell r="S1414">
            <v>-81940.354680000004</v>
          </cell>
          <cell r="T1414">
            <v>-81297.495250000007</v>
          </cell>
          <cell r="U1414">
            <v>-80718.007519999999</v>
          </cell>
          <cell r="V1414">
            <v>-80181.203989999995</v>
          </cell>
          <cell r="W1414">
            <v>-79660.582710000002</v>
          </cell>
          <cell r="X1414">
            <v>-79130.168520000007</v>
          </cell>
          <cell r="Y1414">
            <v>-78570.156799999997</v>
          </cell>
          <cell r="Z1414">
            <v>-76827.539869999993</v>
          </cell>
          <cell r="AA1414">
            <v>-76941.009000000005</v>
          </cell>
          <cell r="AB1414">
            <v>-76841.368889999998</v>
          </cell>
          <cell r="AC1414">
            <v>-76538.771819999994</v>
          </cell>
          <cell r="AD1414">
            <v>-76040.194659999994</v>
          </cell>
          <cell r="AE1414">
            <v>-71764.662280000004</v>
          </cell>
          <cell r="AF1414">
            <v>-71695.171109999996</v>
          </cell>
          <cell r="AG1414">
            <v>-72156.107229999994</v>
          </cell>
          <cell r="AH1414">
            <v>-73004.629209999999</v>
          </cell>
          <cell r="AI1414">
            <v>-74084.926500000001</v>
          </cell>
          <cell r="AJ1414">
            <v>-75279.987160000004</v>
          </cell>
          <cell r="AK1414">
            <v>-76514.381840000002</v>
          </cell>
          <cell r="AL1414">
            <v>-77747.340299999996</v>
          </cell>
          <cell r="AM1414">
            <v>-78962.331699999995</v>
          </cell>
          <cell r="AN1414">
            <v>-80156.244850000003</v>
          </cell>
          <cell r="AO1414">
            <v>-81332.49699</v>
          </cell>
          <cell r="AP1414">
            <v>-81431.795050000001</v>
          </cell>
          <cell r="AQ1414">
            <v>-82236.694109999997</v>
          </cell>
          <cell r="AR1414">
            <v>-83612.054380000001</v>
          </cell>
          <cell r="AS1414">
            <v>-85421.41</v>
          </cell>
          <cell r="AT1414">
            <v>-87531.644279999993</v>
          </cell>
          <cell r="AU1414">
            <v>-89823.429510000002</v>
          </cell>
          <cell r="AV1414">
            <v>-92198.676149999999</v>
          </cell>
          <cell r="AW1414">
            <v>-94582.148289999997</v>
          </cell>
          <cell r="AX1414">
            <v>-96917.140549999996</v>
          </cell>
          <cell r="AY1414">
            <v>-99162.52549</v>
          </cell>
          <cell r="AZ1414">
            <v>-101212.0787</v>
          </cell>
          <cell r="BA1414">
            <v>-102247.9973</v>
          </cell>
          <cell r="BB1414">
            <v>-102802.5711</v>
          </cell>
          <cell r="BC1414">
            <v>-103202.8728</v>
          </cell>
          <cell r="BD1414">
            <v>-103581.1433</v>
          </cell>
          <cell r="BE1414">
            <v>77863.230030000006</v>
          </cell>
          <cell r="BF1414">
            <v>89753.453880000001</v>
          </cell>
          <cell r="BG1414">
            <v>102138.5665</v>
          </cell>
          <cell r="BH1414">
            <v>115050</v>
          </cell>
          <cell r="BI1414">
            <v>128528.6568</v>
          </cell>
        </row>
        <row r="1415">
          <cell r="C1415" t="str">
            <v>Dette publique</v>
          </cell>
          <cell r="E1415" t="str">
            <v>DEBT_G_VAL_2</v>
          </cell>
          <cell r="F1415">
            <v>2104858.852</v>
          </cell>
          <cell r="G1415">
            <v>2173554.5520000001</v>
          </cell>
          <cell r="H1415">
            <v>2245897.8960000002</v>
          </cell>
          <cell r="I1415">
            <v>2321385.8679999998</v>
          </cell>
          <cell r="J1415">
            <v>2399546.017</v>
          </cell>
          <cell r="K1415">
            <v>2479855.628</v>
          </cell>
          <cell r="L1415">
            <v>2561053.8840000001</v>
          </cell>
          <cell r="M1415">
            <v>2642975.9980000001</v>
          </cell>
          <cell r="N1415">
            <v>2725425.4180000001</v>
          </cell>
          <cell r="O1415">
            <v>2808210.8840000001</v>
          </cell>
          <cell r="P1415">
            <v>2892445.1970000002</v>
          </cell>
          <cell r="Q1415">
            <v>2975867.33</v>
          </cell>
          <cell r="R1415">
            <v>3058520.7850000001</v>
          </cell>
          <cell r="S1415">
            <v>3140461.14</v>
          </cell>
          <cell r="T1415">
            <v>3221758.6349999998</v>
          </cell>
          <cell r="U1415">
            <v>3302476.6430000002</v>
          </cell>
          <cell r="V1415">
            <v>3382657.8470000001</v>
          </cell>
          <cell r="W1415">
            <v>3462318.429</v>
          </cell>
          <cell r="X1415">
            <v>3541448.5980000002</v>
          </cell>
          <cell r="Y1415">
            <v>3620018.7549999999</v>
          </cell>
          <cell r="Z1415">
            <v>3696846.2949999999</v>
          </cell>
          <cell r="AA1415">
            <v>3773787.304</v>
          </cell>
          <cell r="AB1415">
            <v>3850628.6719999998</v>
          </cell>
          <cell r="AC1415">
            <v>3927167.4440000001</v>
          </cell>
          <cell r="AD1415">
            <v>4003207.639</v>
          </cell>
          <cell r="AE1415">
            <v>4074972.301</v>
          </cell>
          <cell r="AF1415">
            <v>4146667.4720000001</v>
          </cell>
          <cell r="AG1415">
            <v>4218823.58</v>
          </cell>
          <cell r="AH1415">
            <v>4291828.2089999998</v>
          </cell>
          <cell r="AI1415">
            <v>4365913.1349999998</v>
          </cell>
          <cell r="AJ1415">
            <v>4441193.1220000004</v>
          </cell>
          <cell r="AK1415">
            <v>4517707.5039999997</v>
          </cell>
          <cell r="AL1415">
            <v>4595454.8449999997</v>
          </cell>
          <cell r="AM1415">
            <v>4674417.176</v>
          </cell>
          <cell r="AN1415">
            <v>4754573.4210000001</v>
          </cell>
          <cell r="AO1415">
            <v>4835905.9179999996</v>
          </cell>
          <cell r="AP1415">
            <v>4917337.7130000005</v>
          </cell>
          <cell r="AQ1415">
            <v>4999574.4069999997</v>
          </cell>
          <cell r="AR1415">
            <v>5083186.4620000003</v>
          </cell>
          <cell r="AS1415">
            <v>5168607.8720000004</v>
          </cell>
          <cell r="AT1415">
            <v>5256139.5159999998</v>
          </cell>
          <cell r="AU1415">
            <v>5345962.9450000003</v>
          </cell>
          <cell r="AV1415">
            <v>5438161.6220000004</v>
          </cell>
          <cell r="AW1415">
            <v>5532743.7699999996</v>
          </cell>
          <cell r="AX1415">
            <v>5629660.9100000001</v>
          </cell>
          <cell r="AY1415">
            <v>5728823.4359999998</v>
          </cell>
          <cell r="AZ1415">
            <v>5830035.5149999997</v>
          </cell>
          <cell r="BA1415">
            <v>5932283.5120000001</v>
          </cell>
          <cell r="BB1415">
            <v>6035086.0829999996</v>
          </cell>
          <cell r="BC1415">
            <v>6138288.9560000002</v>
          </cell>
          <cell r="BD1415">
            <v>6241870.0990000004</v>
          </cell>
          <cell r="BE1415">
            <v>5048577.7790000001</v>
          </cell>
          <cell r="BF1415">
            <v>4958824.3250000002</v>
          </cell>
          <cell r="BG1415">
            <v>4856685.7580000004</v>
          </cell>
          <cell r="BH1415">
            <v>4741635.7580000004</v>
          </cell>
          <cell r="BI1415">
            <v>4613107.102</v>
          </cell>
        </row>
        <row r="1434">
          <cell r="F1434">
            <v>27374.43507</v>
          </cell>
          <cell r="G1434">
            <v>27407.388129999999</v>
          </cell>
          <cell r="H1434">
            <v>27448.65309</v>
          </cell>
          <cell r="I1434">
            <v>27506.708419999999</v>
          </cell>
          <cell r="J1434">
            <v>27584.298770000001</v>
          </cell>
          <cell r="K1434">
            <v>27680.819479999998</v>
          </cell>
          <cell r="L1434">
            <v>27783.097989999998</v>
          </cell>
          <cell r="M1434">
            <v>27890.384959999999</v>
          </cell>
          <cell r="N1434">
            <v>28002.06364</v>
          </cell>
          <cell r="O1434">
            <v>28117.35959</v>
          </cell>
          <cell r="P1434">
            <v>28253.610820000002</v>
          </cell>
          <cell r="Q1434">
            <v>28388.254260000002</v>
          </cell>
          <cell r="R1434">
            <v>28520.20377</v>
          </cell>
          <cell r="S1434">
            <v>28649.433540000002</v>
          </cell>
          <cell r="T1434">
            <v>28776.128680000002</v>
          </cell>
          <cell r="U1434">
            <v>28900.533769999998</v>
          </cell>
          <cell r="V1434">
            <v>29022.946629999999</v>
          </cell>
          <cell r="W1434">
            <v>29143.651539999999</v>
          </cell>
          <cell r="X1434">
            <v>29262.930779999999</v>
          </cell>
          <cell r="Y1434">
            <v>29381.04536</v>
          </cell>
          <cell r="Z1434">
            <v>29486.14172</v>
          </cell>
          <cell r="AA1434">
            <v>29592.84621</v>
          </cell>
          <cell r="AB1434">
            <v>29701.556229999998</v>
          </cell>
          <cell r="AC1434">
            <v>29812.010910000001</v>
          </cell>
          <cell r="AD1434">
            <v>29923.862959999999</v>
          </cell>
          <cell r="AE1434">
            <v>30003.774700000002</v>
          </cell>
          <cell r="AF1434">
            <v>30075.362860000001</v>
          </cell>
          <cell r="AG1434">
            <v>30142.043300000001</v>
          </cell>
          <cell r="AH1434">
            <v>30205.883170000001</v>
          </cell>
          <cell r="AI1434">
            <v>30268.33685</v>
          </cell>
          <cell r="AJ1434">
            <v>30330.431240000002</v>
          </cell>
          <cell r="AK1434">
            <v>30392.835599999999</v>
          </cell>
          <cell r="AL1434">
            <v>30455.935229999999</v>
          </cell>
          <cell r="AM1434">
            <v>30519.888900000002</v>
          </cell>
          <cell r="AN1434">
            <v>30584.693950000001</v>
          </cell>
          <cell r="AO1434">
            <v>30650.244589999998</v>
          </cell>
          <cell r="AP1434">
            <v>30709.282869999999</v>
          </cell>
          <cell r="AQ1434">
            <v>30763.014660000001</v>
          </cell>
          <cell r="AR1434">
            <v>30812.79334</v>
          </cell>
          <cell r="AS1434">
            <v>30859.766339999998</v>
          </cell>
          <cell r="AT1434">
            <v>30904.842769999999</v>
          </cell>
          <cell r="AU1434">
            <v>30948.707999999999</v>
          </cell>
          <cell r="AV1434">
            <v>30991.867849999999</v>
          </cell>
          <cell r="AW1434">
            <v>31034.666689999998</v>
          </cell>
          <cell r="AX1434">
            <v>31077.317899999998</v>
          </cell>
          <cell r="AY1434">
            <v>31119.934570000001</v>
          </cell>
          <cell r="AZ1434">
            <v>31163.498899999999</v>
          </cell>
          <cell r="BA1434">
            <v>31208.538830000001</v>
          </cell>
          <cell r="BB1434">
            <v>31255.23329</v>
          </cell>
          <cell r="BC1434">
            <v>31303.43276</v>
          </cell>
          <cell r="BD1434">
            <v>31352.833279999999</v>
          </cell>
          <cell r="BE1434">
            <v>31151.28602</v>
          </cell>
          <cell r="BF1434">
            <v>31189.76338</v>
          </cell>
          <cell r="BG1434">
            <v>31227.690480000001</v>
          </cell>
          <cell r="BH1434">
            <v>31265.089660000001</v>
          </cell>
          <cell r="BI1434">
            <v>31301.985199999999</v>
          </cell>
        </row>
        <row r="1435">
          <cell r="F1435">
            <v>763.51724249999995</v>
          </cell>
          <cell r="G1435">
            <v>764.62380199999996</v>
          </cell>
          <cell r="H1435">
            <v>764.07154370000001</v>
          </cell>
          <cell r="I1435">
            <v>762.62687240000002</v>
          </cell>
          <cell r="J1435">
            <v>760.81558719999998</v>
          </cell>
          <cell r="K1435">
            <v>758.95328819999997</v>
          </cell>
          <cell r="L1435">
            <v>756.82875620000004</v>
          </cell>
          <cell r="M1435">
            <v>754.66632660000005</v>
          </cell>
          <cell r="N1435">
            <v>752.59355100000005</v>
          </cell>
          <cell r="O1435">
            <v>750.67065869999999</v>
          </cell>
          <cell r="P1435">
            <v>749.54349260000004</v>
          </cell>
          <cell r="Q1435">
            <v>748.35848899999996</v>
          </cell>
          <cell r="R1435">
            <v>747.16093760000001</v>
          </cell>
          <cell r="S1435">
            <v>745.98679179999999</v>
          </cell>
          <cell r="T1435">
            <v>744.855276</v>
          </cell>
          <cell r="U1435">
            <v>743.77162520000002</v>
          </cell>
          <cell r="V1435">
            <v>742.76348889999997</v>
          </cell>
          <cell r="W1435">
            <v>741.81029560000002</v>
          </cell>
          <cell r="X1435">
            <v>740.89491959999998</v>
          </cell>
          <cell r="Y1435">
            <v>740.00380280000002</v>
          </cell>
          <cell r="Z1435">
            <v>738.72888009999997</v>
          </cell>
          <cell r="AA1435">
            <v>737.62103460000003</v>
          </cell>
          <cell r="AB1435">
            <v>736.62816020000002</v>
          </cell>
          <cell r="AC1435">
            <v>735.70769270000005</v>
          </cell>
          <cell r="AD1435">
            <v>734.83123490000003</v>
          </cell>
          <cell r="AE1435">
            <v>732.91789900000003</v>
          </cell>
          <cell r="AF1435">
            <v>730.94412999999997</v>
          </cell>
          <cell r="AG1435">
            <v>728.98521530000005</v>
          </cell>
          <cell r="AH1435">
            <v>727.07540779999999</v>
          </cell>
          <cell r="AI1435">
            <v>725.22941290000006</v>
          </cell>
          <cell r="AJ1435">
            <v>723.45302530000004</v>
          </cell>
          <cell r="AK1435">
            <v>721.7403157</v>
          </cell>
          <cell r="AL1435">
            <v>720.09455160000005</v>
          </cell>
          <cell r="AM1435">
            <v>718.51705579999998</v>
          </cell>
          <cell r="AN1435">
            <v>717.00792190000004</v>
          </cell>
          <cell r="AO1435">
            <v>715.56631809999999</v>
          </cell>
          <cell r="AP1435">
            <v>713.90273990000003</v>
          </cell>
          <cell r="AQ1435">
            <v>712.13173380000001</v>
          </cell>
          <cell r="AR1435">
            <v>710.3280532</v>
          </cell>
          <cell r="AS1435">
            <v>708.5361408</v>
          </cell>
          <cell r="AT1435">
            <v>706.78006019999998</v>
          </cell>
          <cell r="AU1435">
            <v>705.05982640000002</v>
          </cell>
          <cell r="AV1435">
            <v>703.38355939999997</v>
          </cell>
          <cell r="AW1435">
            <v>701.75357080000003</v>
          </cell>
          <cell r="AX1435">
            <v>700.16902219999997</v>
          </cell>
          <cell r="AY1435">
            <v>698.6274942</v>
          </cell>
          <cell r="AZ1435">
            <v>696.83587090000003</v>
          </cell>
          <cell r="BA1435">
            <v>694.88440070000001</v>
          </cell>
          <cell r="BB1435">
            <v>692.92371490000005</v>
          </cell>
          <cell r="BC1435">
            <v>691.07077000000004</v>
          </cell>
          <cell r="BD1435">
            <v>689.39209700000004</v>
          </cell>
          <cell r="BE1435">
            <v>820.99118099999998</v>
          </cell>
          <cell r="BF1435">
            <v>821.45874209999999</v>
          </cell>
          <cell r="BG1435">
            <v>821.93549919999998</v>
          </cell>
          <cell r="BH1435">
            <v>822.4226175</v>
          </cell>
          <cell r="BI1435">
            <v>822.92123130000004</v>
          </cell>
        </row>
        <row r="1438">
          <cell r="F1438">
            <v>4367.1856770000004</v>
          </cell>
          <cell r="G1438">
            <v>4371.710932</v>
          </cell>
          <cell r="H1438">
            <v>4377.9942520000004</v>
          </cell>
          <cell r="I1438">
            <v>4387.534541</v>
          </cell>
          <cell r="J1438">
            <v>4400.7848739999999</v>
          </cell>
          <cell r="K1438">
            <v>4417.6658429999998</v>
          </cell>
          <cell r="L1438">
            <v>4436.3705490000002</v>
          </cell>
          <cell r="M1438">
            <v>4456.5989399999999</v>
          </cell>
          <cell r="N1438">
            <v>4478.1486510000004</v>
          </cell>
          <cell r="O1438">
            <v>4500.8305549999995</v>
          </cell>
          <cell r="P1438">
            <v>4526.9219789999997</v>
          </cell>
          <cell r="Q1438">
            <v>4553.5536730000003</v>
          </cell>
          <cell r="R1438">
            <v>4580.35106</v>
          </cell>
          <cell r="S1438">
            <v>4607.1644390000001</v>
          </cell>
          <cell r="T1438">
            <v>4633.9224459999996</v>
          </cell>
          <cell r="U1438">
            <v>4660.5905839999996</v>
          </cell>
          <cell r="V1438">
            <v>4687.1584599999996</v>
          </cell>
          <cell r="W1438">
            <v>4713.6290749999998</v>
          </cell>
          <cell r="X1438">
            <v>4740.0143760000001</v>
          </cell>
          <cell r="Y1438">
            <v>4766.3307290000002</v>
          </cell>
          <cell r="Z1438">
            <v>4790.9448540000003</v>
          </cell>
          <cell r="AA1438">
            <v>4815.6640369999996</v>
          </cell>
          <cell r="AB1438">
            <v>4840.6430959999998</v>
          </cell>
          <cell r="AC1438">
            <v>4865.8950750000004</v>
          </cell>
          <cell r="AD1438">
            <v>4891.3898769999996</v>
          </cell>
          <cell r="AE1438">
            <v>4912.5569029999997</v>
          </cell>
          <cell r="AF1438">
            <v>4932.1200490000001</v>
          </cell>
          <cell r="AG1438">
            <v>4950.5960459999997</v>
          </cell>
          <cell r="AH1438">
            <v>4968.3112849999998</v>
          </cell>
          <cell r="AI1438">
            <v>4985.4949029999998</v>
          </cell>
          <cell r="AJ1438">
            <v>5002.3068830000002</v>
          </cell>
          <cell r="AK1438">
            <v>5018.8505670000004</v>
          </cell>
          <cell r="AL1438">
            <v>5035.1829799999996</v>
          </cell>
          <cell r="AM1438">
            <v>5051.3238460000002</v>
          </cell>
          <cell r="AN1438">
            <v>5067.2649629999996</v>
          </cell>
          <cell r="AO1438">
            <v>5082.9791750000004</v>
          </cell>
          <cell r="AP1438">
            <v>5097.4503789999999</v>
          </cell>
          <cell r="AQ1438">
            <v>5110.7149179999997</v>
          </cell>
          <cell r="AR1438">
            <v>5122.8981359999998</v>
          </cell>
          <cell r="AS1438">
            <v>5134.1351510000004</v>
          </cell>
          <cell r="AT1438">
            <v>5144.5480299999999</v>
          </cell>
          <cell r="AU1438">
            <v>5154.2388229999997</v>
          </cell>
          <cell r="AV1438">
            <v>5163.2898210000003</v>
          </cell>
          <cell r="AW1438">
            <v>5171.7647280000001</v>
          </cell>
          <cell r="AX1438">
            <v>5179.7114320000001</v>
          </cell>
          <cell r="AY1438">
            <v>5187.1654070000004</v>
          </cell>
          <cell r="AZ1438">
            <v>5194.3765320000002</v>
          </cell>
          <cell r="BA1438">
            <v>5201.5554320000001</v>
          </cell>
          <cell r="BB1438">
            <v>5208.8378469999998</v>
          </cell>
          <cell r="BC1438">
            <v>5216.2620360000001</v>
          </cell>
          <cell r="BD1438">
            <v>5223.7952420000001</v>
          </cell>
          <cell r="BE1438">
            <v>5231.1607729999996</v>
          </cell>
          <cell r="BF1438">
            <v>5242.3388690000002</v>
          </cell>
          <cell r="BG1438">
            <v>5253.0782669999999</v>
          </cell>
          <cell r="BH1438">
            <v>5263.3729199999998</v>
          </cell>
          <cell r="BI1438">
            <v>5273.218406</v>
          </cell>
        </row>
        <row r="1450">
          <cell r="F1450">
            <v>868.2475488</v>
          </cell>
          <cell r="G1450">
            <v>868.50590079999995</v>
          </cell>
          <cell r="H1450">
            <v>868.60261519999995</v>
          </cell>
          <cell r="I1450">
            <v>869.00012960000004</v>
          </cell>
          <cell r="J1450">
            <v>869.91075369999999</v>
          </cell>
          <cell r="K1450">
            <v>871.38073010000005</v>
          </cell>
          <cell r="L1450">
            <v>873.05371679999996</v>
          </cell>
          <cell r="M1450">
            <v>874.90488909999999</v>
          </cell>
          <cell r="N1450">
            <v>876.9086661</v>
          </cell>
          <cell r="O1450">
            <v>879.03173200000003</v>
          </cell>
          <cell r="P1450">
            <v>881.75708510000004</v>
          </cell>
          <cell r="Q1450">
            <v>884.43117919999997</v>
          </cell>
          <cell r="R1450">
            <v>887.00960259999999</v>
          </cell>
          <cell r="S1450">
            <v>889.49087210000005</v>
          </cell>
          <cell r="T1450">
            <v>891.88157990000002</v>
          </cell>
          <cell r="U1450">
            <v>894.19064719999994</v>
          </cell>
          <cell r="V1450">
            <v>896.42760280000005</v>
          </cell>
          <cell r="W1450">
            <v>898.60399310000003</v>
          </cell>
          <cell r="X1450">
            <v>900.73125049999999</v>
          </cell>
          <cell r="Y1450">
            <v>902.82010400000001</v>
          </cell>
          <cell r="Z1450">
            <v>904.53694940000003</v>
          </cell>
          <cell r="AA1450">
            <v>906.30180810000002</v>
          </cell>
          <cell r="AB1450">
            <v>908.13360069999999</v>
          </cell>
          <cell r="AC1450">
            <v>910.02562520000004</v>
          </cell>
          <cell r="AD1450">
            <v>911.96861009999998</v>
          </cell>
          <cell r="AE1450">
            <v>913.01785289999998</v>
          </cell>
          <cell r="AF1450">
            <v>913.85015080000005</v>
          </cell>
          <cell r="AG1450">
            <v>914.57830320000005</v>
          </cell>
          <cell r="AH1450">
            <v>915.26460859999997</v>
          </cell>
          <cell r="AI1450">
            <v>915.95160329999999</v>
          </cell>
          <cell r="AJ1450">
            <v>916.66897589999996</v>
          </cell>
          <cell r="AK1450">
            <v>917.43609079999999</v>
          </cell>
          <cell r="AL1450">
            <v>918.26323079999997</v>
          </cell>
          <cell r="AM1450">
            <v>919.15386969999997</v>
          </cell>
          <cell r="AN1450">
            <v>920.10659450000003</v>
          </cell>
          <cell r="AO1450">
            <v>921.11685230000001</v>
          </cell>
          <cell r="AP1450">
            <v>921.98039949999998</v>
          </cell>
          <cell r="AQ1450">
            <v>922.72955149999996</v>
          </cell>
          <cell r="AR1450">
            <v>923.40385660000004</v>
          </cell>
          <cell r="AS1450">
            <v>924.03607239999997</v>
          </cell>
          <cell r="AT1450">
            <v>924.65122120000001</v>
          </cell>
          <cell r="AU1450">
            <v>925.26787909999996</v>
          </cell>
          <cell r="AV1450">
            <v>925.89841750000005</v>
          </cell>
          <cell r="AW1450">
            <v>926.55049299999996</v>
          </cell>
          <cell r="AX1450">
            <v>927.22796059999996</v>
          </cell>
          <cell r="AY1450">
            <v>927.93178179999995</v>
          </cell>
          <cell r="AZ1450">
            <v>928.70179080000003</v>
          </cell>
          <cell r="BA1450">
            <v>929.54945069999997</v>
          </cell>
          <cell r="BB1450">
            <v>930.47292130000005</v>
          </cell>
          <cell r="BC1450">
            <v>931.46180279999999</v>
          </cell>
          <cell r="BD1450">
            <v>932.50322459999995</v>
          </cell>
          <cell r="BE1450">
            <v>906.05349030000002</v>
          </cell>
          <cell r="BF1450">
            <v>906.0849584</v>
          </cell>
          <cell r="BG1450">
            <v>906.13729030000002</v>
          </cell>
          <cell r="BH1450">
            <v>906.21093189999999</v>
          </cell>
          <cell r="BI1450">
            <v>906.30620550000003</v>
          </cell>
        </row>
        <row r="1455">
          <cell r="F1455">
            <v>21270.52735</v>
          </cell>
          <cell r="G1455">
            <v>21297.750479999999</v>
          </cell>
          <cell r="H1455">
            <v>21333.583579999999</v>
          </cell>
          <cell r="I1455">
            <v>21383.6505</v>
          </cell>
          <cell r="J1455">
            <v>21449.4018</v>
          </cell>
          <cell r="K1455">
            <v>21529.891759999999</v>
          </cell>
          <cell r="L1455">
            <v>21614.332450000002</v>
          </cell>
          <cell r="M1455">
            <v>21702.07099</v>
          </cell>
          <cell r="N1455">
            <v>21792.594079999999</v>
          </cell>
          <cell r="O1455">
            <v>21885.296910000001</v>
          </cell>
          <cell r="P1455">
            <v>21994.066360000001</v>
          </cell>
          <cell r="Q1455">
            <v>22100.784210000002</v>
          </cell>
          <cell r="R1455">
            <v>22204.7497</v>
          </cell>
          <cell r="S1455">
            <v>22306.053929999998</v>
          </cell>
          <cell r="T1455">
            <v>22404.927039999999</v>
          </cell>
          <cell r="U1455">
            <v>22501.633119999999</v>
          </cell>
          <cell r="V1455">
            <v>22596.442230000001</v>
          </cell>
          <cell r="W1455">
            <v>22689.64415</v>
          </cell>
          <cell r="X1455">
            <v>22781.514490000001</v>
          </cell>
          <cell r="Y1455">
            <v>22872.30041</v>
          </cell>
          <cell r="Z1455">
            <v>22952.557379999998</v>
          </cell>
          <cell r="AA1455">
            <v>23034.093270000001</v>
          </cell>
          <cell r="AB1455">
            <v>23117.17958</v>
          </cell>
          <cell r="AC1455">
            <v>23201.592820000002</v>
          </cell>
          <cell r="AD1455">
            <v>23287.055270000001</v>
          </cell>
          <cell r="AE1455">
            <v>23346.919900000001</v>
          </cell>
          <cell r="AF1455">
            <v>23400.363229999999</v>
          </cell>
          <cell r="AG1455">
            <v>23450.07979</v>
          </cell>
          <cell r="AH1455">
            <v>23497.706590000002</v>
          </cell>
          <cell r="AI1455">
            <v>23544.40783</v>
          </cell>
          <cell r="AJ1455">
            <v>23591.01269</v>
          </cell>
          <cell r="AK1455">
            <v>23638.07244</v>
          </cell>
          <cell r="AL1455">
            <v>23685.901089999999</v>
          </cell>
          <cell r="AM1455">
            <v>23734.632610000001</v>
          </cell>
          <cell r="AN1455">
            <v>23784.2739</v>
          </cell>
          <cell r="AO1455">
            <v>23834.75202</v>
          </cell>
          <cell r="AP1455">
            <v>23880.33929</v>
          </cell>
          <cell r="AQ1455">
            <v>23922.055850000001</v>
          </cell>
          <cell r="AR1455">
            <v>23961.01066</v>
          </cell>
          <cell r="AS1455">
            <v>23998.134969999999</v>
          </cell>
          <cell r="AT1455">
            <v>24034.164089999998</v>
          </cell>
          <cell r="AU1455">
            <v>24069.661209999998</v>
          </cell>
          <cell r="AV1455">
            <v>24105.0285</v>
          </cell>
          <cell r="AW1455">
            <v>24140.536230000002</v>
          </cell>
          <cell r="AX1455">
            <v>24176.34678</v>
          </cell>
          <cell r="AY1455">
            <v>24212.539349999999</v>
          </cell>
          <cell r="AZ1455">
            <v>24250.102210000001</v>
          </cell>
          <cell r="BA1455">
            <v>24289.252260000001</v>
          </cell>
          <cell r="BB1455">
            <v>24329.882600000001</v>
          </cell>
          <cell r="BC1455">
            <v>24371.69657</v>
          </cell>
          <cell r="BD1455">
            <v>24414.367180000001</v>
          </cell>
          <cell r="BE1455">
            <v>24105.83799</v>
          </cell>
          <cell r="BF1455">
            <v>24132.885460000001</v>
          </cell>
          <cell r="BG1455">
            <v>24159.784810000001</v>
          </cell>
          <cell r="BH1455">
            <v>24186.563109999999</v>
          </cell>
          <cell r="BI1455">
            <v>24213.247859999999</v>
          </cell>
        </row>
        <row r="1458">
          <cell r="F1458">
            <v>17.996857370000001</v>
          </cell>
          <cell r="G1458">
            <v>17.958408980000002</v>
          </cell>
          <cell r="H1458">
            <v>17.880865010000001</v>
          </cell>
          <cell r="I1458">
            <v>17.795149899999998</v>
          </cell>
          <cell r="J1458">
            <v>17.721013379999999</v>
          </cell>
          <cell r="K1458">
            <v>17.666714129999999</v>
          </cell>
          <cell r="L1458">
            <v>17.62730603</v>
          </cell>
          <cell r="M1458">
            <v>17.60142913</v>
          </cell>
          <cell r="N1458">
            <v>17.586526339999999</v>
          </cell>
          <cell r="O1458">
            <v>17.579770960000001</v>
          </cell>
          <cell r="P1458">
            <v>17.58828136</v>
          </cell>
          <cell r="Q1458">
            <v>17.598175260000001</v>
          </cell>
          <cell r="R1458">
            <v>17.608070300000001</v>
          </cell>
          <cell r="S1458">
            <v>17.617641750000001</v>
          </cell>
          <cell r="T1458">
            <v>17.626782070000001</v>
          </cell>
          <cell r="U1458">
            <v>17.635450689999999</v>
          </cell>
          <cell r="V1458">
            <v>17.643676129999999</v>
          </cell>
          <cell r="W1458">
            <v>17.651472510000001</v>
          </cell>
          <cell r="X1458">
            <v>17.658864909999998</v>
          </cell>
          <cell r="Y1458">
            <v>17.66588746</v>
          </cell>
          <cell r="Z1458">
            <v>17.666261349999999</v>
          </cell>
          <cell r="AA1458">
            <v>17.667917719999998</v>
          </cell>
          <cell r="AB1458">
            <v>17.67086956</v>
          </cell>
          <cell r="AC1458">
            <v>17.674730100000001</v>
          </cell>
          <cell r="AD1458">
            <v>17.67918602</v>
          </cell>
          <cell r="AE1458">
            <v>17.666856710000001</v>
          </cell>
          <cell r="AF1458">
            <v>17.651022770000001</v>
          </cell>
          <cell r="AG1458">
            <v>17.633534829999999</v>
          </cell>
          <cell r="AH1458">
            <v>17.61517533</v>
          </cell>
          <cell r="AI1458">
            <v>17.596423250000001</v>
          </cell>
          <cell r="AJ1458">
            <v>17.577620240000002</v>
          </cell>
          <cell r="AK1458">
            <v>17.559007489999999</v>
          </cell>
          <cell r="AL1458">
            <v>17.540761910000001</v>
          </cell>
          <cell r="AM1458">
            <v>17.52300073</v>
          </cell>
          <cell r="AN1458">
            <v>17.505791980000001</v>
          </cell>
          <cell r="AO1458">
            <v>17.489165620000001</v>
          </cell>
          <cell r="AP1458">
            <v>17.469423389999999</v>
          </cell>
          <cell r="AQ1458">
            <v>17.447491159999998</v>
          </cell>
          <cell r="AR1458">
            <v>17.424263750000001</v>
          </cell>
          <cell r="AS1458">
            <v>17.40037718</v>
          </cell>
          <cell r="AT1458">
            <v>17.376258350000001</v>
          </cell>
          <cell r="AU1458">
            <v>17.35217832</v>
          </cell>
          <cell r="AV1458">
            <v>17.328323340000001</v>
          </cell>
          <cell r="AW1458">
            <v>17.304812989999999</v>
          </cell>
          <cell r="AX1458">
            <v>17.281717759999999</v>
          </cell>
          <cell r="AY1458">
            <v>17.259072410000002</v>
          </cell>
          <cell r="AZ1458">
            <v>17.236609560000002</v>
          </cell>
          <cell r="BA1458">
            <v>17.214177190000001</v>
          </cell>
          <cell r="BB1458">
            <v>17.191914919999999</v>
          </cell>
          <cell r="BC1458">
            <v>17.170055179999999</v>
          </cell>
          <cell r="BD1458">
            <v>17.14880269</v>
          </cell>
          <cell r="BE1458">
            <v>17.10672302</v>
          </cell>
          <cell r="BF1458">
            <v>17.084953720000001</v>
          </cell>
          <cell r="BG1458">
            <v>17.063645919999999</v>
          </cell>
          <cell r="BH1458">
            <v>17.04283483</v>
          </cell>
          <cell r="BI1458">
            <v>17.022556850000001</v>
          </cell>
        </row>
        <row r="1460">
          <cell r="F1460">
            <v>6.6872563549999997</v>
          </cell>
          <cell r="G1460">
            <v>6.665597226</v>
          </cell>
          <cell r="H1460">
            <v>6.6257122869999998</v>
          </cell>
          <cell r="I1460">
            <v>6.5825922170000002</v>
          </cell>
          <cell r="J1460">
            <v>6.5454762840000003</v>
          </cell>
          <cell r="K1460">
            <v>6.5179654200000003</v>
          </cell>
          <cell r="L1460">
            <v>6.4982509290000001</v>
          </cell>
          <cell r="M1460">
            <v>6.4853155039999999</v>
          </cell>
          <cell r="N1460">
            <v>6.4776325640000003</v>
          </cell>
          <cell r="O1460">
            <v>6.4736880489999997</v>
          </cell>
          <cell r="P1460">
            <v>6.4754240300000001</v>
          </cell>
          <cell r="Q1460">
            <v>6.4779249050000001</v>
          </cell>
          <cell r="R1460">
            <v>6.4806304969999999</v>
          </cell>
          <cell r="S1460">
            <v>6.4833031490000002</v>
          </cell>
          <cell r="T1460">
            <v>6.4858137090000003</v>
          </cell>
          <cell r="U1460">
            <v>6.4880932710000003</v>
          </cell>
          <cell r="V1460">
            <v>6.4901203990000003</v>
          </cell>
          <cell r="W1460">
            <v>6.4918880699999999</v>
          </cell>
          <cell r="X1460">
            <v>6.493403045</v>
          </cell>
          <cell r="Y1460">
            <v>6.4946790310000004</v>
          </cell>
          <cell r="Z1460">
            <v>6.4936246049999999</v>
          </cell>
          <cell r="AA1460">
            <v>6.4928961059999999</v>
          </cell>
          <cell r="AB1460">
            <v>6.4924460890000004</v>
          </cell>
          <cell r="AC1460">
            <v>6.4921590020000002</v>
          </cell>
          <cell r="AD1460">
            <v>6.4919509570000002</v>
          </cell>
          <cell r="AE1460">
            <v>6.4860325510000001</v>
          </cell>
          <cell r="AF1460">
            <v>6.4788769090000002</v>
          </cell>
          <cell r="AG1460">
            <v>6.4709770129999997</v>
          </cell>
          <cell r="AH1460">
            <v>6.4625758969999998</v>
          </cell>
          <cell r="AI1460">
            <v>6.4538491550000003</v>
          </cell>
          <cell r="AJ1460">
            <v>6.4449370699999999</v>
          </cell>
          <cell r="AK1460">
            <v>6.4359481650000001</v>
          </cell>
          <cell r="AL1460">
            <v>6.4269659819999996</v>
          </cell>
          <cell r="AM1460">
            <v>6.4180496429999998</v>
          </cell>
          <cell r="AN1460">
            <v>6.4092377699999998</v>
          </cell>
          <cell r="AO1460">
            <v>6.4005531019999999</v>
          </cell>
          <cell r="AP1460">
            <v>6.3907746120000004</v>
          </cell>
          <cell r="AQ1460">
            <v>6.380229731</v>
          </cell>
          <cell r="AR1460">
            <v>6.3692013320000003</v>
          </cell>
          <cell r="AS1460">
            <v>6.3578905749999999</v>
          </cell>
          <cell r="AT1460">
            <v>6.3464387929999999</v>
          </cell>
          <cell r="AU1460">
            <v>6.3349439570000001</v>
          </cell>
          <cell r="AV1460">
            <v>6.3234790070000004</v>
          </cell>
          <cell r="AW1460">
            <v>6.3120953269999998</v>
          </cell>
          <cell r="AX1460">
            <v>6.3008271420000002</v>
          </cell>
          <cell r="AY1460">
            <v>6.2896952089999996</v>
          </cell>
          <cell r="AZ1460">
            <v>6.2786290940000002</v>
          </cell>
          <cell r="BA1460">
            <v>6.267579199</v>
          </cell>
          <cell r="BB1460">
            <v>6.2565823209999998</v>
          </cell>
          <cell r="BC1460">
            <v>6.2457006240000004</v>
          </cell>
          <cell r="BD1460">
            <v>6.2349879289999999</v>
          </cell>
          <cell r="BE1460">
            <v>6.2603257899999996</v>
          </cell>
          <cell r="BF1460">
            <v>6.2497078110000004</v>
          </cell>
          <cell r="BG1460">
            <v>6.2392568309999996</v>
          </cell>
          <cell r="BH1460">
            <v>6.2289919490000001</v>
          </cell>
          <cell r="BI1460">
            <v>6.2189324130000001</v>
          </cell>
        </row>
        <row r="1462">
          <cell r="F1462">
            <v>0.72028375860000005</v>
          </cell>
          <cell r="G1462">
            <v>0.7202487783</v>
          </cell>
          <cell r="H1462">
            <v>0.71937072170000005</v>
          </cell>
          <cell r="I1462">
            <v>0.71815003290000001</v>
          </cell>
          <cell r="J1462">
            <v>0.71699178990000001</v>
          </cell>
          <cell r="K1462">
            <v>0.71613411589999998</v>
          </cell>
          <cell r="L1462">
            <v>0.71538926140000003</v>
          </cell>
          <cell r="M1462">
            <v>0.71481401440000003</v>
          </cell>
          <cell r="N1462">
            <v>0.71443293900000004</v>
          </cell>
          <cell r="O1462">
            <v>0.71423419619999995</v>
          </cell>
          <cell r="P1462">
            <v>0.71465202630000002</v>
          </cell>
          <cell r="Q1462">
            <v>0.71509269019999999</v>
          </cell>
          <cell r="R1462">
            <v>0.71549616110000003</v>
          </cell>
          <cell r="S1462">
            <v>0.71586791979999997</v>
          </cell>
          <cell r="T1462">
            <v>0.71621998220000005</v>
          </cell>
          <cell r="U1462">
            <v>0.71656083579999996</v>
          </cell>
          <cell r="V1462">
            <v>0.71689793260000001</v>
          </cell>
          <cell r="W1462">
            <v>0.71723351310000005</v>
          </cell>
          <cell r="X1462">
            <v>0.71756827489999997</v>
          </cell>
          <cell r="Y1462">
            <v>0.71790271409999995</v>
          </cell>
          <cell r="Z1462">
            <v>0.71793570770000004</v>
          </cell>
          <cell r="AA1462">
            <v>0.71803536550000002</v>
          </cell>
          <cell r="AB1462">
            <v>0.71822125219999999</v>
          </cell>
          <cell r="AC1462">
            <v>0.71847481150000003</v>
          </cell>
          <cell r="AD1462">
            <v>0.71877723630000001</v>
          </cell>
          <cell r="AE1462">
            <v>0.71829807489999997</v>
          </cell>
          <cell r="AF1462">
            <v>0.71763840639999998</v>
          </cell>
          <cell r="AG1462">
            <v>0.71692346080000002</v>
          </cell>
          <cell r="AH1462">
            <v>0.7162010781</v>
          </cell>
          <cell r="AI1462">
            <v>0.71549477429999997</v>
          </cell>
          <cell r="AJ1462">
            <v>0.71481779739999995</v>
          </cell>
          <cell r="AK1462">
            <v>0.71417736269999998</v>
          </cell>
          <cell r="AL1462">
            <v>0.71357817440000004</v>
          </cell>
          <cell r="AM1462">
            <v>0.71302291080000002</v>
          </cell>
          <cell r="AN1462">
            <v>0.71251267009999997</v>
          </cell>
          <cell r="AO1462">
            <v>0.71204730159999996</v>
          </cell>
          <cell r="AP1462">
            <v>0.71144876040000005</v>
          </cell>
          <cell r="AQ1462">
            <v>0.71075336219999996</v>
          </cell>
          <cell r="AR1462">
            <v>0.71000729630000003</v>
          </cell>
          <cell r="AS1462">
            <v>0.70924472329999999</v>
          </cell>
          <cell r="AT1462">
            <v>0.70848777890000003</v>
          </cell>
          <cell r="AU1462">
            <v>0.70774881720000005</v>
          </cell>
          <cell r="AV1462">
            <v>0.70703528120000003</v>
          </cell>
          <cell r="AW1462">
            <v>0.70635099980000005</v>
          </cell>
          <cell r="AX1462">
            <v>0.70569740650000001</v>
          </cell>
          <cell r="AY1462">
            <v>0.70507440139999999</v>
          </cell>
          <cell r="AZ1462">
            <v>0.70445272540000003</v>
          </cell>
          <cell r="BA1462">
            <v>0.7038201932</v>
          </cell>
          <cell r="BB1462">
            <v>0.70318728050000001</v>
          </cell>
          <cell r="BC1462">
            <v>0.70257353099999997</v>
          </cell>
          <cell r="BD1462">
            <v>0.70199762080000006</v>
          </cell>
          <cell r="BE1462">
            <v>0.69044872810000002</v>
          </cell>
          <cell r="BF1462">
            <v>0.68981517540000004</v>
          </cell>
          <cell r="BG1462">
            <v>0.68920305380000002</v>
          </cell>
          <cell r="BH1462">
            <v>0.68861274729999999</v>
          </cell>
          <cell r="BI1462">
            <v>0.68804478970000005</v>
          </cell>
        </row>
        <row r="1463">
          <cell r="F1463">
            <v>86.960397259999993</v>
          </cell>
          <cell r="G1463">
            <v>86.838613510000002</v>
          </cell>
          <cell r="H1463">
            <v>86.520237170000001</v>
          </cell>
          <cell r="I1463">
            <v>86.101235040000006</v>
          </cell>
          <cell r="J1463">
            <v>85.664746190000002</v>
          </cell>
          <cell r="K1463">
            <v>85.26114475</v>
          </cell>
          <cell r="L1463">
            <v>84.885213480000004</v>
          </cell>
          <cell r="M1463">
            <v>84.54239097</v>
          </cell>
          <cell r="N1463">
            <v>84.232162709999997</v>
          </cell>
          <cell r="O1463">
            <v>83.949958089999996</v>
          </cell>
          <cell r="P1463">
            <v>83.733626430000001</v>
          </cell>
          <cell r="Q1463">
            <v>83.528533670000002</v>
          </cell>
          <cell r="R1463">
            <v>83.324396370000002</v>
          </cell>
          <cell r="S1463">
            <v>83.119861510000007</v>
          </cell>
          <cell r="T1463">
            <v>82.915561530000005</v>
          </cell>
          <cell r="U1463">
            <v>82.712350659999998</v>
          </cell>
          <cell r="V1463">
            <v>82.511165770000005</v>
          </cell>
          <cell r="W1463">
            <v>82.312553780000002</v>
          </cell>
          <cell r="X1463">
            <v>82.116871779999997</v>
          </cell>
          <cell r="Y1463">
            <v>81.924430169999994</v>
          </cell>
          <cell r="Z1463">
            <v>81.70739657</v>
          </cell>
          <cell r="AA1463">
            <v>81.498147770000003</v>
          </cell>
          <cell r="AB1463">
            <v>81.300925289999995</v>
          </cell>
          <cell r="AC1463">
            <v>81.114961320000006</v>
          </cell>
          <cell r="AD1463">
            <v>80.938782950000004</v>
          </cell>
          <cell r="AE1463">
            <v>80.695294000000004</v>
          </cell>
          <cell r="AF1463">
            <v>80.43427801</v>
          </cell>
          <cell r="AG1463">
            <v>80.170410349999997</v>
          </cell>
          <cell r="AH1463">
            <v>79.910100920000005</v>
          </cell>
          <cell r="AI1463">
            <v>79.656682619999998</v>
          </cell>
          <cell r="AJ1463">
            <v>79.412040180000005</v>
          </cell>
          <cell r="AK1463">
            <v>79.177178170000005</v>
          </cell>
          <cell r="AL1463">
            <v>78.95261773</v>
          </cell>
          <cell r="AM1463">
            <v>78.738522369999998</v>
          </cell>
          <cell r="AN1463">
            <v>78.534778360000004</v>
          </cell>
          <cell r="AO1463">
            <v>78.341061859999996</v>
          </cell>
          <cell r="AP1463">
            <v>78.140636900000004</v>
          </cell>
          <cell r="AQ1463">
            <v>77.935117149999996</v>
          </cell>
          <cell r="AR1463">
            <v>77.728366550000004</v>
          </cell>
          <cell r="AS1463">
            <v>77.523628450000004</v>
          </cell>
          <cell r="AT1463">
            <v>77.323113570000004</v>
          </cell>
          <cell r="AU1463">
            <v>77.128079709999994</v>
          </cell>
          <cell r="AV1463">
            <v>76.939224640000006</v>
          </cell>
          <cell r="AW1463">
            <v>76.756849829999993</v>
          </cell>
          <cell r="AX1463">
            <v>76.580982210000002</v>
          </cell>
          <cell r="AY1463">
            <v>76.411464600000002</v>
          </cell>
          <cell r="AZ1463">
            <v>76.245880020000001</v>
          </cell>
          <cell r="BA1463">
            <v>76.083109930000006</v>
          </cell>
          <cell r="BB1463">
            <v>75.924293230000004</v>
          </cell>
          <cell r="BC1463">
            <v>75.771523439999996</v>
          </cell>
          <cell r="BD1463">
            <v>75.626732029999999</v>
          </cell>
          <cell r="BE1463">
            <v>70.135860050000005</v>
          </cell>
          <cell r="BF1463">
            <v>69.91039542</v>
          </cell>
          <cell r="BG1463">
            <v>69.69096304</v>
          </cell>
          <cell r="BH1463">
            <v>69.477245850000003</v>
          </cell>
          <cell r="BI1463">
            <v>69.268945419999994</v>
          </cell>
        </row>
        <row r="1473">
          <cell r="F1473">
            <v>27372.46617</v>
          </cell>
          <cell r="G1473">
            <v>27404.727050000001</v>
          </cell>
          <cell r="H1473">
            <v>27445.824499999999</v>
          </cell>
          <cell r="I1473">
            <v>27503.85943</v>
          </cell>
          <cell r="J1473">
            <v>27581.522540000002</v>
          </cell>
          <cell r="K1473">
            <v>27678.306339999999</v>
          </cell>
          <cell r="L1473">
            <v>27781.07674</v>
          </cell>
          <cell r="M1473">
            <v>27889.074809999998</v>
          </cell>
          <cell r="N1473">
            <v>28001.641680000001</v>
          </cell>
          <cell r="O1473">
            <v>28117.95075</v>
          </cell>
          <cell r="P1473">
            <v>28255.293320000001</v>
          </cell>
          <cell r="Q1473">
            <v>28391.05529</v>
          </cell>
          <cell r="R1473">
            <v>28524.14</v>
          </cell>
          <cell r="S1473">
            <v>28654.520680000001</v>
          </cell>
          <cell r="T1473">
            <v>28782.386040000001</v>
          </cell>
          <cell r="U1473">
            <v>28907.98271</v>
          </cell>
          <cell r="V1473">
            <v>29031.586640000001</v>
          </cell>
          <cell r="W1473">
            <v>29153.487120000002</v>
          </cell>
          <cell r="X1473">
            <v>29273.968079999999</v>
          </cell>
          <cell r="Y1473">
            <v>29393.290980000002</v>
          </cell>
          <cell r="Z1473">
            <v>29499.599200000001</v>
          </cell>
          <cell r="AA1473">
            <v>29607.52176</v>
          </cell>
          <cell r="AB1473">
            <v>29717.45595</v>
          </cell>
          <cell r="AC1473">
            <v>29829.139569999999</v>
          </cell>
          <cell r="AD1473">
            <v>29942.22351</v>
          </cell>
          <cell r="AE1473">
            <v>30023.354579999999</v>
          </cell>
          <cell r="AF1473">
            <v>30096.16156</v>
          </cell>
          <cell r="AG1473">
            <v>30164.056339999999</v>
          </cell>
          <cell r="AH1473">
            <v>30229.102459999998</v>
          </cell>
          <cell r="AI1473">
            <v>30292.751359999998</v>
          </cell>
          <cell r="AJ1473">
            <v>30356.027859999998</v>
          </cell>
          <cell r="AK1473">
            <v>30419.604909999998</v>
          </cell>
          <cell r="AL1473">
            <v>30483.865150000001</v>
          </cell>
          <cell r="AM1473">
            <v>30548.965680000001</v>
          </cell>
          <cell r="AN1473">
            <v>30614.90263</v>
          </cell>
          <cell r="AO1473">
            <v>30681.569299999999</v>
          </cell>
          <cell r="AP1473">
            <v>30741.745159999999</v>
          </cell>
          <cell r="AQ1473">
            <v>30796.616119999999</v>
          </cell>
          <cell r="AR1473">
            <v>30847.50719</v>
          </cell>
          <cell r="AS1473">
            <v>30895.535169999999</v>
          </cell>
          <cell r="AT1473">
            <v>30941.588790000002</v>
          </cell>
          <cell r="AU1473">
            <v>30986.632280000002</v>
          </cell>
          <cell r="AV1473">
            <v>31031.650109999999</v>
          </cell>
          <cell r="AW1473">
            <v>31077.259590000001</v>
          </cell>
          <cell r="AX1473">
            <v>31123.698499999999</v>
          </cell>
          <cell r="AY1473">
            <v>31170.959620000001</v>
          </cell>
          <cell r="AZ1473">
            <v>31219.498479999998</v>
          </cell>
          <cell r="BA1473">
            <v>31269.067930000001</v>
          </cell>
          <cell r="BB1473">
            <v>31319.426739999999</v>
          </cell>
          <cell r="BC1473">
            <v>31370.376899999999</v>
          </cell>
          <cell r="BD1473">
            <v>31421.760969999999</v>
          </cell>
          <cell r="BE1473">
            <v>31107.650259999999</v>
          </cell>
          <cell r="BF1473">
            <v>31143.853749999998</v>
          </cell>
          <cell r="BG1473">
            <v>31179.418160000001</v>
          </cell>
          <cell r="BH1473">
            <v>31214.358059999999</v>
          </cell>
          <cell r="BI1473">
            <v>31248.702590000001</v>
          </cell>
        </row>
        <row r="1474">
          <cell r="F1474">
            <v>761.03875010000002</v>
          </cell>
          <cell r="G1474">
            <v>760.39903600000002</v>
          </cell>
          <cell r="H1474">
            <v>758.51245719999997</v>
          </cell>
          <cell r="I1474">
            <v>755.9348291</v>
          </cell>
          <cell r="J1474">
            <v>753.07696129999999</v>
          </cell>
          <cell r="K1474">
            <v>750.19559890000005</v>
          </cell>
          <cell r="L1474">
            <v>747.05079060000003</v>
          </cell>
          <cell r="M1474">
            <v>743.86187110000003</v>
          </cell>
          <cell r="N1474">
            <v>740.75663740000005</v>
          </cell>
          <cell r="O1474">
            <v>737.79678899999999</v>
          </cell>
          <cell r="P1474">
            <v>735.61914899999999</v>
          </cell>
          <cell r="Q1474">
            <v>733.35249659999999</v>
          </cell>
          <cell r="R1474">
            <v>731.0539086</v>
          </cell>
          <cell r="S1474">
            <v>728.76518390000001</v>
          </cell>
          <cell r="T1474">
            <v>726.50829050000004</v>
          </cell>
          <cell r="U1474">
            <v>724.28984009999999</v>
          </cell>
          <cell r="V1474">
            <v>722.10674019999999</v>
          </cell>
          <cell r="W1474">
            <v>719.95083980000004</v>
          </cell>
          <cell r="X1474">
            <v>717.81221700000003</v>
          </cell>
          <cell r="Y1474">
            <v>715.68129290000002</v>
          </cell>
          <cell r="Z1474">
            <v>713.16463910000004</v>
          </cell>
          <cell r="AA1474">
            <v>710.79947489999995</v>
          </cell>
          <cell r="AB1474">
            <v>708.53365589999999</v>
          </cell>
          <cell r="AC1474">
            <v>706.3249515</v>
          </cell>
          <cell r="AD1474">
            <v>704.14522929999998</v>
          </cell>
          <cell r="AE1474">
            <v>700.95689860000005</v>
          </cell>
          <cell r="AF1474">
            <v>697.71840640000005</v>
          </cell>
          <cell r="AG1474">
            <v>694.49459999999999</v>
          </cell>
          <cell r="AH1474">
            <v>691.31371839999997</v>
          </cell>
          <cell r="AI1474">
            <v>688.18703819999996</v>
          </cell>
          <cell r="AJ1474">
            <v>685.11840310000002</v>
          </cell>
          <cell r="AK1474">
            <v>682.10862929999996</v>
          </cell>
          <cell r="AL1474">
            <v>679.15737330000002</v>
          </cell>
          <cell r="AM1474">
            <v>676.26379669999994</v>
          </cell>
          <cell r="AN1474">
            <v>673.42670520000001</v>
          </cell>
          <cell r="AO1474">
            <v>670.64450079999995</v>
          </cell>
          <cell r="AP1474">
            <v>667.71113179999998</v>
          </cell>
          <cell r="AQ1474">
            <v>664.71034129999998</v>
          </cell>
          <cell r="AR1474">
            <v>661.7000458</v>
          </cell>
          <cell r="AS1474">
            <v>658.71550909999996</v>
          </cell>
          <cell r="AT1474">
            <v>655.77449990000002</v>
          </cell>
          <cell r="AU1474">
            <v>652.66462960000001</v>
          </cell>
          <cell r="AV1474">
            <v>649.43829940000001</v>
          </cell>
          <cell r="AW1474">
            <v>646.19825800000001</v>
          </cell>
          <cell r="AX1474">
            <v>643.02654159999997</v>
          </cell>
          <cell r="AY1474">
            <v>639.97065640000005</v>
          </cell>
          <cell r="AZ1474">
            <v>637.06476569999995</v>
          </cell>
          <cell r="BA1474">
            <v>634.30175220000001</v>
          </cell>
          <cell r="BB1474">
            <v>631.66622099999995</v>
          </cell>
          <cell r="BC1474">
            <v>629.14008909999995</v>
          </cell>
          <cell r="BD1474">
            <v>626.70572200000004</v>
          </cell>
          <cell r="BE1474">
            <v>821.15535560000001</v>
          </cell>
          <cell r="BF1474">
            <v>821.62769619999995</v>
          </cell>
          <cell r="BG1474">
            <v>822.10868189999997</v>
          </cell>
          <cell r="BH1474">
            <v>822.59935270000005</v>
          </cell>
          <cell r="BI1474">
            <v>823.10108200000002</v>
          </cell>
        </row>
        <row r="1477">
          <cell r="F1477">
            <v>4367.1258959999996</v>
          </cell>
          <cell r="G1477">
            <v>4371.6696599999996</v>
          </cell>
          <cell r="H1477">
            <v>4378.0241219999998</v>
          </cell>
          <cell r="I1477">
            <v>4387.6693089999999</v>
          </cell>
          <cell r="J1477">
            <v>4401.0606150000003</v>
          </cell>
          <cell r="K1477">
            <v>4418.1354799999999</v>
          </cell>
          <cell r="L1477">
            <v>4437.0963670000001</v>
          </cell>
          <cell r="M1477">
            <v>4457.6447509999998</v>
          </cell>
          <cell r="N1477">
            <v>4479.5731269999997</v>
          </cell>
          <cell r="O1477">
            <v>4502.682949</v>
          </cell>
          <cell r="P1477">
            <v>4529.2414760000001</v>
          </cell>
          <cell r="Q1477">
            <v>4556.3667489999998</v>
          </cell>
          <cell r="R1477">
            <v>4583.6751910000003</v>
          </cell>
          <cell r="S1477">
            <v>4611.0109179999999</v>
          </cell>
          <cell r="T1477">
            <v>4638.298597</v>
          </cell>
          <cell r="U1477">
            <v>4665.5009490000002</v>
          </cell>
          <cell r="V1477">
            <v>4692.6038429999999</v>
          </cell>
          <cell r="W1477">
            <v>4719.6087470000002</v>
          </cell>
          <cell r="X1477">
            <v>4746.5270970000001</v>
          </cell>
          <cell r="Y1477">
            <v>4773.3754980000003</v>
          </cell>
          <cell r="Z1477">
            <v>4798.51908</v>
          </cell>
          <cell r="AA1477">
            <v>4823.7681940000002</v>
          </cell>
          <cell r="AB1477">
            <v>4849.2787969999999</v>
          </cell>
          <cell r="AC1477">
            <v>4875.0646589999997</v>
          </cell>
          <cell r="AD1477">
            <v>4901.0960409999998</v>
          </cell>
          <cell r="AE1477">
            <v>4922.7939070000002</v>
          </cell>
          <cell r="AF1477">
            <v>4942.8868220000004</v>
          </cell>
          <cell r="AG1477">
            <v>4961.8919740000001</v>
          </cell>
          <cell r="AH1477">
            <v>4980.1356370000003</v>
          </cell>
          <cell r="AI1477">
            <v>4997.846356</v>
          </cell>
          <cell r="AJ1477">
            <v>5015.1832480000003</v>
          </cell>
          <cell r="AK1477">
            <v>5032.2490690000004</v>
          </cell>
          <cell r="AL1477">
            <v>5049.0998710000003</v>
          </cell>
          <cell r="AM1477">
            <v>5065.7543649999998</v>
          </cell>
          <cell r="AN1477">
            <v>5082.2033709999996</v>
          </cell>
          <cell r="AO1477">
            <v>5098.4188670000003</v>
          </cell>
          <cell r="AP1477">
            <v>5113.3841940000002</v>
          </cell>
          <cell r="AQ1477">
            <v>5127.134352</v>
          </cell>
          <cell r="AR1477">
            <v>5139.7904090000002</v>
          </cell>
          <cell r="AS1477">
            <v>5151.4820200000004</v>
          </cell>
          <cell r="AT1477">
            <v>5162.3270080000002</v>
          </cell>
          <cell r="AU1477">
            <v>5172.5314360000002</v>
          </cell>
          <cell r="AV1477">
            <v>5182.3231960000003</v>
          </cell>
          <cell r="AW1477">
            <v>5191.867037</v>
          </cell>
          <cell r="AX1477">
            <v>5201.2411119999997</v>
          </cell>
          <cell r="AY1477">
            <v>5210.4551179999999</v>
          </cell>
          <cell r="AZ1477">
            <v>5219.5605999999998</v>
          </cell>
          <cell r="BA1477">
            <v>5228.5112879999997</v>
          </cell>
          <cell r="BB1477">
            <v>5237.2581570000002</v>
          </cell>
          <cell r="BC1477">
            <v>5245.7628569999997</v>
          </cell>
          <cell r="BD1477">
            <v>5254.0005359999996</v>
          </cell>
          <cell r="BE1477">
            <v>5222.4697040000001</v>
          </cell>
          <cell r="BF1477">
            <v>5232.6580800000002</v>
          </cell>
          <cell r="BG1477">
            <v>5242.3468860000003</v>
          </cell>
          <cell r="BH1477">
            <v>5251.5300660000003</v>
          </cell>
          <cell r="BI1477">
            <v>5260.2061640000002</v>
          </cell>
        </row>
        <row r="1489">
          <cell r="F1489">
            <v>868.27882390000002</v>
          </cell>
          <cell r="G1489">
            <v>868.57821569999999</v>
          </cell>
          <cell r="H1489">
            <v>868.71760019999999</v>
          </cell>
          <cell r="I1489">
            <v>869.15640980000001</v>
          </cell>
          <cell r="J1489">
            <v>870.10928139999999</v>
          </cell>
          <cell r="K1489">
            <v>871.62667850000003</v>
          </cell>
          <cell r="L1489">
            <v>873.35446230000002</v>
          </cell>
          <cell r="M1489">
            <v>875.26788739999995</v>
          </cell>
          <cell r="N1489">
            <v>877.34029529999998</v>
          </cell>
          <cell r="O1489">
            <v>879.53691990000004</v>
          </cell>
          <cell r="P1489">
            <v>882.33994819999998</v>
          </cell>
          <cell r="Q1489">
            <v>885.09506139999996</v>
          </cell>
          <cell r="R1489">
            <v>887.75696110000001</v>
          </cell>
          <cell r="S1489">
            <v>890.32379639999999</v>
          </cell>
          <cell r="T1489">
            <v>892.80205650000005</v>
          </cell>
          <cell r="U1489">
            <v>895.20059330000004</v>
          </cell>
          <cell r="V1489">
            <v>897.52961519999997</v>
          </cell>
          <cell r="W1489">
            <v>899.80009619999998</v>
          </cell>
          <cell r="X1489">
            <v>902.02308059999996</v>
          </cell>
          <cell r="Y1489">
            <v>904.20904780000001</v>
          </cell>
          <cell r="Z1489">
            <v>906.02346130000001</v>
          </cell>
          <cell r="AA1489">
            <v>907.88720709999996</v>
          </cell>
          <cell r="AB1489">
            <v>909.81912599999998</v>
          </cell>
          <cell r="AC1489">
            <v>911.8124358</v>
          </cell>
          <cell r="AD1489">
            <v>913.8578162</v>
          </cell>
          <cell r="AE1489">
            <v>915.00775390000001</v>
          </cell>
          <cell r="AF1489">
            <v>915.94085089999999</v>
          </cell>
          <cell r="AG1489">
            <v>916.77034509999999</v>
          </cell>
          <cell r="AH1489">
            <v>917.55875119999996</v>
          </cell>
          <cell r="AI1489">
            <v>918.34871680000003</v>
          </cell>
          <cell r="AJ1489">
            <v>919.1699979</v>
          </cell>
          <cell r="AK1489">
            <v>920.04179429999999</v>
          </cell>
          <cell r="AL1489">
            <v>920.9745279</v>
          </cell>
          <cell r="AM1489">
            <v>921.97174989999996</v>
          </cell>
          <cell r="AN1489">
            <v>923.0320802</v>
          </cell>
          <cell r="AO1489">
            <v>924.15097279999998</v>
          </cell>
          <cell r="AP1489">
            <v>925.12128310000003</v>
          </cell>
          <cell r="AQ1489">
            <v>925.97643270000003</v>
          </cell>
          <cell r="AR1489">
            <v>926.75630720000004</v>
          </cell>
          <cell r="AS1489">
            <v>927.49350379999998</v>
          </cell>
          <cell r="AT1489">
            <v>928.2128093</v>
          </cell>
          <cell r="AU1489">
            <v>928.95040419999998</v>
          </cell>
          <cell r="AV1489">
            <v>929.73217209999996</v>
          </cell>
          <cell r="AW1489">
            <v>930.57031410000002</v>
          </cell>
          <cell r="AX1489">
            <v>931.46639909999999</v>
          </cell>
          <cell r="AY1489">
            <v>932.41628709999998</v>
          </cell>
          <cell r="AZ1489">
            <v>933.43027470000004</v>
          </cell>
          <cell r="BA1489">
            <v>934.49921180000001</v>
          </cell>
          <cell r="BB1489">
            <v>935.61422719999996</v>
          </cell>
          <cell r="BC1489">
            <v>936.7677721</v>
          </cell>
          <cell r="BD1489">
            <v>937.95338330000004</v>
          </cell>
          <cell r="BE1489">
            <v>906.06296829999997</v>
          </cell>
          <cell r="BF1489">
            <v>906.10522619999995</v>
          </cell>
          <cell r="BG1489">
            <v>906.16741290000004</v>
          </cell>
          <cell r="BH1489">
            <v>906.24966629999994</v>
          </cell>
          <cell r="BI1489">
            <v>906.35235750000004</v>
          </cell>
        </row>
        <row r="1494">
          <cell r="F1494">
            <v>21271.072240000001</v>
          </cell>
          <cell r="G1494">
            <v>21299.359769999999</v>
          </cell>
          <cell r="H1494">
            <v>21336.319309999999</v>
          </cell>
          <cell r="I1494">
            <v>21387.41073</v>
          </cell>
          <cell r="J1494">
            <v>21454.14385</v>
          </cell>
          <cell r="K1494">
            <v>21535.718349999999</v>
          </cell>
          <cell r="L1494">
            <v>21621.405200000001</v>
          </cell>
          <cell r="M1494">
            <v>21710.544809999999</v>
          </cell>
          <cell r="N1494">
            <v>21802.586329999998</v>
          </cell>
          <cell r="O1494">
            <v>21896.881109999998</v>
          </cell>
          <cell r="P1494">
            <v>22007.288769999999</v>
          </cell>
          <cell r="Q1494">
            <v>22115.67152</v>
          </cell>
          <cell r="R1494">
            <v>22221.31652</v>
          </cell>
          <cell r="S1494">
            <v>22324.315030000002</v>
          </cell>
          <cell r="T1494">
            <v>22424.902310000001</v>
          </cell>
          <cell r="U1494">
            <v>22523.345880000001</v>
          </cell>
          <cell r="V1494">
            <v>22619.92769</v>
          </cell>
          <cell r="W1494">
            <v>22714.931909999999</v>
          </cell>
          <cell r="X1494">
            <v>22808.629349999999</v>
          </cell>
          <cell r="Y1494">
            <v>22901.263579999999</v>
          </cell>
          <cell r="Z1494">
            <v>22983.375039999999</v>
          </cell>
          <cell r="AA1494">
            <v>23066.784240000001</v>
          </cell>
          <cell r="AB1494">
            <v>23151.761829999999</v>
          </cell>
          <cell r="AC1494">
            <v>23238.08221</v>
          </cell>
          <cell r="AD1494">
            <v>23325.465370000002</v>
          </cell>
          <cell r="AE1494">
            <v>23387.216680000001</v>
          </cell>
          <cell r="AF1494">
            <v>23442.536100000001</v>
          </cell>
          <cell r="AG1494">
            <v>23494.12371</v>
          </cell>
          <cell r="AH1494">
            <v>23543.6188</v>
          </cell>
          <cell r="AI1494">
            <v>23592.186460000001</v>
          </cell>
          <cell r="AJ1494">
            <v>23640.656480000001</v>
          </cell>
          <cell r="AK1494">
            <v>23689.57763</v>
          </cell>
          <cell r="AL1494">
            <v>23739.265589999999</v>
          </cell>
          <cell r="AM1494">
            <v>23789.85569</v>
          </cell>
          <cell r="AN1494">
            <v>23841.355790000001</v>
          </cell>
          <cell r="AO1494">
            <v>23893.693640000001</v>
          </cell>
          <cell r="AP1494">
            <v>23941.09836</v>
          </cell>
          <cell r="AQ1494">
            <v>23984.601070000001</v>
          </cell>
          <cell r="AR1494">
            <v>24025.302199999998</v>
          </cell>
          <cell r="AS1494">
            <v>24064.115870000001</v>
          </cell>
          <cell r="AT1494">
            <v>24101.766970000001</v>
          </cell>
          <cell r="AU1494">
            <v>24139.191630000001</v>
          </cell>
          <cell r="AV1494">
            <v>24177.07086</v>
          </cell>
          <cell r="AW1494">
            <v>24215.74395</v>
          </cell>
          <cell r="AX1494">
            <v>24255.286690000001</v>
          </cell>
          <cell r="AY1494">
            <v>24295.637030000002</v>
          </cell>
          <cell r="AZ1494">
            <v>24337.150679999999</v>
          </cell>
          <cell r="BA1494">
            <v>24379.641350000002</v>
          </cell>
          <cell r="BB1494">
            <v>24422.94025</v>
          </cell>
          <cell r="BC1494">
            <v>24466.9133</v>
          </cell>
          <cell r="BD1494">
            <v>24511.452430000001</v>
          </cell>
          <cell r="BE1494">
            <v>24069.530859999999</v>
          </cell>
          <cell r="BF1494">
            <v>24095.26267</v>
          </cell>
          <cell r="BG1494">
            <v>24120.821110000001</v>
          </cell>
          <cell r="BH1494">
            <v>24146.22565</v>
          </cell>
          <cell r="BI1494">
            <v>24171.505140000001</v>
          </cell>
        </row>
        <row r="1497">
          <cell r="F1497">
            <v>17.994748229999999</v>
          </cell>
          <cell r="G1497">
            <v>17.951708199999999</v>
          </cell>
          <cell r="H1497">
            <v>17.8695339</v>
          </cell>
          <cell r="I1497">
            <v>17.77981565</v>
          </cell>
          <cell r="J1497">
            <v>17.702133199999999</v>
          </cell>
          <cell r="K1497">
            <v>17.644274889999998</v>
          </cell>
          <cell r="L1497">
            <v>17.60134747</v>
          </cell>
          <cell r="M1497">
            <v>17.572116390000001</v>
          </cell>
          <cell r="N1497">
            <v>17.55408576</v>
          </cell>
          <cell r="O1497">
            <v>17.544432189999998</v>
          </cell>
          <cell r="P1497">
            <v>17.550235659999998</v>
          </cell>
          <cell r="Q1497">
            <v>17.557550259999999</v>
          </cell>
          <cell r="R1497">
            <v>17.564958099999998</v>
          </cell>
          <cell r="S1497">
            <v>17.572105990000001</v>
          </cell>
          <cell r="T1497">
            <v>17.578870810000002</v>
          </cell>
          <cell r="U1497">
            <v>17.585218139999998</v>
          </cell>
          <cell r="V1497">
            <v>17.591159170000001</v>
          </cell>
          <cell r="W1497">
            <v>17.596726159999999</v>
          </cell>
          <cell r="X1497">
            <v>17.601956770000001</v>
          </cell>
          <cell r="Y1497">
            <v>17.606885649999999</v>
          </cell>
          <cell r="Z1497">
            <v>17.605234530000001</v>
          </cell>
          <cell r="AA1497">
            <v>17.60490841</v>
          </cell>
          <cell r="AB1497">
            <v>17.605900179999999</v>
          </cell>
          <cell r="AC1497">
            <v>17.607808219999999</v>
          </cell>
          <cell r="AD1497">
            <v>17.61030998</v>
          </cell>
          <cell r="AE1497">
            <v>17.596054169999999</v>
          </cell>
          <cell r="AF1497">
            <v>17.57831702</v>
          </cell>
          <cell r="AG1497">
            <v>17.558940239999998</v>
          </cell>
          <cell r="AH1497">
            <v>17.538702199999999</v>
          </cell>
          <cell r="AI1497">
            <v>17.518082580000002</v>
          </cell>
          <cell r="AJ1497">
            <v>17.497426870000002</v>
          </cell>
          <cell r="AK1497">
            <v>17.476989880000001</v>
          </cell>
          <cell r="AL1497">
            <v>17.456952860000001</v>
          </cell>
          <cell r="AM1497">
            <v>17.437435579999999</v>
          </cell>
          <cell r="AN1497">
            <v>17.418507689999998</v>
          </cell>
          <cell r="AO1497">
            <v>17.400200009999999</v>
          </cell>
          <cell r="AP1497">
            <v>17.378896990000001</v>
          </cell>
          <cell r="AQ1497">
            <v>17.355512529999999</v>
          </cell>
          <cell r="AR1497">
            <v>17.330999909999999</v>
          </cell>
          <cell r="AS1497">
            <v>17.306066099999999</v>
          </cell>
          <cell r="AT1497">
            <v>17.28115798</v>
          </cell>
          <cell r="AU1497">
            <v>17.25607952</v>
          </cell>
          <cell r="AV1497">
            <v>17.23077413</v>
          </cell>
          <cell r="AW1497">
            <v>17.205333790000001</v>
          </cell>
          <cell r="AX1497">
            <v>17.1799508</v>
          </cell>
          <cell r="AY1497">
            <v>17.154858879999999</v>
          </cell>
          <cell r="AZ1497">
            <v>17.1305649</v>
          </cell>
          <cell r="BA1497">
            <v>17.107156450000002</v>
          </cell>
          <cell r="BB1497">
            <v>17.08465786</v>
          </cell>
          <cell r="BC1497">
            <v>17.06305283</v>
          </cell>
          <cell r="BD1497">
            <v>17.04229445</v>
          </cell>
          <cell r="BE1497">
            <v>17.061439549999999</v>
          </cell>
          <cell r="BF1497">
            <v>17.03713956</v>
          </cell>
          <cell r="BG1497">
            <v>17.01324752</v>
          </cell>
          <cell r="BH1497">
            <v>16.989794199999999</v>
          </cell>
          <cell r="BI1497">
            <v>16.96681293</v>
          </cell>
        </row>
        <row r="1499">
          <cell r="F1499">
            <v>6.686560815</v>
          </cell>
          <cell r="G1499">
            <v>6.6642731450000001</v>
          </cell>
          <cell r="H1499">
            <v>6.6238980620000003</v>
          </cell>
          <cell r="I1499">
            <v>6.5803824390000001</v>
          </cell>
          <cell r="J1499">
            <v>6.542913456</v>
          </cell>
          <cell r="K1499">
            <v>6.5150541979999996</v>
          </cell>
          <cell r="L1499">
            <v>6.494980999</v>
          </cell>
          <cell r="M1499">
            <v>6.4816759480000004</v>
          </cell>
          <cell r="N1499">
            <v>6.4736162190000002</v>
          </cell>
          <cell r="O1499">
            <v>6.4692921009999997</v>
          </cell>
          <cell r="P1499">
            <v>6.4706469289999999</v>
          </cell>
          <cell r="Q1499">
            <v>6.4727627569999999</v>
          </cell>
          <cell r="R1499">
            <v>6.4750842080000002</v>
          </cell>
          <cell r="S1499">
            <v>6.47737725</v>
          </cell>
          <cell r="T1499">
            <v>6.4795150750000001</v>
          </cell>
          <cell r="U1499">
            <v>6.481430445</v>
          </cell>
          <cell r="V1499">
            <v>6.4830948209999999</v>
          </cell>
          <cell r="W1499">
            <v>6.4845035270000002</v>
          </cell>
          <cell r="X1499">
            <v>6.485664667</v>
          </cell>
          <cell r="Y1499">
            <v>6.486591582</v>
          </cell>
          <cell r="Z1499">
            <v>6.4851940450000001</v>
          </cell>
          <cell r="AA1499">
            <v>6.4841235660000001</v>
          </cell>
          <cell r="AB1499">
            <v>6.4833299000000002</v>
          </cell>
          <cell r="AC1499">
            <v>6.4826954700000003</v>
          </cell>
          <cell r="AD1499">
            <v>6.4821348490000004</v>
          </cell>
          <cell r="AE1499">
            <v>6.475866452</v>
          </cell>
          <cell r="AF1499">
            <v>6.4683608220000002</v>
          </cell>
          <cell r="AG1499">
            <v>6.4601073629999997</v>
          </cell>
          <cell r="AH1499">
            <v>6.4513471390000001</v>
          </cell>
          <cell r="AI1499">
            <v>6.4422550019999996</v>
          </cell>
          <cell r="AJ1499">
            <v>6.4329711710000002</v>
          </cell>
          <cell r="AK1499">
            <v>6.4236063960000003</v>
          </cell>
          <cell r="AL1499">
            <v>6.4142439739999997</v>
          </cell>
          <cell r="AM1499">
            <v>6.4049427330000004</v>
          </cell>
          <cell r="AN1499">
            <v>6.3957410970000002</v>
          </cell>
          <cell r="AO1499">
            <v>6.3866616010000001</v>
          </cell>
          <cell r="AP1499">
            <v>6.3765035049999996</v>
          </cell>
          <cell r="AQ1499">
            <v>6.3655886910000001</v>
          </cell>
          <cell r="AR1499">
            <v>6.3541968940000002</v>
          </cell>
          <cell r="AS1499">
            <v>6.342528615</v>
          </cell>
          <cell r="AT1499">
            <v>6.33072401</v>
          </cell>
          <cell r="AU1499">
            <v>6.3187512190000001</v>
          </cell>
          <cell r="AV1499">
            <v>6.3066522239999996</v>
          </cell>
          <cell r="AW1499">
            <v>6.2945142799999996</v>
          </cell>
          <cell r="AX1499">
            <v>6.282428371</v>
          </cell>
          <cell r="AY1499">
            <v>6.2704677609999999</v>
          </cell>
          <cell r="AZ1499">
            <v>6.2587793820000002</v>
          </cell>
          <cell r="BA1499">
            <v>6.2473660249999998</v>
          </cell>
          <cell r="BB1499">
            <v>6.236217957</v>
          </cell>
          <cell r="BC1499">
            <v>6.2253205759999997</v>
          </cell>
          <cell r="BD1499">
            <v>6.2146564209999999</v>
          </cell>
          <cell r="BE1499">
            <v>6.2314564189999997</v>
          </cell>
          <cell r="BF1499">
            <v>6.21968941</v>
          </cell>
          <cell r="BG1499">
            <v>6.2080740509999996</v>
          </cell>
          <cell r="BH1499">
            <v>6.1966238159999998</v>
          </cell>
          <cell r="BI1499">
            <v>6.1853541830000003</v>
          </cell>
        </row>
        <row r="1501">
          <cell r="F1501">
            <v>0.72014987139999997</v>
          </cell>
          <cell r="G1501">
            <v>0.71963615380000001</v>
          </cell>
          <cell r="H1501">
            <v>0.71823941309999995</v>
          </cell>
          <cell r="I1501">
            <v>0.71656717550000004</v>
          </cell>
          <cell r="J1501">
            <v>0.71501885430000001</v>
          </cell>
          <cell r="K1501">
            <v>0.7137765774</v>
          </cell>
          <cell r="L1501">
            <v>0.71267671290000001</v>
          </cell>
          <cell r="M1501">
            <v>0.71179968559999995</v>
          </cell>
          <cell r="N1501">
            <v>0.71117486279999997</v>
          </cell>
          <cell r="O1501">
            <v>0.71078246769999998</v>
          </cell>
          <cell r="P1501">
            <v>0.71104302799999997</v>
          </cell>
          <cell r="Q1501">
            <v>0.7113484806</v>
          </cell>
          <cell r="R1501">
            <v>0.71162867519999995</v>
          </cell>
          <cell r="S1501">
            <v>0.71188206870000004</v>
          </cell>
          <cell r="T1501">
            <v>0.71211689659999999</v>
          </cell>
          <cell r="U1501">
            <v>0.7123413717</v>
          </cell>
          <cell r="V1501">
            <v>0.71256147219999999</v>
          </cell>
          <cell r="W1501">
            <v>0.71278072020000005</v>
          </cell>
          <cell r="X1501">
            <v>0.71300066829999997</v>
          </cell>
          <cell r="Y1501">
            <v>0.7132215999</v>
          </cell>
          <cell r="Z1501">
            <v>0.71314217950000003</v>
          </cell>
          <cell r="AA1501">
            <v>0.71312786979999998</v>
          </cell>
          <cell r="AB1501">
            <v>0.71319630099999998</v>
          </cell>
          <cell r="AC1501">
            <v>0.71332765279999999</v>
          </cell>
          <cell r="AD1501">
            <v>0.71350257520000004</v>
          </cell>
          <cell r="AE1501">
            <v>0.71289369380000001</v>
          </cell>
          <cell r="AF1501">
            <v>0.71210209749999998</v>
          </cell>
          <cell r="AG1501">
            <v>0.7112529367</v>
          </cell>
          <cell r="AH1501">
            <v>0.71039433839999999</v>
          </cell>
          <cell r="AI1501">
            <v>0.70955045910000003</v>
          </cell>
          <cell r="AJ1501">
            <v>0.70873541640000004</v>
          </cell>
          <cell r="AK1501">
            <v>0.70795804979999999</v>
          </cell>
          <cell r="AL1501">
            <v>0.70722391949999996</v>
          </cell>
          <cell r="AM1501">
            <v>0.70653627640000005</v>
          </cell>
          <cell r="AN1501">
            <v>0.70589661189999997</v>
          </cell>
          <cell r="AO1501">
            <v>0.70530503690000002</v>
          </cell>
          <cell r="AP1501">
            <v>0.70459054099999996</v>
          </cell>
          <cell r="AQ1501">
            <v>0.70378908470000001</v>
          </cell>
          <cell r="AR1501">
            <v>0.70294692380000001</v>
          </cell>
          <cell r="AS1501">
            <v>0.70209882999999995</v>
          </cell>
          <cell r="AT1501">
            <v>0.70126672359999997</v>
          </cell>
          <cell r="AU1501">
            <v>0.70042646149999999</v>
          </cell>
          <cell r="AV1501">
            <v>0.69955926629999998</v>
          </cell>
          <cell r="AW1501">
            <v>0.69865944550000003</v>
          </cell>
          <cell r="AX1501">
            <v>0.69773724910000001</v>
          </cell>
          <cell r="AY1501">
            <v>0.6968144852</v>
          </cell>
          <cell r="AZ1501">
            <v>0.69592963689999998</v>
          </cell>
          <cell r="BA1501">
            <v>0.69510081999999995</v>
          </cell>
          <cell r="BB1501">
            <v>0.69433830419999998</v>
          </cell>
          <cell r="BC1501">
            <v>0.69364591040000001</v>
          </cell>
          <cell r="BD1501">
            <v>0.69302248529999999</v>
          </cell>
          <cell r="BE1501">
            <v>0.69139399580000005</v>
          </cell>
          <cell r="BF1501">
            <v>0.6906937943</v>
          </cell>
          <cell r="BG1501">
            <v>0.69001173999999998</v>
          </cell>
          <cell r="BH1501">
            <v>0.68934913139999998</v>
          </cell>
          <cell r="BI1501">
            <v>0.68870704589999998</v>
          </cell>
        </row>
        <row r="1502">
          <cell r="F1502">
            <v>86.955706300000003</v>
          </cell>
          <cell r="G1502">
            <v>86.768654400000003</v>
          </cell>
          <cell r="H1502">
            <v>86.381472860000002</v>
          </cell>
          <cell r="I1502">
            <v>85.908332549999997</v>
          </cell>
          <cell r="J1502">
            <v>85.429697259999998</v>
          </cell>
          <cell r="K1502">
            <v>84.98595195</v>
          </cell>
          <cell r="L1502">
            <v>84.568574130000002</v>
          </cell>
          <cell r="M1502">
            <v>84.183383039999995</v>
          </cell>
          <cell r="N1502">
            <v>83.831205479999994</v>
          </cell>
          <cell r="O1502">
            <v>83.508552120000004</v>
          </cell>
          <cell r="P1502">
            <v>83.253738979999994</v>
          </cell>
          <cell r="Q1502">
            <v>83.011913579999998</v>
          </cell>
          <cell r="R1502">
            <v>82.772458049999997</v>
          </cell>
          <cell r="S1502">
            <v>82.533652720000006</v>
          </cell>
          <cell r="T1502">
            <v>82.295913949999999</v>
          </cell>
          <cell r="U1502">
            <v>82.060230970000006</v>
          </cell>
          <cell r="V1502">
            <v>81.827599230000004</v>
          </cell>
          <cell r="W1502">
            <v>81.598804869999995</v>
          </cell>
          <cell r="X1502">
            <v>81.37438496</v>
          </cell>
          <cell r="Y1502">
            <v>81.154673750000001</v>
          </cell>
          <cell r="Z1502">
            <v>80.911742340000004</v>
          </cell>
          <cell r="AA1502">
            <v>80.677734999999998</v>
          </cell>
          <cell r="AB1502">
            <v>80.456642579999993</v>
          </cell>
          <cell r="AC1502">
            <v>80.247503769999994</v>
          </cell>
          <cell r="AD1502">
            <v>80.048735629999996</v>
          </cell>
          <cell r="AE1502">
            <v>79.783288089999999</v>
          </cell>
          <cell r="AF1502">
            <v>79.501063430000002</v>
          </cell>
          <cell r="AG1502">
            <v>79.216770479999994</v>
          </cell>
          <cell r="AH1502">
            <v>78.936853220000003</v>
          </cell>
          <cell r="AI1502">
            <v>78.664705220000002</v>
          </cell>
          <cell r="AJ1502">
            <v>78.402299769999999</v>
          </cell>
          <cell r="AK1502">
            <v>78.150802100000007</v>
          </cell>
          <cell r="AL1502">
            <v>77.910840390000004</v>
          </cell>
          <cell r="AM1502">
            <v>77.682649659999996</v>
          </cell>
          <cell r="AN1502">
            <v>77.466167409999997</v>
          </cell>
          <cell r="AO1502">
            <v>77.261111209999996</v>
          </cell>
          <cell r="AP1502">
            <v>77.051297360000007</v>
          </cell>
          <cell r="AQ1502">
            <v>76.838417219999997</v>
          </cell>
          <cell r="AR1502">
            <v>76.627224530000007</v>
          </cell>
          <cell r="AS1502">
            <v>76.42219523</v>
          </cell>
          <cell r="AT1502">
            <v>76.226340219999997</v>
          </cell>
          <cell r="AU1502">
            <v>76.038104020000006</v>
          </cell>
          <cell r="AV1502">
            <v>75.854812030000005</v>
          </cell>
          <cell r="AW1502">
            <v>75.674697269999996</v>
          </cell>
          <cell r="AX1502">
            <v>75.497809680000003</v>
          </cell>
          <cell r="AY1502">
            <v>75.325670130000006</v>
          </cell>
          <cell r="AZ1502">
            <v>75.161588170000002</v>
          </cell>
          <cell r="BA1502">
            <v>75.00717831</v>
          </cell>
          <cell r="BB1502">
            <v>74.863220709999993</v>
          </cell>
          <cell r="BC1502">
            <v>74.729824649999998</v>
          </cell>
          <cell r="BD1502">
            <v>74.606602339999995</v>
          </cell>
          <cell r="BE1502">
            <v>71.369933189999998</v>
          </cell>
          <cell r="BF1502">
            <v>71.162944929999995</v>
          </cell>
          <cell r="BG1502">
            <v>70.960819119999996</v>
          </cell>
          <cell r="BH1502">
            <v>70.76353349</v>
          </cell>
          <cell r="BI1502">
            <v>70.57103103</v>
          </cell>
        </row>
        <row r="1512">
          <cell r="F1512">
            <v>1969318.2919999999</v>
          </cell>
          <cell r="G1512">
            <v>1994033.5460000001</v>
          </cell>
          <cell r="H1512">
            <v>2021533.0519999999</v>
          </cell>
          <cell r="I1512">
            <v>2050924.9509999999</v>
          </cell>
          <cell r="J1512">
            <v>2082120.5460000001</v>
          </cell>
          <cell r="K1512">
            <v>2114975.1540000001</v>
          </cell>
          <cell r="L1512">
            <v>2147880.7599999998</v>
          </cell>
          <cell r="M1512">
            <v>2181758.3840000001</v>
          </cell>
          <cell r="N1512">
            <v>2216526.4070000001</v>
          </cell>
          <cell r="O1512">
            <v>2252115.3640000001</v>
          </cell>
          <cell r="P1512">
            <v>2291010.5610000002</v>
          </cell>
          <cell r="Q1512">
            <v>2328709.054</v>
          </cell>
          <cell r="R1512">
            <v>2366950.0430000001</v>
          </cell>
          <cell r="S1512">
            <v>2405686.5780000002</v>
          </cell>
          <cell r="T1512">
            <v>2444900.5729999999</v>
          </cell>
          <cell r="U1512">
            <v>2484590.08</v>
          </cell>
          <cell r="V1512">
            <v>2524766.3470000001</v>
          </cell>
          <cell r="W1512">
            <v>2565445.89</v>
          </cell>
          <cell r="X1512">
            <v>2606650.8059999999</v>
          </cell>
          <cell r="Y1512">
            <v>2648404.4700000002</v>
          </cell>
          <cell r="Z1512">
            <v>2688822.6439999999</v>
          </cell>
          <cell r="AA1512">
            <v>2731252.8020000001</v>
          </cell>
          <cell r="AB1512">
            <v>2774382.1430000002</v>
          </cell>
          <cell r="AC1512">
            <v>2818237.051</v>
          </cell>
          <cell r="AD1512">
            <v>2862827.4709999999</v>
          </cell>
          <cell r="AE1512">
            <v>2902623.6469999999</v>
          </cell>
          <cell r="AF1512">
            <v>2944637.0639999998</v>
          </cell>
          <cell r="AG1512">
            <v>2986920.747</v>
          </cell>
          <cell r="AH1512">
            <v>3029602.9950000001</v>
          </cell>
          <cell r="AI1512">
            <v>3072780.97</v>
          </cell>
          <cell r="AJ1512">
            <v>3116529.2030000002</v>
          </cell>
          <cell r="AK1512">
            <v>3160899.7370000002</v>
          </cell>
          <cell r="AL1512">
            <v>3205925.889</v>
          </cell>
          <cell r="AM1512">
            <v>3251625.108</v>
          </cell>
          <cell r="AN1512">
            <v>3298004.0809999998</v>
          </cell>
          <cell r="AO1512">
            <v>3345062.7949999999</v>
          </cell>
          <cell r="AP1512">
            <v>3391443.5529999998</v>
          </cell>
          <cell r="AQ1512">
            <v>3438134.3119999999</v>
          </cell>
          <cell r="AR1512">
            <v>3485188.4040000001</v>
          </cell>
          <cell r="AS1512">
            <v>3532666.8450000002</v>
          </cell>
          <cell r="AT1512">
            <v>3580627.1660000002</v>
          </cell>
          <cell r="AU1512">
            <v>3629119.1260000002</v>
          </cell>
          <cell r="AV1512">
            <v>3678185.0350000001</v>
          </cell>
          <cell r="AW1512">
            <v>3727857.2209999999</v>
          </cell>
          <cell r="AX1512">
            <v>3778159.8689999999</v>
          </cell>
          <cell r="AY1512">
            <v>3829110.5759999999</v>
          </cell>
          <cell r="AZ1512">
            <v>3881173.2560000001</v>
          </cell>
          <cell r="BA1512">
            <v>3934339.7220000001</v>
          </cell>
          <cell r="BB1512">
            <v>3988548.3339999998</v>
          </cell>
          <cell r="BC1512">
            <v>4043703.2590000001</v>
          </cell>
          <cell r="BD1512">
            <v>4099725.318</v>
          </cell>
          <cell r="BE1512">
            <v>4435341.7680000002</v>
          </cell>
          <cell r="BF1512">
            <v>4509946.5190000003</v>
          </cell>
          <cell r="BG1512">
            <v>4585737.1710000001</v>
          </cell>
          <cell r="BH1512">
            <v>4662731.2929999996</v>
          </cell>
          <cell r="BI1512">
            <v>4740947.9249999998</v>
          </cell>
        </row>
        <row r="1513">
          <cell r="F1513">
            <v>35915.693509999997</v>
          </cell>
          <cell r="G1513">
            <v>36020.24379</v>
          </cell>
          <cell r="H1513">
            <v>36188.017820000001</v>
          </cell>
          <cell r="I1513">
            <v>36406.483670000001</v>
          </cell>
          <cell r="J1513">
            <v>36679.375319999999</v>
          </cell>
          <cell r="K1513">
            <v>37004.02072</v>
          </cell>
          <cell r="L1513">
            <v>37345.454310000001</v>
          </cell>
          <cell r="M1513">
            <v>37721.160819999997</v>
          </cell>
          <cell r="N1513">
            <v>38124.87285</v>
          </cell>
          <cell r="O1513">
            <v>38551.480629999998</v>
          </cell>
          <cell r="P1513">
            <v>39044.69427</v>
          </cell>
          <cell r="Q1513">
            <v>39505.87255</v>
          </cell>
          <cell r="R1513">
            <v>39975.634830000003</v>
          </cell>
          <cell r="S1513">
            <v>40449.442419999999</v>
          </cell>
          <cell r="T1513">
            <v>40925.326200000003</v>
          </cell>
          <cell r="U1513">
            <v>41402.044999999998</v>
          </cell>
          <cell r="V1513">
            <v>41873.64486</v>
          </cell>
          <cell r="W1513">
            <v>42344.85181</v>
          </cell>
          <cell r="X1513">
            <v>42816.32533</v>
          </cell>
          <cell r="Y1513">
            <v>43288.919190000001</v>
          </cell>
          <cell r="Z1513">
            <v>43728.495430000003</v>
          </cell>
          <cell r="AA1513">
            <v>44201.688049999997</v>
          </cell>
          <cell r="AB1513">
            <v>44680.09289</v>
          </cell>
          <cell r="AC1513">
            <v>45166.265379999997</v>
          </cell>
          <cell r="AD1513">
            <v>45661.160600000003</v>
          </cell>
          <cell r="AE1513">
            <v>46065.210299999999</v>
          </cell>
          <cell r="AF1513">
            <v>46520.341410000001</v>
          </cell>
          <cell r="AG1513">
            <v>46979.686800000003</v>
          </cell>
          <cell r="AH1513">
            <v>47447.526010000001</v>
          </cell>
          <cell r="AI1513">
            <v>47925.404649999997</v>
          </cell>
          <cell r="AJ1513">
            <v>48414.257250000002</v>
          </cell>
          <cell r="AK1513">
            <v>48916.145199999999</v>
          </cell>
          <cell r="AL1513">
            <v>49429.858630000002</v>
          </cell>
          <cell r="AM1513">
            <v>49955.19528</v>
          </cell>
          <cell r="AN1513">
            <v>50491.788289999997</v>
          </cell>
          <cell r="AO1513">
            <v>51039.135490000001</v>
          </cell>
          <cell r="AP1513">
            <v>51587.416680000002</v>
          </cell>
          <cell r="AQ1513">
            <v>52143.34158</v>
          </cell>
          <cell r="AR1513">
            <v>52705.913180000003</v>
          </cell>
          <cell r="AS1513">
            <v>53275.663050000003</v>
          </cell>
          <cell r="AT1513">
            <v>53853.106500000002</v>
          </cell>
          <cell r="AU1513">
            <v>54441.084170000002</v>
          </cell>
          <cell r="AV1513">
            <v>55037.742630000001</v>
          </cell>
          <cell r="AW1513">
            <v>55643.192110000004</v>
          </cell>
          <cell r="AX1513">
            <v>56257.558490000003</v>
          </cell>
          <cell r="AY1513">
            <v>56880.922769999997</v>
          </cell>
          <cell r="AZ1513">
            <v>57627.127189999999</v>
          </cell>
          <cell r="BA1513">
            <v>58462.888220000001</v>
          </cell>
          <cell r="BB1513">
            <v>59363.11793</v>
          </cell>
          <cell r="BC1513">
            <v>60309.964970000001</v>
          </cell>
          <cell r="BD1513">
            <v>61291.821960000001</v>
          </cell>
          <cell r="BE1513">
            <v>73046.369460000002</v>
          </cell>
          <cell r="BF1513">
            <v>74178.173190000001</v>
          </cell>
          <cell r="BG1513">
            <v>75329.311960000006</v>
          </cell>
          <cell r="BH1513">
            <v>76500.127600000007</v>
          </cell>
          <cell r="BI1513">
            <v>77691.000880000007</v>
          </cell>
        </row>
        <row r="1516">
          <cell r="F1516">
            <v>332398.6335</v>
          </cell>
          <cell r="G1516">
            <v>336502.40330000001</v>
          </cell>
          <cell r="H1516">
            <v>341166.13059999997</v>
          </cell>
          <cell r="I1516">
            <v>346178.41560000001</v>
          </cell>
          <cell r="J1516">
            <v>351532.17349999998</v>
          </cell>
          <cell r="K1516">
            <v>357211.7329</v>
          </cell>
          <cell r="L1516">
            <v>362973.17320000002</v>
          </cell>
          <cell r="M1516">
            <v>368961.87329999998</v>
          </cell>
          <cell r="N1516">
            <v>375153.64939999999</v>
          </cell>
          <cell r="O1516">
            <v>381533.46090000001</v>
          </cell>
          <cell r="P1516">
            <v>388485.49810000003</v>
          </cell>
          <cell r="Q1516">
            <v>395305.59210000001</v>
          </cell>
          <cell r="R1516">
            <v>402275.07280000002</v>
          </cell>
          <cell r="S1516">
            <v>409364.80609999999</v>
          </cell>
          <cell r="T1516">
            <v>416565.88929999998</v>
          </cell>
          <cell r="U1516">
            <v>423874.78619999997</v>
          </cell>
          <cell r="V1516">
            <v>431298.92249999999</v>
          </cell>
          <cell r="W1516">
            <v>438832.44630000001</v>
          </cell>
          <cell r="X1516">
            <v>446478.48340000003</v>
          </cell>
          <cell r="Y1516">
            <v>454240.97389999998</v>
          </cell>
          <cell r="Z1516">
            <v>461823.49859999999</v>
          </cell>
          <cell r="AA1516">
            <v>469755.35590000002</v>
          </cell>
          <cell r="AB1516">
            <v>477815.59480000002</v>
          </cell>
          <cell r="AC1516">
            <v>486022.21600000001</v>
          </cell>
          <cell r="AD1516">
            <v>494379.21629999997</v>
          </cell>
          <cell r="AE1516">
            <v>502011.97480000003</v>
          </cell>
          <cell r="AF1516">
            <v>510027.19400000002</v>
          </cell>
          <cell r="AG1516">
            <v>518077.96139999997</v>
          </cell>
          <cell r="AH1516">
            <v>526201.43359999999</v>
          </cell>
          <cell r="AI1516">
            <v>534414.4621</v>
          </cell>
          <cell r="AJ1516">
            <v>542728.06850000005</v>
          </cell>
          <cell r="AK1516">
            <v>551146.82330000005</v>
          </cell>
          <cell r="AL1516">
            <v>559676.37670000002</v>
          </cell>
          <cell r="AM1516">
            <v>568317.15749999997</v>
          </cell>
          <cell r="AN1516">
            <v>577067.44259999995</v>
          </cell>
          <cell r="AO1516">
            <v>585924.12890000001</v>
          </cell>
          <cell r="AP1516">
            <v>594644.98699999996</v>
          </cell>
          <cell r="AQ1516">
            <v>603406.07490000001</v>
          </cell>
          <cell r="AR1516">
            <v>612202.90740000003</v>
          </cell>
          <cell r="AS1516">
            <v>621041.68429999996</v>
          </cell>
          <cell r="AT1516">
            <v>629929.59600000002</v>
          </cell>
          <cell r="AU1516">
            <v>638869.35759999999</v>
          </cell>
          <cell r="AV1516">
            <v>647870.24800000002</v>
          </cell>
          <cell r="AW1516">
            <v>656936.72230000002</v>
          </cell>
          <cell r="AX1516">
            <v>666072.22080000001</v>
          </cell>
          <cell r="AY1516">
            <v>675279.37620000006</v>
          </cell>
          <cell r="AZ1516">
            <v>684619.48679999996</v>
          </cell>
          <cell r="BA1516">
            <v>694163.84770000004</v>
          </cell>
          <cell r="BB1516">
            <v>703919.02610000002</v>
          </cell>
          <cell r="BC1516">
            <v>713863.76769999997</v>
          </cell>
          <cell r="BD1516">
            <v>723971.90460000001</v>
          </cell>
          <cell r="BE1516">
            <v>779782.38390000002</v>
          </cell>
          <cell r="BF1516">
            <v>793578.7855</v>
          </cell>
          <cell r="BG1516">
            <v>807567.57739999995</v>
          </cell>
          <cell r="BH1516">
            <v>821748.6128</v>
          </cell>
          <cell r="BI1516">
            <v>836122.06779999996</v>
          </cell>
        </row>
        <row r="1528">
          <cell r="F1528">
            <v>48568.66259</v>
          </cell>
          <cell r="G1528">
            <v>49158.288860000001</v>
          </cell>
          <cell r="H1528">
            <v>49811.156459999998</v>
          </cell>
          <cell r="I1528">
            <v>50502.55042</v>
          </cell>
          <cell r="J1528">
            <v>51232.008399999999</v>
          </cell>
          <cell r="K1528">
            <v>51996.274389999999</v>
          </cell>
          <cell r="L1528">
            <v>52754.447189999999</v>
          </cell>
          <cell r="M1528">
            <v>53534.417139999998</v>
          </cell>
          <cell r="N1528">
            <v>54332.602989999999</v>
          </cell>
          <cell r="O1528">
            <v>55147.229809999997</v>
          </cell>
          <cell r="P1528">
            <v>56042.354599999999</v>
          </cell>
          <cell r="Q1528">
            <v>56895.832459999998</v>
          </cell>
          <cell r="R1528">
            <v>57762.974909999997</v>
          </cell>
          <cell r="S1528">
            <v>58640.295359999996</v>
          </cell>
          <cell r="T1528">
            <v>59527.17151</v>
          </cell>
          <cell r="U1528">
            <v>60423.685010000001</v>
          </cell>
          <cell r="V1528">
            <v>61330.145920000003</v>
          </cell>
          <cell r="W1528">
            <v>62247.211770000002</v>
          </cell>
          <cell r="X1528">
            <v>63175.507890000001</v>
          </cell>
          <cell r="Y1528">
            <v>64115.681329999999</v>
          </cell>
          <cell r="Z1528">
            <v>65019.409099999997</v>
          </cell>
          <cell r="AA1528">
            <v>65977.749299999996</v>
          </cell>
          <cell r="AB1528">
            <v>66949.432740000004</v>
          </cell>
          <cell r="AC1528">
            <v>67937.11275</v>
          </cell>
          <cell r="AD1528">
            <v>68941.434840000002</v>
          </cell>
          <cell r="AE1528">
            <v>69820.612330000004</v>
          </cell>
          <cell r="AF1528">
            <v>70769.569140000007</v>
          </cell>
          <cell r="AG1528">
            <v>71723.371799999994</v>
          </cell>
          <cell r="AH1528">
            <v>72687.648809999999</v>
          </cell>
          <cell r="AI1528">
            <v>73665.18836</v>
          </cell>
          <cell r="AJ1528">
            <v>74657.909679999997</v>
          </cell>
          <cell r="AK1528">
            <v>75667.171159999998</v>
          </cell>
          <cell r="AL1528">
            <v>76693.794259999995</v>
          </cell>
          <cell r="AM1528">
            <v>77738.263819999993</v>
          </cell>
          <cell r="AN1528">
            <v>78800.801930000001</v>
          </cell>
          <cell r="AO1528">
            <v>79881.464120000004</v>
          </cell>
          <cell r="AP1528">
            <v>80945.736810000002</v>
          </cell>
          <cell r="AQ1528">
            <v>82022.230049999998</v>
          </cell>
          <cell r="AR1528">
            <v>83110.624429999996</v>
          </cell>
          <cell r="AS1528">
            <v>84212.081730000005</v>
          </cell>
          <cell r="AT1528">
            <v>85327.87212</v>
          </cell>
          <cell r="AU1528">
            <v>86459.161659999998</v>
          </cell>
          <cell r="AV1528">
            <v>87606.799719999995</v>
          </cell>
          <cell r="AW1528">
            <v>88771.462899999999</v>
          </cell>
          <cell r="AX1528">
            <v>89953.62199</v>
          </cell>
          <cell r="AY1528">
            <v>91153.585749999998</v>
          </cell>
          <cell r="AZ1528">
            <v>92380.639110000004</v>
          </cell>
          <cell r="BA1528">
            <v>93632.798349999997</v>
          </cell>
          <cell r="BB1528">
            <v>94909.022230000002</v>
          </cell>
          <cell r="BC1528">
            <v>96207.759690000006</v>
          </cell>
          <cell r="BD1528">
            <v>97527.884600000005</v>
          </cell>
          <cell r="BE1528">
            <v>104246.85159999999</v>
          </cell>
          <cell r="BF1528">
            <v>105947.7721</v>
          </cell>
          <cell r="BG1528">
            <v>107679.07919999999</v>
          </cell>
          <cell r="BH1528">
            <v>109441.3615</v>
          </cell>
          <cell r="BI1528">
            <v>111235.22809999999</v>
          </cell>
        </row>
        <row r="1533">
          <cell r="F1533">
            <v>1513827.531</v>
          </cell>
          <cell r="G1533">
            <v>1533421.7379999999</v>
          </cell>
          <cell r="H1533">
            <v>1555148.1669999999</v>
          </cell>
          <cell r="I1533">
            <v>1578329.0360000001</v>
          </cell>
          <cell r="J1533">
            <v>1602862.923</v>
          </cell>
          <cell r="K1533">
            <v>1628621.67</v>
          </cell>
          <cell r="L1533">
            <v>1654341.5759999999</v>
          </cell>
          <cell r="M1533">
            <v>1680737.345</v>
          </cell>
          <cell r="N1533">
            <v>1707762.8870000001</v>
          </cell>
          <cell r="O1533">
            <v>1735372.189</v>
          </cell>
          <cell r="P1533">
            <v>1765517.844</v>
          </cell>
          <cell r="Q1533">
            <v>1794697.0049999999</v>
          </cell>
          <cell r="R1533">
            <v>1824242.6240000001</v>
          </cell>
          <cell r="S1533">
            <v>1854144.2720000001</v>
          </cell>
          <cell r="T1533">
            <v>1884395.179</v>
          </cell>
          <cell r="U1533">
            <v>1914997.9809999999</v>
          </cell>
          <cell r="V1533">
            <v>1945961.8019999999</v>
          </cell>
          <cell r="W1533">
            <v>1977303.6440000001</v>
          </cell>
          <cell r="X1533">
            <v>2009041.101</v>
          </cell>
          <cell r="Y1533">
            <v>2041191.932</v>
          </cell>
          <cell r="Z1533">
            <v>2072281.013</v>
          </cell>
          <cell r="AA1533">
            <v>2104914.2149999999</v>
          </cell>
          <cell r="AB1533">
            <v>2138090.8029999998</v>
          </cell>
          <cell r="AC1533">
            <v>2171814.307</v>
          </cell>
          <cell r="AD1533">
            <v>2206089.09</v>
          </cell>
          <cell r="AE1533">
            <v>2236588.4909999999</v>
          </cell>
          <cell r="AF1533">
            <v>2268766.301</v>
          </cell>
          <cell r="AG1533">
            <v>2301164.6039999998</v>
          </cell>
          <cell r="AH1533">
            <v>2333863.523</v>
          </cell>
          <cell r="AI1533">
            <v>2366937.8539999998</v>
          </cell>
          <cell r="AJ1533">
            <v>2400447.3190000001</v>
          </cell>
          <cell r="AK1533">
            <v>2434435.3050000002</v>
          </cell>
          <cell r="AL1533">
            <v>2468929.2740000002</v>
          </cell>
          <cell r="AM1533">
            <v>2503945.557</v>
          </cell>
          <cell r="AN1533">
            <v>2539492.4500000002</v>
          </cell>
          <cell r="AO1533">
            <v>2575573.36</v>
          </cell>
          <cell r="AP1533">
            <v>2611138.4739999999</v>
          </cell>
          <cell r="AQ1533">
            <v>2646947.9959999998</v>
          </cell>
          <cell r="AR1533">
            <v>2683059.7050000001</v>
          </cell>
          <cell r="AS1533">
            <v>2719525.81</v>
          </cell>
          <cell r="AT1533">
            <v>2756394.2089999998</v>
          </cell>
          <cell r="AU1533">
            <v>2793707.591</v>
          </cell>
          <cell r="AV1533">
            <v>2831499.6179999998</v>
          </cell>
          <cell r="AW1533">
            <v>2869797.1379999998</v>
          </cell>
          <cell r="AX1533">
            <v>2908620.1549999998</v>
          </cell>
          <cell r="AY1533">
            <v>2947983.1710000001</v>
          </cell>
          <cell r="AZ1533">
            <v>2988168.83</v>
          </cell>
          <cell r="BA1533">
            <v>3029132.2990000001</v>
          </cell>
          <cell r="BB1533">
            <v>3070828.8840000001</v>
          </cell>
          <cell r="BC1533">
            <v>3113201.2650000001</v>
          </cell>
          <cell r="BD1533">
            <v>3156207.7910000002</v>
          </cell>
          <cell r="BE1533">
            <v>3416677.1430000002</v>
          </cell>
          <cell r="BF1533">
            <v>3473898.909</v>
          </cell>
          <cell r="BG1533">
            <v>3532050.4369999999</v>
          </cell>
          <cell r="BH1533">
            <v>3591148.4539999999</v>
          </cell>
          <cell r="BI1533">
            <v>3651210.7570000002</v>
          </cell>
        </row>
        <row r="1537">
          <cell r="F1537">
            <v>-2121.7755929999998</v>
          </cell>
          <cell r="G1537">
            <v>-2155.1356719999999</v>
          </cell>
          <cell r="H1537">
            <v>-2170.838976</v>
          </cell>
          <cell r="I1537">
            <v>-2183.231577</v>
          </cell>
          <cell r="J1537">
            <v>-2198.126213</v>
          </cell>
          <cell r="K1537">
            <v>-2217.1764600000001</v>
          </cell>
          <cell r="L1537">
            <v>-2240.6206010000001</v>
          </cell>
          <cell r="M1537">
            <v>-2265.0990160000001</v>
          </cell>
          <cell r="N1537">
            <v>-2291.2140599999998</v>
          </cell>
          <cell r="O1537">
            <v>-2318.668447</v>
          </cell>
          <cell r="P1537">
            <v>-2346.1922500000001</v>
          </cell>
          <cell r="Q1537">
            <v>-2378.8533830000001</v>
          </cell>
          <cell r="R1537">
            <v>-2409.5525419999999</v>
          </cell>
          <cell r="S1537">
            <v>-2440.1217860000002</v>
          </cell>
          <cell r="T1537">
            <v>-2470.9556379999999</v>
          </cell>
          <cell r="U1537">
            <v>-2502.120191</v>
          </cell>
          <cell r="V1537">
            <v>-2533.6196749999999</v>
          </cell>
          <cell r="W1537">
            <v>-2565.472784</v>
          </cell>
          <cell r="X1537">
            <v>-2597.6793750000002</v>
          </cell>
          <cell r="Y1537">
            <v>-2630.2463670000002</v>
          </cell>
          <cell r="Z1537">
            <v>-2663.8566139999998</v>
          </cell>
          <cell r="AA1537">
            <v>-2694.5849840000001</v>
          </cell>
          <cell r="AB1537">
            <v>-2727.5947580000002</v>
          </cell>
          <cell r="AC1537">
            <v>-2761.460051</v>
          </cell>
          <cell r="AD1537">
            <v>-2795.8600590000001</v>
          </cell>
          <cell r="AE1537">
            <v>-2832.6731690000001</v>
          </cell>
          <cell r="AF1537">
            <v>-2861.462141</v>
          </cell>
          <cell r="AG1537">
            <v>-2892.634599</v>
          </cell>
          <cell r="AH1537">
            <v>-2924.5847279999998</v>
          </cell>
          <cell r="AI1537">
            <v>-2956.9694439999998</v>
          </cell>
          <cell r="AJ1537">
            <v>-2989.7561190000001</v>
          </cell>
          <cell r="AK1537">
            <v>-3022.9729299999999</v>
          </cell>
          <cell r="AL1537">
            <v>-3056.6466140000002</v>
          </cell>
          <cell r="AM1537">
            <v>-3090.8033099999998</v>
          </cell>
          <cell r="AN1537">
            <v>-3125.4598470000001</v>
          </cell>
          <cell r="AO1537">
            <v>-3160.6257009999999</v>
          </cell>
          <cell r="AP1537">
            <v>-3196.7827990000001</v>
          </cell>
          <cell r="AQ1537">
            <v>-3231.6213109999999</v>
          </cell>
          <cell r="AR1537">
            <v>-3266.4633880000001</v>
          </cell>
          <cell r="AS1537">
            <v>-3301.624096</v>
          </cell>
          <cell r="AT1537">
            <v>-3337.1863739999999</v>
          </cell>
          <cell r="AU1537">
            <v>-3373.1861939999999</v>
          </cell>
          <cell r="AV1537">
            <v>-3409.639381</v>
          </cell>
          <cell r="AW1537">
            <v>-3446.5671050000001</v>
          </cell>
          <cell r="AX1537">
            <v>-3483.9845129999999</v>
          </cell>
          <cell r="AY1537">
            <v>-3521.901879</v>
          </cell>
          <cell r="AZ1537">
            <v>-3560.3494620000001</v>
          </cell>
          <cell r="BA1537">
            <v>-3599.2356209999998</v>
          </cell>
          <cell r="BB1537">
            <v>-3638.5236540000001</v>
          </cell>
          <cell r="BC1537">
            <v>-3678.3116540000001</v>
          </cell>
          <cell r="BD1537">
            <v>-3718.6788860000001</v>
          </cell>
          <cell r="BE1537">
            <v>-4070.1845090000002</v>
          </cell>
          <cell r="BF1537">
            <v>-4129.4091010000002</v>
          </cell>
          <cell r="BG1537">
            <v>-4189.5967199999996</v>
          </cell>
          <cell r="BH1537">
            <v>-4250.7691379999997</v>
          </cell>
          <cell r="BI1537">
            <v>-4312.9515389999997</v>
          </cell>
        </row>
        <row r="1538">
          <cell r="F1538">
            <v>-613.20424890000004</v>
          </cell>
          <cell r="G1538">
            <v>-619.4555464</v>
          </cell>
          <cell r="H1538">
            <v>-622.47193649999997</v>
          </cell>
          <cell r="I1538">
            <v>-625.37514399999998</v>
          </cell>
          <cell r="J1538">
            <v>-629.34387389999995</v>
          </cell>
          <cell r="K1538">
            <v>-634.57250839999995</v>
          </cell>
          <cell r="L1538">
            <v>-640.74637189999999</v>
          </cell>
          <cell r="M1538">
            <v>-647.47940930000004</v>
          </cell>
          <cell r="N1538">
            <v>-654.71055760000002</v>
          </cell>
          <cell r="O1538">
            <v>-662.31110679999995</v>
          </cell>
          <cell r="P1538">
            <v>-670.40898240000001</v>
          </cell>
          <cell r="Q1538">
            <v>-678.93269029999999</v>
          </cell>
          <cell r="R1538">
            <v>-687.33042009999997</v>
          </cell>
          <cell r="S1538">
            <v>-695.79996860000006</v>
          </cell>
          <cell r="T1538">
            <v>-704.36618109999995</v>
          </cell>
          <cell r="U1538">
            <v>-713.02634550000005</v>
          </cell>
          <cell r="V1538">
            <v>-721.77626469999996</v>
          </cell>
          <cell r="W1538">
            <v>-730.61522990000003</v>
          </cell>
          <cell r="X1538">
            <v>-739.54205539999998</v>
          </cell>
          <cell r="Y1538">
            <v>-748.55711699999995</v>
          </cell>
          <cell r="Z1538">
            <v>-757.4916786</v>
          </cell>
          <cell r="AA1538">
            <v>-766.35241880000001</v>
          </cell>
          <cell r="AB1538">
            <v>-775.52043749999996</v>
          </cell>
          <cell r="AC1538">
            <v>-784.830061</v>
          </cell>
          <cell r="AD1538">
            <v>-794.25231819999999</v>
          </cell>
          <cell r="AE1538">
            <v>-803.29282260000002</v>
          </cell>
          <cell r="AF1538">
            <v>-811.73668789999999</v>
          </cell>
          <cell r="AG1538">
            <v>-820.45330769999998</v>
          </cell>
          <cell r="AH1538">
            <v>-829.25069570000005</v>
          </cell>
          <cell r="AI1538">
            <v>-838.10687819999998</v>
          </cell>
          <cell r="AJ1538">
            <v>-847.03132100000005</v>
          </cell>
          <cell r="AK1538">
            <v>-856.03710490000003</v>
          </cell>
          <cell r="AL1538">
            <v>-865.13505799999996</v>
          </cell>
          <cell r="AM1538">
            <v>-874.33405789999995</v>
          </cell>
          <cell r="AN1538">
            <v>-883.6404794</v>
          </cell>
          <cell r="AO1538">
            <v>-893.05882770000005</v>
          </cell>
          <cell r="AP1538">
            <v>-902.47430929999996</v>
          </cell>
          <cell r="AQ1538">
            <v>-911.77066660000003</v>
          </cell>
          <cell r="AR1538">
            <v>-921.10138159999997</v>
          </cell>
          <cell r="AS1538">
            <v>-930.50177429999997</v>
          </cell>
          <cell r="AT1538">
            <v>-939.98541439999997</v>
          </cell>
          <cell r="AU1538">
            <v>-949.56196999999997</v>
          </cell>
          <cell r="AV1538">
            <v>-959.23905920000004</v>
          </cell>
          <cell r="AW1538">
            <v>-969.02407909999999</v>
          </cell>
          <cell r="AX1538">
            <v>-978.92276790000005</v>
          </cell>
          <cell r="AY1538">
            <v>-988.93944260000001</v>
          </cell>
          <cell r="AZ1538">
            <v>-999.07481600000006</v>
          </cell>
          <cell r="BA1538">
            <v>-1009.31114</v>
          </cell>
          <cell r="BB1538">
            <v>-1019.65162</v>
          </cell>
          <cell r="BC1538">
            <v>-1030.112895</v>
          </cell>
          <cell r="BD1538">
            <v>-1040.707371</v>
          </cell>
          <cell r="BE1538">
            <v>-1146.8100690000001</v>
          </cell>
          <cell r="BF1538">
            <v>-1162.752213</v>
          </cell>
          <cell r="BG1538">
            <v>-1178.9435550000001</v>
          </cell>
          <cell r="BH1538">
            <v>-1195.3919310000001</v>
          </cell>
          <cell r="BI1538">
            <v>-1212.105595</v>
          </cell>
        </row>
        <row r="1540">
          <cell r="F1540">
            <v>495.88887419999998</v>
          </cell>
          <cell r="G1540">
            <v>501.28014960000002</v>
          </cell>
          <cell r="H1540">
            <v>506.51077279999998</v>
          </cell>
          <cell r="I1540">
            <v>511.83822989999999</v>
          </cell>
          <cell r="J1540">
            <v>517.42737520000003</v>
          </cell>
          <cell r="K1540">
            <v>523.33149719999994</v>
          </cell>
          <cell r="L1540">
            <v>529.19814069999995</v>
          </cell>
          <cell r="M1540">
            <v>535.24216149999995</v>
          </cell>
          <cell r="N1540">
            <v>541.47298469999998</v>
          </cell>
          <cell r="O1540">
            <v>547.87492650000002</v>
          </cell>
          <cell r="P1540">
            <v>555.03355590000001</v>
          </cell>
          <cell r="Q1540">
            <v>561.90281189999996</v>
          </cell>
          <cell r="R1540">
            <v>568.82171059999996</v>
          </cell>
          <cell r="S1540">
            <v>575.82992779999995</v>
          </cell>
          <cell r="T1540">
            <v>582.93433489999995</v>
          </cell>
          <cell r="U1540">
            <v>590.13526200000001</v>
          </cell>
          <cell r="V1540">
            <v>597.43596490000004</v>
          </cell>
          <cell r="W1540">
            <v>604.83428230000004</v>
          </cell>
          <cell r="X1540">
            <v>612.33030740000004</v>
          </cell>
          <cell r="Y1540">
            <v>619.9252434</v>
          </cell>
          <cell r="Z1540">
            <v>627.17928659999995</v>
          </cell>
          <cell r="AA1540">
            <v>634.85380759999998</v>
          </cell>
          <cell r="AB1540">
            <v>642.69164000000001</v>
          </cell>
          <cell r="AC1540">
            <v>650.66066390000003</v>
          </cell>
          <cell r="AD1540">
            <v>658.75401250000004</v>
          </cell>
          <cell r="AE1540">
            <v>665.70189310000001</v>
          </cell>
          <cell r="AF1540">
            <v>673.08171179999999</v>
          </cell>
          <cell r="AG1540">
            <v>680.57196150000004</v>
          </cell>
          <cell r="AH1540">
            <v>688.15103980000004</v>
          </cell>
          <cell r="AI1540">
            <v>695.82386329999997</v>
          </cell>
          <cell r="AJ1540">
            <v>703.59906899999999</v>
          </cell>
          <cell r="AK1540">
            <v>711.48367089999999</v>
          </cell>
          <cell r="AL1540">
            <v>719.48511099999996</v>
          </cell>
          <cell r="AM1540">
            <v>727.6090173</v>
          </cell>
          <cell r="AN1540">
            <v>735.85961199999997</v>
          </cell>
          <cell r="AO1540">
            <v>744.23994379999999</v>
          </cell>
          <cell r="AP1540">
            <v>752.43863580000004</v>
          </cell>
          <cell r="AQ1540">
            <v>760.67844119999995</v>
          </cell>
          <cell r="AR1540">
            <v>768.99971660000006</v>
          </cell>
          <cell r="AS1540">
            <v>777.41874089999999</v>
          </cell>
          <cell r="AT1540">
            <v>785.94513300000006</v>
          </cell>
          <cell r="AU1540">
            <v>794.58389590000002</v>
          </cell>
          <cell r="AV1540">
            <v>803.3411529</v>
          </cell>
          <cell r="AW1540">
            <v>812.22119559999999</v>
          </cell>
          <cell r="AX1540">
            <v>821.22721379999996</v>
          </cell>
          <cell r="AY1540">
            <v>830.36155269999995</v>
          </cell>
          <cell r="AZ1540">
            <v>839.5845084</v>
          </cell>
          <cell r="BA1540">
            <v>848.90435860000002</v>
          </cell>
          <cell r="BB1540">
            <v>858.34955170000001</v>
          </cell>
          <cell r="BC1540">
            <v>867.94313629999999</v>
          </cell>
          <cell r="BD1540">
            <v>877.70020829999999</v>
          </cell>
          <cell r="BE1540">
            <v>947.16079630000002</v>
          </cell>
          <cell r="BF1540">
            <v>961.08038239999996</v>
          </cell>
          <cell r="BG1540">
            <v>975.23425729999997</v>
          </cell>
          <cell r="BH1540">
            <v>989.62701319999996</v>
          </cell>
          <cell r="BI1540">
            <v>1004.263659</v>
          </cell>
        </row>
        <row r="1541">
          <cell r="F1541">
            <v>40636.557769999999</v>
          </cell>
          <cell r="G1541">
            <v>40991.626770000003</v>
          </cell>
          <cell r="H1541">
            <v>41291.611510000002</v>
          </cell>
          <cell r="I1541">
            <v>41588.199979999998</v>
          </cell>
          <cell r="J1541">
            <v>41904.695079999998</v>
          </cell>
          <cell r="K1541">
            <v>42247.94801</v>
          </cell>
          <cell r="L1541">
            <v>42593.867619999997</v>
          </cell>
          <cell r="M1541">
            <v>42953.94844</v>
          </cell>
          <cell r="N1541">
            <v>43327.225780000001</v>
          </cell>
          <cell r="O1541">
            <v>43711.771439999997</v>
          </cell>
          <cell r="P1541">
            <v>44146.349750000001</v>
          </cell>
          <cell r="Q1541">
            <v>44562.34721</v>
          </cell>
          <cell r="R1541">
            <v>44980.58049</v>
          </cell>
          <cell r="S1541">
            <v>45403.665910000003</v>
          </cell>
          <cell r="T1541">
            <v>45832.194609999999</v>
          </cell>
          <cell r="U1541">
            <v>46266.34001</v>
          </cell>
          <cell r="V1541">
            <v>46706.442620000002</v>
          </cell>
          <cell r="W1541">
            <v>47152.502919999999</v>
          </cell>
          <cell r="X1541">
            <v>47604.613640000003</v>
          </cell>
          <cell r="Y1541">
            <v>48062.955459999997</v>
          </cell>
          <cell r="Z1541">
            <v>48498.445469999999</v>
          </cell>
          <cell r="AA1541">
            <v>48960.660730000003</v>
          </cell>
          <cell r="AB1541">
            <v>49434.099629999997</v>
          </cell>
          <cell r="AC1541">
            <v>49916.856480000002</v>
          </cell>
          <cell r="AD1541">
            <v>50408.571980000001</v>
          </cell>
          <cell r="AE1541">
            <v>50825.353360000001</v>
          </cell>
          <cell r="AF1541">
            <v>51268.362009999997</v>
          </cell>
          <cell r="AG1541">
            <v>51719.043010000001</v>
          </cell>
          <cell r="AH1541">
            <v>52176.73416</v>
          </cell>
          <cell r="AI1541">
            <v>52642.242980000003</v>
          </cell>
          <cell r="AJ1541">
            <v>53116.468529999998</v>
          </cell>
          <cell r="AK1541">
            <v>53600.105020000003</v>
          </cell>
          <cell r="AL1541">
            <v>54093.772629999999</v>
          </cell>
          <cell r="AM1541">
            <v>54597.908060000002</v>
          </cell>
          <cell r="AN1541">
            <v>55112.784659999998</v>
          </cell>
          <cell r="AO1541">
            <v>55638.541039999996</v>
          </cell>
          <cell r="AP1541">
            <v>56154.678039999999</v>
          </cell>
          <cell r="AQ1541">
            <v>56674.810129999998</v>
          </cell>
          <cell r="AR1541">
            <v>57201.716350000002</v>
          </cell>
          <cell r="AS1541">
            <v>57736.637949999997</v>
          </cell>
          <cell r="AT1541">
            <v>58280.316590000002</v>
          </cell>
          <cell r="AU1541">
            <v>58833.138229999997</v>
          </cell>
          <cell r="AV1541">
            <v>59395.491329999997</v>
          </cell>
          <cell r="AW1541">
            <v>59967.636480000001</v>
          </cell>
          <cell r="AX1541">
            <v>60549.734250000001</v>
          </cell>
          <cell r="AY1541">
            <v>61141.867039999997</v>
          </cell>
          <cell r="AZ1541">
            <v>61740.969210000003</v>
          </cell>
          <cell r="BA1541">
            <v>62347.534760000002</v>
          </cell>
          <cell r="BB1541">
            <v>62964.107279999997</v>
          </cell>
          <cell r="BC1541">
            <v>63592.910459999999</v>
          </cell>
          <cell r="BD1541">
            <v>64235.3914</v>
          </cell>
          <cell r="BE1541">
            <v>65457.206310000001</v>
          </cell>
          <cell r="BF1541">
            <v>66266.410640000002</v>
          </cell>
          <cell r="BG1541">
            <v>67090.519190000006</v>
          </cell>
          <cell r="BH1541">
            <v>67929.616699999999</v>
          </cell>
          <cell r="BI1541">
            <v>68783.803939999998</v>
          </cell>
        </row>
        <row r="1551">
          <cell r="F1551">
            <v>1969388.1950000001</v>
          </cell>
          <cell r="G1551">
            <v>1994207.355</v>
          </cell>
          <cell r="H1551">
            <v>2021772.959</v>
          </cell>
          <cell r="I1551">
            <v>2051216.3330000001</v>
          </cell>
          <cell r="J1551">
            <v>2082473.956</v>
          </cell>
          <cell r="K1551">
            <v>2115417.858</v>
          </cell>
          <cell r="L1551">
            <v>2148440.66</v>
          </cell>
          <cell r="M1551">
            <v>2182459.7009999999</v>
          </cell>
          <cell r="N1551">
            <v>2217387.3670000001</v>
          </cell>
          <cell r="O1551">
            <v>2253148.338</v>
          </cell>
          <cell r="P1551">
            <v>2292224.702</v>
          </cell>
          <cell r="Q1551">
            <v>2330107.9160000002</v>
          </cell>
          <cell r="R1551">
            <v>2368537.469</v>
          </cell>
          <cell r="S1551">
            <v>2407466.5090000001</v>
          </cell>
          <cell r="T1551">
            <v>2446877.588</v>
          </cell>
          <cell r="U1551">
            <v>2486769.3319999999</v>
          </cell>
          <cell r="V1551">
            <v>2527152.327</v>
          </cell>
          <cell r="W1551">
            <v>2568045.0869999998</v>
          </cell>
          <cell r="X1551">
            <v>2609470.338</v>
          </cell>
          <cell r="Y1551">
            <v>2651452.2089999998</v>
          </cell>
          <cell r="Z1551">
            <v>2692104.8080000002</v>
          </cell>
          <cell r="AA1551">
            <v>2734779.8629999999</v>
          </cell>
          <cell r="AB1551">
            <v>2778163.8319999999</v>
          </cell>
          <cell r="AC1551">
            <v>2822283.0350000001</v>
          </cell>
          <cell r="AD1551">
            <v>2867147.4010000001</v>
          </cell>
          <cell r="AE1551">
            <v>2907218.2450000001</v>
          </cell>
          <cell r="AF1551">
            <v>2949517.6439999999</v>
          </cell>
          <cell r="AG1551">
            <v>2992096.0469999998</v>
          </cell>
          <cell r="AH1551">
            <v>3035081.3059999999</v>
          </cell>
          <cell r="AI1551">
            <v>3078570.1919999998</v>
          </cell>
          <cell r="AJ1551">
            <v>3122637.0159999998</v>
          </cell>
          <cell r="AK1551">
            <v>3167334.1060000001</v>
          </cell>
          <cell r="AL1551">
            <v>3212694.29</v>
          </cell>
          <cell r="AM1551">
            <v>3258735.0639999998</v>
          </cell>
          <cell r="AN1551">
            <v>3305463.1669999999</v>
          </cell>
          <cell r="AO1551">
            <v>3352878.7119999998</v>
          </cell>
          <cell r="AP1551">
            <v>3399624.017</v>
          </cell>
          <cell r="AQ1551">
            <v>3446683.926</v>
          </cell>
          <cell r="AR1551">
            <v>3494110.2940000002</v>
          </cell>
          <cell r="AS1551">
            <v>3541962.2030000002</v>
          </cell>
          <cell r="AT1551">
            <v>3590296.503</v>
          </cell>
          <cell r="AU1551">
            <v>3639390.7960000001</v>
          </cell>
          <cell r="AV1551">
            <v>3689339.8149999999</v>
          </cell>
          <cell r="AW1551">
            <v>3740136.2030000002</v>
          </cell>
          <cell r="AX1551">
            <v>3791739.378</v>
          </cell>
          <cell r="AY1551">
            <v>3844111.0809999998</v>
          </cell>
          <cell r="AZ1551">
            <v>3897351.4720000001</v>
          </cell>
          <cell r="BA1551">
            <v>3951361.1090000002</v>
          </cell>
          <cell r="BB1551">
            <v>4006136.193</v>
          </cell>
          <cell r="BC1551">
            <v>4061678.0040000002</v>
          </cell>
          <cell r="BD1551">
            <v>4117990.568</v>
          </cell>
          <cell r="BE1551">
            <v>4443934.8679999998</v>
          </cell>
          <cell r="BF1551">
            <v>4518812.6409999998</v>
          </cell>
          <cell r="BG1551">
            <v>4594869.43</v>
          </cell>
          <cell r="BH1551">
            <v>4672125.4069999997</v>
          </cell>
          <cell r="BI1551">
            <v>4750601.8959999997</v>
          </cell>
        </row>
        <row r="1552">
          <cell r="F1552">
            <v>36150.348980000002</v>
          </cell>
          <cell r="G1552">
            <v>36356.385119999999</v>
          </cell>
          <cell r="H1552">
            <v>36604.627690000001</v>
          </cell>
          <cell r="I1552">
            <v>36897.0962</v>
          </cell>
          <cell r="J1552">
            <v>37242.971319999997</v>
          </cell>
          <cell r="K1552">
            <v>37641.63478</v>
          </cell>
          <cell r="L1552">
            <v>38060.195729999999</v>
          </cell>
          <cell r="M1552">
            <v>38516.546990000003</v>
          </cell>
          <cell r="N1552">
            <v>39004.782800000001</v>
          </cell>
          <cell r="O1552">
            <v>39519.730309999999</v>
          </cell>
          <cell r="P1552">
            <v>40106.284140000003</v>
          </cell>
          <cell r="Q1552">
            <v>40667.689760000001</v>
          </cell>
          <cell r="R1552">
            <v>41240.824849999997</v>
          </cell>
          <cell r="S1552">
            <v>41820.764519999997</v>
          </cell>
          <cell r="T1552">
            <v>42405.415439999997</v>
          </cell>
          <cell r="U1552">
            <v>42993.59706</v>
          </cell>
          <cell r="V1552">
            <v>43584.841469999999</v>
          </cell>
          <cell r="W1552">
            <v>44179.298909999998</v>
          </cell>
          <cell r="X1552">
            <v>44777.626519999998</v>
          </cell>
          <cell r="Y1552">
            <v>45380.868540000003</v>
          </cell>
          <cell r="Z1552">
            <v>45953.029750000002</v>
          </cell>
          <cell r="AA1552">
            <v>46564.398070000003</v>
          </cell>
          <cell r="AB1552">
            <v>47185.548510000001</v>
          </cell>
          <cell r="AC1552">
            <v>47819.126029999999</v>
          </cell>
          <cell r="AD1552">
            <v>48466.240550000002</v>
          </cell>
          <cell r="AE1552">
            <v>49020.063049999997</v>
          </cell>
          <cell r="AF1552">
            <v>49629.209519999997</v>
          </cell>
          <cell r="AG1552">
            <v>50247.252719999997</v>
          </cell>
          <cell r="AH1552">
            <v>50878.580280000002</v>
          </cell>
          <cell r="AI1552">
            <v>51524.836719999999</v>
          </cell>
          <cell r="AJ1552">
            <v>52187.058080000003</v>
          </cell>
          <cell r="AK1552">
            <v>52865.86606</v>
          </cell>
          <cell r="AL1552">
            <v>53561.517509999998</v>
          </cell>
          <cell r="AM1552">
            <v>54273.972320000001</v>
          </cell>
          <cell r="AN1552">
            <v>55002.975019999998</v>
          </cell>
          <cell r="AO1552">
            <v>55748.136720000002</v>
          </cell>
          <cell r="AP1552">
            <v>56482.721360000003</v>
          </cell>
          <cell r="AQ1552">
            <v>57228.31192</v>
          </cell>
          <cell r="AR1552">
            <v>57986.048999999999</v>
          </cell>
          <cell r="AS1552">
            <v>58757.485209999999</v>
          </cell>
          <cell r="AT1552">
            <v>59543.266660000001</v>
          </cell>
          <cell r="AU1552">
            <v>60419.518380000001</v>
          </cell>
          <cell r="AV1552">
            <v>61368.282899999998</v>
          </cell>
          <cell r="AW1552">
            <v>62371.249450000003</v>
          </cell>
          <cell r="AX1552">
            <v>63415.574820000002</v>
          </cell>
          <cell r="AY1552">
            <v>64493.166749999997</v>
          </cell>
          <cell r="AZ1552">
            <v>65601.771460000004</v>
          </cell>
          <cell r="BA1552">
            <v>66736.914650000006</v>
          </cell>
          <cell r="BB1552">
            <v>67897.556129999997</v>
          </cell>
          <cell r="BC1552">
            <v>69083.413130000001</v>
          </cell>
          <cell r="BD1552">
            <v>70294.675319999995</v>
          </cell>
          <cell r="BE1552">
            <v>73673.009269999995</v>
          </cell>
          <cell r="BF1552">
            <v>74830.096340000004</v>
          </cell>
          <cell r="BG1552">
            <v>76006.871119999996</v>
          </cell>
          <cell r="BH1552">
            <v>77203.811189999993</v>
          </cell>
          <cell r="BI1552">
            <v>78421.397010000001</v>
          </cell>
        </row>
        <row r="1555">
          <cell r="F1555">
            <v>332150.75900000002</v>
          </cell>
          <cell r="G1555">
            <v>336193.5197</v>
          </cell>
          <cell r="H1555">
            <v>340788.76610000001</v>
          </cell>
          <cell r="I1555">
            <v>345730.66629999998</v>
          </cell>
          <cell r="J1555">
            <v>351017.7574</v>
          </cell>
          <cell r="K1555">
            <v>356638.21750000003</v>
          </cell>
          <cell r="L1555">
            <v>362346.83</v>
          </cell>
          <cell r="M1555">
            <v>368288.46049999999</v>
          </cell>
          <cell r="N1555">
            <v>374437.03029999998</v>
          </cell>
          <cell r="O1555">
            <v>380775.62319999997</v>
          </cell>
          <cell r="P1555">
            <v>387685.32189999998</v>
          </cell>
          <cell r="Q1555">
            <v>394456.81800000003</v>
          </cell>
          <cell r="R1555">
            <v>401375.87589999998</v>
          </cell>
          <cell r="S1555">
            <v>408413.03830000001</v>
          </cell>
          <cell r="T1555">
            <v>415559.25870000001</v>
          </cell>
          <cell r="U1555">
            <v>422810.87150000001</v>
          </cell>
          <cell r="V1555">
            <v>430167.34120000002</v>
          </cell>
          <cell r="W1555">
            <v>437630.41609999997</v>
          </cell>
          <cell r="X1555">
            <v>445203.38179999997</v>
          </cell>
          <cell r="Y1555">
            <v>452890.39929999999</v>
          </cell>
          <cell r="Z1555">
            <v>460397.14399999997</v>
          </cell>
          <cell r="AA1555">
            <v>468249.57780000003</v>
          </cell>
          <cell r="AB1555">
            <v>476228.53730000003</v>
          </cell>
          <cell r="AC1555">
            <v>484351.98460000003</v>
          </cell>
          <cell r="AD1555">
            <v>492623.83500000002</v>
          </cell>
          <cell r="AE1555">
            <v>500175.98469999997</v>
          </cell>
          <cell r="AF1555">
            <v>508109.38089999999</v>
          </cell>
          <cell r="AG1555">
            <v>516076.34499999997</v>
          </cell>
          <cell r="AH1555">
            <v>524113.75510000001</v>
          </cell>
          <cell r="AI1555">
            <v>532238.13139999995</v>
          </cell>
          <cell r="AJ1555">
            <v>540460.19629999995</v>
          </cell>
          <cell r="AK1555">
            <v>548786.63509999996</v>
          </cell>
          <cell r="AL1555">
            <v>557220.571</v>
          </cell>
          <cell r="AM1555">
            <v>565762.20389999996</v>
          </cell>
          <cell r="AN1555">
            <v>574409.5993</v>
          </cell>
          <cell r="AO1555">
            <v>583159.47530000005</v>
          </cell>
          <cell r="AP1555">
            <v>591794.08250000002</v>
          </cell>
          <cell r="AQ1555">
            <v>600464.99080000003</v>
          </cell>
          <cell r="AR1555">
            <v>609166.57250000001</v>
          </cell>
          <cell r="AS1555">
            <v>617903.9547</v>
          </cell>
          <cell r="AT1555">
            <v>626683.78819999995</v>
          </cell>
          <cell r="AU1555">
            <v>635542.00630000001</v>
          </cell>
          <cell r="AV1555">
            <v>644538.25829999999</v>
          </cell>
          <cell r="AW1555">
            <v>653683.30390000006</v>
          </cell>
          <cell r="AX1555">
            <v>662966.43519999995</v>
          </cell>
          <cell r="AY1555">
            <v>672371.43279999995</v>
          </cell>
          <cell r="AZ1555">
            <v>681903.66500000004</v>
          </cell>
          <cell r="BA1555">
            <v>691538.77020000003</v>
          </cell>
          <cell r="BB1555">
            <v>701271.04220000003</v>
          </cell>
          <cell r="BC1555">
            <v>711097.049</v>
          </cell>
          <cell r="BD1555">
            <v>721015.48710000003</v>
          </cell>
          <cell r="BE1555">
            <v>781663.80500000005</v>
          </cell>
          <cell r="BF1555">
            <v>795467.88820000004</v>
          </cell>
          <cell r="BG1555">
            <v>809456.06830000004</v>
          </cell>
          <cell r="BH1555">
            <v>823628.62589999998</v>
          </cell>
          <cell r="BI1555">
            <v>837986.17110000004</v>
          </cell>
        </row>
        <row r="1567">
          <cell r="F1567">
            <v>48572.098129999998</v>
          </cell>
          <cell r="G1567">
            <v>49164.313889999998</v>
          </cell>
          <cell r="H1567">
            <v>49819.38091</v>
          </cell>
          <cell r="I1567">
            <v>50512.816709999999</v>
          </cell>
          <cell r="J1567">
            <v>51244.646800000002</v>
          </cell>
          <cell r="K1567">
            <v>52011.94672</v>
          </cell>
          <cell r="L1567">
            <v>52773.807630000003</v>
          </cell>
          <cell r="M1567">
            <v>53558.00978</v>
          </cell>
          <cell r="N1567">
            <v>54360.848749999997</v>
          </cell>
          <cell r="O1567">
            <v>55180.447500000002</v>
          </cell>
          <cell r="P1567">
            <v>56080.858419999997</v>
          </cell>
          <cell r="Q1567">
            <v>56939.865550000002</v>
          </cell>
          <cell r="R1567">
            <v>57812.749369999998</v>
          </cell>
          <cell r="S1567">
            <v>58696.042999999998</v>
          </cell>
          <cell r="T1567">
            <v>59589.1414</v>
          </cell>
          <cell r="U1567">
            <v>60492.133589999998</v>
          </cell>
          <cell r="V1567">
            <v>61405.417549999998</v>
          </cell>
          <cell r="W1567">
            <v>62329.556960000002</v>
          </cell>
          <cell r="X1567">
            <v>63265.190360000001</v>
          </cell>
          <cell r="Y1567">
            <v>64212.972320000001</v>
          </cell>
          <cell r="Z1567">
            <v>65124.481059999998</v>
          </cell>
          <cell r="AA1567">
            <v>66090.980779999998</v>
          </cell>
          <cell r="AB1567">
            <v>67071.106830000004</v>
          </cell>
          <cell r="AC1567">
            <v>68067.520210000002</v>
          </cell>
          <cell r="AD1567">
            <v>69080.870970000004</v>
          </cell>
          <cell r="AE1567">
            <v>69968.977280000006</v>
          </cell>
          <cell r="AF1567">
            <v>70927.297720000002</v>
          </cell>
          <cell r="AG1567">
            <v>71890.745320000002</v>
          </cell>
          <cell r="AH1567">
            <v>72864.955270000006</v>
          </cell>
          <cell r="AI1567">
            <v>73852.718670000002</v>
          </cell>
          <cell r="AJ1567">
            <v>74855.960089999993</v>
          </cell>
          <cell r="AK1567">
            <v>75876.017300000007</v>
          </cell>
          <cell r="AL1567">
            <v>76913.749360000002</v>
          </cell>
          <cell r="AM1567">
            <v>77969.64572</v>
          </cell>
          <cell r="AN1567">
            <v>79043.935060000003</v>
          </cell>
          <cell r="AO1567">
            <v>80136.680300000007</v>
          </cell>
          <cell r="AP1567">
            <v>81212.947939999998</v>
          </cell>
          <cell r="AQ1567">
            <v>82301.769039999999</v>
          </cell>
          <cell r="AR1567">
            <v>83402.743359999993</v>
          </cell>
          <cell r="AS1567">
            <v>84516.979479999995</v>
          </cell>
          <cell r="AT1567">
            <v>85645.72954</v>
          </cell>
          <cell r="AU1567">
            <v>86794.170039999997</v>
          </cell>
          <cell r="AV1567">
            <v>87963.739629999996</v>
          </cell>
          <cell r="AW1567">
            <v>89154.392330000002</v>
          </cell>
          <cell r="AX1567">
            <v>90365.606969999993</v>
          </cell>
          <cell r="AY1567">
            <v>91596.951679999998</v>
          </cell>
          <cell r="AZ1567">
            <v>92851.44657</v>
          </cell>
          <cell r="BA1567">
            <v>94126.437059999997</v>
          </cell>
          <cell r="BB1567">
            <v>95422.072020000007</v>
          </cell>
          <cell r="BC1567">
            <v>96738.381829999998</v>
          </cell>
          <cell r="BD1567">
            <v>98075.361340000003</v>
          </cell>
          <cell r="BE1567">
            <v>104551.2357</v>
          </cell>
          <cell r="BF1567">
            <v>106267.7761</v>
          </cell>
          <cell r="BG1567">
            <v>108015.0258</v>
          </cell>
          <cell r="BH1567">
            <v>109793.6344</v>
          </cell>
          <cell r="BI1567">
            <v>111604.26330000001</v>
          </cell>
        </row>
        <row r="1572">
          <cell r="F1572">
            <v>1513912.3389999999</v>
          </cell>
          <cell r="G1572">
            <v>1533620.605</v>
          </cell>
          <cell r="H1572">
            <v>1555427.0549999999</v>
          </cell>
          <cell r="I1572">
            <v>1578671.4110000001</v>
          </cell>
          <cell r="J1572">
            <v>1603274.8859999999</v>
          </cell>
          <cell r="K1572">
            <v>1629125.852</v>
          </cell>
          <cell r="L1572">
            <v>1654958.017</v>
          </cell>
          <cell r="M1572">
            <v>1681480.987</v>
          </cell>
          <cell r="N1572">
            <v>1708643.537</v>
          </cell>
          <cell r="O1572">
            <v>1736395.5660000001</v>
          </cell>
          <cell r="P1572">
            <v>1766688.4339999999</v>
          </cell>
          <cell r="Q1572">
            <v>1796017.368</v>
          </cell>
          <cell r="R1572">
            <v>1825715.07</v>
          </cell>
          <cell r="S1572">
            <v>1855772.0449999999</v>
          </cell>
          <cell r="T1572">
            <v>1886182.402</v>
          </cell>
          <cell r="U1572">
            <v>1916949.1610000001</v>
          </cell>
          <cell r="V1572">
            <v>1948083.196</v>
          </cell>
          <cell r="W1572">
            <v>1979600.3370000001</v>
          </cell>
          <cell r="X1572">
            <v>2011518.568</v>
          </cell>
          <cell r="Y1572">
            <v>2043856.031</v>
          </cell>
          <cell r="Z1572">
            <v>2075135.8770000001</v>
          </cell>
          <cell r="AA1572">
            <v>2107967.8870000001</v>
          </cell>
          <cell r="AB1572">
            <v>2141350.0109999999</v>
          </cell>
          <cell r="AC1572">
            <v>2175285.713</v>
          </cell>
          <cell r="AD1572">
            <v>2209779.2760000001</v>
          </cell>
          <cell r="AE1572">
            <v>2240496.1129999999</v>
          </cell>
          <cell r="AF1572">
            <v>2272899.0929999999</v>
          </cell>
          <cell r="AG1572">
            <v>2305528.213</v>
          </cell>
          <cell r="AH1572">
            <v>2338463.2799999998</v>
          </cell>
          <cell r="AI1572">
            <v>2371778.8640000001</v>
          </cell>
          <cell r="AJ1572">
            <v>2405534.5780000002</v>
          </cell>
          <cell r="AK1572">
            <v>2439773.284</v>
          </cell>
          <cell r="AL1572">
            <v>2474522.9339999999</v>
          </cell>
          <cell r="AM1572">
            <v>2509799.91</v>
          </cell>
          <cell r="AN1572">
            <v>2545612.6060000001</v>
          </cell>
          <cell r="AO1572">
            <v>2581964.557</v>
          </cell>
          <cell r="AP1572">
            <v>2617798.0520000001</v>
          </cell>
          <cell r="AQ1572">
            <v>2653879.6839999999</v>
          </cell>
          <cell r="AR1572">
            <v>2690263.5869999998</v>
          </cell>
          <cell r="AS1572">
            <v>2726999.108</v>
          </cell>
          <cell r="AT1572">
            <v>2764133.6</v>
          </cell>
          <cell r="AU1572">
            <v>2801831.3470000001</v>
          </cell>
          <cell r="AV1572">
            <v>2840145.69</v>
          </cell>
          <cell r="AW1572">
            <v>2879077.091</v>
          </cell>
          <cell r="AX1572">
            <v>2918607.66</v>
          </cell>
          <cell r="AY1572">
            <v>2958721.82</v>
          </cell>
          <cell r="AZ1572">
            <v>2999509.9040000001</v>
          </cell>
          <cell r="BA1572">
            <v>3040904.1439999999</v>
          </cell>
          <cell r="BB1572">
            <v>3082906.7940000002</v>
          </cell>
          <cell r="BC1572">
            <v>3125522.6940000001</v>
          </cell>
          <cell r="BD1572">
            <v>3168757.1120000002</v>
          </cell>
          <cell r="BE1572">
            <v>3421146.1329999999</v>
          </cell>
          <cell r="BF1572">
            <v>3478549.7910000002</v>
          </cell>
          <cell r="BG1572">
            <v>3536883.7719999999</v>
          </cell>
          <cell r="BH1572">
            <v>3596166.577</v>
          </cell>
          <cell r="BI1572">
            <v>3656417.5589999999</v>
          </cell>
        </row>
        <row r="1575">
          <cell r="F1575">
            <v>-2029.1432070000001</v>
          </cell>
          <cell r="G1575">
            <v>-2061.381993</v>
          </cell>
          <cell r="H1575">
            <v>-2071.956322</v>
          </cell>
          <cell r="I1575">
            <v>-2079.2405399999998</v>
          </cell>
          <cell r="J1575">
            <v>-2089.9549499999998</v>
          </cell>
          <cell r="K1575">
            <v>-2105.7625800000001</v>
          </cell>
          <cell r="L1575">
            <v>-2126.815302</v>
          </cell>
          <cell r="M1575">
            <v>-2149.099502</v>
          </cell>
          <cell r="N1575">
            <v>-2173.2060700000002</v>
          </cell>
          <cell r="O1575">
            <v>-2198.7615500000002</v>
          </cell>
          <cell r="P1575">
            <v>-2223.7912299999998</v>
          </cell>
          <cell r="Q1575">
            <v>-2254.8331629999998</v>
          </cell>
          <cell r="R1575">
            <v>-2283.7043180000001</v>
          </cell>
          <cell r="S1575">
            <v>-2312.3888619999998</v>
          </cell>
          <cell r="T1575">
            <v>-2341.296128</v>
          </cell>
          <cell r="U1575">
            <v>-2370.4851979999999</v>
          </cell>
          <cell r="V1575">
            <v>-2399.9641029999998</v>
          </cell>
          <cell r="W1575">
            <v>-2429.740382</v>
          </cell>
          <cell r="X1575">
            <v>-2459.8245360000001</v>
          </cell>
          <cell r="Y1575">
            <v>-2490.2275420000001</v>
          </cell>
          <cell r="Z1575">
            <v>-2522.0997349999998</v>
          </cell>
          <cell r="AA1575">
            <v>-2550.413348</v>
          </cell>
          <cell r="AB1575">
            <v>-2581.0984880000001</v>
          </cell>
          <cell r="AC1575">
            <v>-2612.6018909999998</v>
          </cell>
          <cell r="AD1575">
            <v>-2644.579913</v>
          </cell>
          <cell r="AE1575">
            <v>-2680.24595</v>
          </cell>
          <cell r="AF1575">
            <v>-2706.6429440000002</v>
          </cell>
          <cell r="AG1575">
            <v>-2735.5530560000002</v>
          </cell>
          <cell r="AH1575">
            <v>-2765.1996300000001</v>
          </cell>
          <cell r="AI1575">
            <v>-2795.20714</v>
          </cell>
          <cell r="AJ1575">
            <v>-2825.539186</v>
          </cell>
          <cell r="AK1575">
            <v>-2856.2243840000001</v>
          </cell>
          <cell r="AL1575">
            <v>-2887.2958210000002</v>
          </cell>
          <cell r="AM1575">
            <v>-2918.7789269999998</v>
          </cell>
          <cell r="AN1575">
            <v>-2950.6903710000001</v>
          </cell>
          <cell r="AO1575">
            <v>-2983.0396129999999</v>
          </cell>
          <cell r="AP1575">
            <v>-3016.6169420000001</v>
          </cell>
          <cell r="AQ1575">
            <v>-3048.725837</v>
          </cell>
          <cell r="AR1575">
            <v>-3080.745355</v>
          </cell>
          <cell r="AS1575">
            <v>-3113.0564100000001</v>
          </cell>
          <cell r="AT1575">
            <v>-3145.7917779999998</v>
          </cell>
          <cell r="AU1575">
            <v>-3179.110964</v>
          </cell>
          <cell r="AV1575">
            <v>-3212.7998670000002</v>
          </cell>
          <cell r="AW1575">
            <v>-3246.8521409999998</v>
          </cell>
          <cell r="AX1575">
            <v>-3281.2884159999999</v>
          </cell>
          <cell r="AY1575">
            <v>-3316.1305910000001</v>
          </cell>
          <cell r="AZ1575">
            <v>-3351.3338450000001</v>
          </cell>
          <cell r="BA1575">
            <v>-3387.1667659999998</v>
          </cell>
          <cell r="BB1575">
            <v>-3423.521002</v>
          </cell>
          <cell r="BC1575">
            <v>-3460.3790739999999</v>
          </cell>
          <cell r="BD1575">
            <v>-3497.7386409999999</v>
          </cell>
          <cell r="BE1575">
            <v>-3861.2418819999998</v>
          </cell>
          <cell r="BF1575">
            <v>-3916.1006659999998</v>
          </cell>
          <cell r="BG1575">
            <v>-3971.8087999999998</v>
          </cell>
          <cell r="BH1575">
            <v>-4028.391533</v>
          </cell>
          <cell r="BI1575">
            <v>-4085.8743770000001</v>
          </cell>
        </row>
        <row r="1577">
          <cell r="F1577">
            <v>-613.18556090000004</v>
          </cell>
          <cell r="G1577">
            <v>-619.35143819999996</v>
          </cell>
          <cell r="H1577">
            <v>-622.32872450000002</v>
          </cell>
          <cell r="I1577">
            <v>-625.20712449999996</v>
          </cell>
          <cell r="J1577">
            <v>-629.15235740000003</v>
          </cell>
          <cell r="K1577">
            <v>-634.35464879999995</v>
          </cell>
          <cell r="L1577">
            <v>-640.49863700000003</v>
          </cell>
          <cell r="M1577">
            <v>-647.19925469999998</v>
          </cell>
          <cell r="N1577">
            <v>-654.39654829999995</v>
          </cell>
          <cell r="O1577">
            <v>-661.96240909999995</v>
          </cell>
          <cell r="P1577">
            <v>-670.02508139999998</v>
          </cell>
          <cell r="Q1577">
            <v>-678.51295119999997</v>
          </cell>
          <cell r="R1577">
            <v>-686.87376200000006</v>
          </cell>
          <cell r="S1577">
            <v>-695.30608340000003</v>
          </cell>
          <cell r="T1577">
            <v>-703.83502290000001</v>
          </cell>
          <cell r="U1577">
            <v>-712.45802449999996</v>
          </cell>
          <cell r="V1577">
            <v>-721.1711358</v>
          </cell>
          <cell r="W1577">
            <v>-729.97238930000003</v>
          </cell>
          <cell r="X1577">
            <v>-738.86137770000005</v>
          </cell>
          <cell r="Y1577">
            <v>-747.83852730000001</v>
          </cell>
          <cell r="Z1577">
            <v>-756.73487469999998</v>
          </cell>
          <cell r="AA1577">
            <v>-765.5573306</v>
          </cell>
          <cell r="AB1577">
            <v>-774.68600830000003</v>
          </cell>
          <cell r="AC1577">
            <v>-783.9550931</v>
          </cell>
          <cell r="AD1577">
            <v>-793.33546369999999</v>
          </cell>
          <cell r="AE1577">
            <v>-802.33248049999997</v>
          </cell>
          <cell r="AF1577">
            <v>-810.73281919999999</v>
          </cell>
          <cell r="AG1577">
            <v>-819.40467950000004</v>
          </cell>
          <cell r="AH1577">
            <v>-828.15563550000002</v>
          </cell>
          <cell r="AI1577">
            <v>-836.96364340000002</v>
          </cell>
          <cell r="AJ1577">
            <v>-845.83818050000002</v>
          </cell>
          <cell r="AK1577">
            <v>-854.7923055</v>
          </cell>
          <cell r="AL1577">
            <v>-863.83724689999997</v>
          </cell>
          <cell r="AM1577">
            <v>-872.98162779999996</v>
          </cell>
          <cell r="AN1577">
            <v>-882.23173080000004</v>
          </cell>
          <cell r="AO1577">
            <v>-891.59200080000005</v>
          </cell>
          <cell r="AP1577">
            <v>-900.94716340000002</v>
          </cell>
          <cell r="AQ1577">
            <v>-910.18523579999999</v>
          </cell>
          <cell r="AR1577">
            <v>-919.45725649999997</v>
          </cell>
          <cell r="AS1577">
            <v>-928.79840439999998</v>
          </cell>
          <cell r="AT1577">
            <v>-938.22235450000005</v>
          </cell>
          <cell r="AU1577">
            <v>-947.72919049999996</v>
          </cell>
          <cell r="AV1577">
            <v>-957.30550789999995</v>
          </cell>
          <cell r="AW1577">
            <v>-966.96653409999999</v>
          </cell>
          <cell r="AX1577">
            <v>-976.72986049999997</v>
          </cell>
          <cell r="AY1577">
            <v>-986.60851439999999</v>
          </cell>
          <cell r="AZ1577">
            <v>-996.62167160000001</v>
          </cell>
          <cell r="BA1577">
            <v>-1006.784888</v>
          </cell>
          <cell r="BB1577">
            <v>-1017.087937</v>
          </cell>
          <cell r="BC1577">
            <v>-1027.529925</v>
          </cell>
          <cell r="BD1577">
            <v>-1038.1110450000001</v>
          </cell>
          <cell r="BE1577">
            <v>-1144.325685</v>
          </cell>
          <cell r="BF1577">
            <v>-1160.095908</v>
          </cell>
          <cell r="BG1577">
            <v>-1176.1073469999999</v>
          </cell>
          <cell r="BH1577">
            <v>-1192.3669970000001</v>
          </cell>
          <cell r="BI1577">
            <v>-1208.8823600000001</v>
          </cell>
        </row>
        <row r="1579">
          <cell r="F1579">
            <v>495.73998590000002</v>
          </cell>
        </row>
        <row r="1580">
          <cell r="F1580">
            <v>40631.793089999999</v>
          </cell>
          <cell r="G1580">
            <v>40933.913719999997</v>
          </cell>
          <cell r="H1580">
            <v>41205.086170000002</v>
          </cell>
          <cell r="I1580">
            <v>41483.583059999997</v>
          </cell>
          <cell r="J1580">
            <v>41783.64875</v>
          </cell>
          <cell r="K1580">
            <v>42105.969169999997</v>
          </cell>
          <cell r="L1580">
            <v>42428.62528</v>
          </cell>
          <cell r="M1580">
            <v>42764.79653</v>
          </cell>
          <cell r="N1580">
            <v>43114.373509999998</v>
          </cell>
          <cell r="O1580">
            <v>43475.733220000002</v>
          </cell>
          <cell r="P1580">
            <v>43887.594899999996</v>
          </cell>
          <cell r="Q1580">
            <v>44281.008560000002</v>
          </cell>
          <cell r="R1580">
            <v>44676.652670000003</v>
          </cell>
          <cell r="S1580">
            <v>45077.007290000001</v>
          </cell>
          <cell r="T1580">
            <v>45482.665979999998</v>
          </cell>
          <cell r="U1580">
            <v>45894.054089999998</v>
          </cell>
          <cell r="V1580">
            <v>46311.495000000003</v>
          </cell>
          <cell r="W1580">
            <v>46735.219369999999</v>
          </cell>
          <cell r="X1580">
            <v>47165.395360000002</v>
          </cell>
          <cell r="Y1580">
            <v>47602.165130000001</v>
          </cell>
          <cell r="Z1580">
            <v>48016.375910000002</v>
          </cell>
          <cell r="AA1580">
            <v>48457.432919999999</v>
          </cell>
          <cell r="AB1580">
            <v>48909.72739</v>
          </cell>
          <cell r="AC1580">
            <v>49371.293709999998</v>
          </cell>
          <cell r="AD1580">
            <v>49841.758329999997</v>
          </cell>
          <cell r="AE1580">
            <v>50237.352680000004</v>
          </cell>
          <cell r="AF1580">
            <v>50659.306239999998</v>
          </cell>
          <cell r="AG1580">
            <v>51089.043709999998</v>
          </cell>
          <cell r="AH1580">
            <v>51525.934800000003</v>
          </cell>
          <cell r="AI1580">
            <v>51970.848129999998</v>
          </cell>
          <cell r="AJ1580">
            <v>52424.762589999998</v>
          </cell>
          <cell r="AK1580">
            <v>52888.527999999998</v>
          </cell>
          <cell r="AL1580">
            <v>53362.814429999999</v>
          </cell>
          <cell r="AM1580">
            <v>53848.110289999997</v>
          </cell>
          <cell r="AN1580">
            <v>54344.741699999999</v>
          </cell>
          <cell r="AO1580">
            <v>54852.902399999999</v>
          </cell>
          <cell r="AP1580">
            <v>55352.829749999997</v>
          </cell>
          <cell r="AQ1580">
            <v>55857.896200000003</v>
          </cell>
          <cell r="AR1580">
            <v>56372.087599999999</v>
          </cell>
          <cell r="AS1580">
            <v>56897.731449999999</v>
          </cell>
          <cell r="AT1580">
            <v>57435.909899999999</v>
          </cell>
          <cell r="AU1580">
            <v>57982.864930000003</v>
          </cell>
          <cell r="AV1580">
            <v>58536.644160000003</v>
          </cell>
          <cell r="AW1580">
            <v>59097.018730000003</v>
          </cell>
          <cell r="AX1580">
            <v>59665.389840000003</v>
          </cell>
          <cell r="AY1580">
            <v>60243.839970000001</v>
          </cell>
          <cell r="AZ1580">
            <v>60836.019619999999</v>
          </cell>
          <cell r="BA1580">
            <v>61442.010629999997</v>
          </cell>
          <cell r="BB1580">
            <v>62062.24929</v>
          </cell>
          <cell r="BC1580">
            <v>62696.845699999998</v>
          </cell>
          <cell r="BD1580">
            <v>63345.670879999998</v>
          </cell>
          <cell r="BE1580">
            <v>66761.92697</v>
          </cell>
          <cell r="BF1580">
            <v>67613.189150000006</v>
          </cell>
          <cell r="BG1580">
            <v>68479.501260000005</v>
          </cell>
          <cell r="BH1580">
            <v>69361.150169999994</v>
          </cell>
          <cell r="BI1580">
            <v>70258.379430000001</v>
          </cell>
        </row>
        <row r="1600">
          <cell r="F1600">
            <v>473183.95140000002</v>
          </cell>
          <cell r="G1600">
            <v>479488.17050000001</v>
          </cell>
          <cell r="H1600">
            <v>486379.15639999998</v>
          </cell>
          <cell r="I1600">
            <v>493792.99280000001</v>
          </cell>
          <cell r="J1600">
            <v>501676.06459999998</v>
          </cell>
          <cell r="K1600">
            <v>509996.29849999998</v>
          </cell>
          <cell r="L1600">
            <v>518534.10989999998</v>
          </cell>
          <cell r="M1600">
            <v>527324.42949999997</v>
          </cell>
          <cell r="N1600">
            <v>536387.72169999999</v>
          </cell>
          <cell r="O1600">
            <v>545729.32559999998</v>
          </cell>
          <cell r="P1600">
            <v>555700.67929999996</v>
          </cell>
          <cell r="Q1600">
            <v>565853.38529999997</v>
          </cell>
          <cell r="R1600">
            <v>576204.77500000002</v>
          </cell>
          <cell r="S1600">
            <v>586767.57629999996</v>
          </cell>
          <cell r="T1600">
            <v>597543.1594</v>
          </cell>
          <cell r="U1600">
            <v>608529.22560000001</v>
          </cell>
          <cell r="V1600">
            <v>619723.21169999999</v>
          </cell>
          <cell r="W1600">
            <v>631124.57999999996</v>
          </cell>
          <cell r="X1600">
            <v>642733.7439</v>
          </cell>
          <cell r="Y1600">
            <v>654551.72069999995</v>
          </cell>
          <cell r="Z1600">
            <v>666310.22640000004</v>
          </cell>
          <cell r="AA1600">
            <v>678343.69590000005</v>
          </cell>
          <cell r="AB1600">
            <v>690633.40839999996</v>
          </cell>
          <cell r="AC1600">
            <v>703162.89619999996</v>
          </cell>
          <cell r="AD1600">
            <v>715923.86690000002</v>
          </cell>
          <cell r="AE1600">
            <v>728123.00040000002</v>
          </cell>
          <cell r="AF1600">
            <v>740353.65370000002</v>
          </cell>
          <cell r="AG1600">
            <v>752637.40960000001</v>
          </cell>
          <cell r="AH1600">
            <v>764978.45640000002</v>
          </cell>
          <cell r="AI1600">
            <v>777384.66590000002</v>
          </cell>
          <cell r="AJ1600">
            <v>789864.45970000001</v>
          </cell>
          <cell r="AK1600">
            <v>802424.23759999999</v>
          </cell>
          <cell r="AL1600">
            <v>815066.8824</v>
          </cell>
          <cell r="AM1600">
            <v>827792.09279999998</v>
          </cell>
          <cell r="AN1600">
            <v>840596.9828</v>
          </cell>
          <cell r="AO1600">
            <v>853476.94220000005</v>
          </cell>
          <cell r="AP1600">
            <v>866233.44079999998</v>
          </cell>
          <cell r="AQ1600">
            <v>878903.42150000005</v>
          </cell>
          <cell r="AR1600">
            <v>891512.45460000006</v>
          </cell>
          <cell r="AS1600">
            <v>904076.15300000005</v>
          </cell>
          <cell r="AT1600">
            <v>916606.15789999999</v>
          </cell>
          <cell r="AU1600">
            <v>929112.85140000004</v>
          </cell>
          <cell r="AV1600">
            <v>941605.36699999997</v>
          </cell>
          <cell r="AW1600">
            <v>954092.15700000001</v>
          </cell>
          <cell r="AX1600">
            <v>966580.93149999995</v>
          </cell>
          <cell r="AY1600">
            <v>979078.75780000002</v>
          </cell>
          <cell r="AZ1600">
            <v>991699.47739999997</v>
          </cell>
          <cell r="BA1600">
            <v>1004487.612</v>
          </cell>
          <cell r="BB1600">
            <v>1017446.251</v>
          </cell>
          <cell r="BC1600">
            <v>1030555.887</v>
          </cell>
          <cell r="BD1600">
            <v>1043791.735</v>
          </cell>
          <cell r="BE1600">
            <v>1177882.68</v>
          </cell>
          <cell r="BF1600">
            <v>1199509.7779999999</v>
          </cell>
          <cell r="BG1600">
            <v>1221370.1200000001</v>
          </cell>
          <cell r="BH1600">
            <v>1243459.7209999999</v>
          </cell>
          <cell r="BI1600">
            <v>1265775.415</v>
          </cell>
        </row>
        <row r="1601">
          <cell r="F1601">
            <v>4439.8361169999998</v>
          </cell>
          <cell r="G1601">
            <v>4487.4772860000003</v>
          </cell>
          <cell r="H1601">
            <v>4535.0443770000002</v>
          </cell>
          <cell r="I1601">
            <v>4583.434499</v>
          </cell>
          <cell r="J1601">
            <v>4633.2846300000001</v>
          </cell>
          <cell r="K1601">
            <v>4684.9451849999996</v>
          </cell>
          <cell r="L1601">
            <v>4735.8107069999996</v>
          </cell>
          <cell r="M1601">
            <v>4787.2424899999996</v>
          </cell>
          <cell r="N1601">
            <v>4839.7162550000003</v>
          </cell>
          <cell r="O1601">
            <v>4893.3051219999998</v>
          </cell>
          <cell r="P1601">
            <v>4952.5480550000002</v>
          </cell>
          <cell r="Q1601">
            <v>5010.0941510000002</v>
          </cell>
          <cell r="R1601">
            <v>5067.2842570000003</v>
          </cell>
          <cell r="S1601">
            <v>5124.5931840000003</v>
          </cell>
          <cell r="T1601">
            <v>5182.124855</v>
          </cell>
          <cell r="U1601">
            <v>5239.8780999999999</v>
          </cell>
          <cell r="V1601">
            <v>5297.6346530000001</v>
          </cell>
          <cell r="W1601">
            <v>5355.5606580000003</v>
          </cell>
          <cell r="X1601">
            <v>5413.7262460000002</v>
          </cell>
          <cell r="Y1601">
            <v>5472.1924470000004</v>
          </cell>
          <cell r="Z1601">
            <v>5527.7052809999996</v>
          </cell>
          <cell r="AA1601">
            <v>5585.4135480000004</v>
          </cell>
          <cell r="AB1601">
            <v>5644.4018500000002</v>
          </cell>
          <cell r="AC1601">
            <v>5704.3336810000001</v>
          </cell>
          <cell r="AD1601">
            <v>5765.139803</v>
          </cell>
          <cell r="AE1601">
            <v>5817.4103150000001</v>
          </cell>
          <cell r="AF1601">
            <v>5871.2249760000004</v>
          </cell>
          <cell r="AG1601">
            <v>5925.9900619999999</v>
          </cell>
          <cell r="AH1601">
            <v>5981.4981470000002</v>
          </cell>
          <cell r="AI1601">
            <v>6037.7566569999999</v>
          </cell>
          <cell r="AJ1601">
            <v>6094.8283380000003</v>
          </cell>
          <cell r="AK1601">
            <v>6152.8354959999997</v>
          </cell>
          <cell r="AL1601">
            <v>6211.7784700000002</v>
          </cell>
          <cell r="AM1601">
            <v>6271.6736769999998</v>
          </cell>
          <cell r="AN1601">
            <v>6332.5308100000002</v>
          </cell>
          <cell r="AO1601">
            <v>6394.3509290000002</v>
          </cell>
          <cell r="AP1601">
            <v>6455.4863379999997</v>
          </cell>
          <cell r="AQ1601">
            <v>6516.634035</v>
          </cell>
          <cell r="AR1601">
            <v>6578.1526610000001</v>
          </cell>
          <cell r="AS1601">
            <v>6640.2089189999997</v>
          </cell>
          <cell r="AT1601">
            <v>6702.8961550000004</v>
          </cell>
          <cell r="AU1601">
            <v>6766.3697689999999</v>
          </cell>
          <cell r="AV1601">
            <v>6830.6033079999997</v>
          </cell>
          <cell r="AW1601">
            <v>6895.6146289999997</v>
          </cell>
          <cell r="AX1601">
            <v>6961.4280159999998</v>
          </cell>
          <cell r="AY1601">
            <v>7028.0660250000001</v>
          </cell>
          <cell r="AZ1601">
            <v>7099.4522939999997</v>
          </cell>
          <cell r="BA1601">
            <v>7175.4664309999998</v>
          </cell>
          <cell r="BB1601">
            <v>7255.4580969999997</v>
          </cell>
          <cell r="BC1601">
            <v>7338.7291740000001</v>
          </cell>
          <cell r="BD1601">
            <v>7424.7129189999996</v>
          </cell>
          <cell r="BE1601">
            <v>10315.183279999999</v>
          </cell>
          <cell r="BF1601">
            <v>10501.124680000001</v>
          </cell>
          <cell r="BG1601">
            <v>10690.10708</v>
          </cell>
          <cell r="BH1601">
            <v>10882.175730000001</v>
          </cell>
          <cell r="BI1601">
            <v>11077.383040000001</v>
          </cell>
        </row>
        <row r="1604">
          <cell r="F1604">
            <v>235086.5759</v>
          </cell>
          <cell r="G1604">
            <v>238317.7714</v>
          </cell>
          <cell r="H1604">
            <v>241893.22839999999</v>
          </cell>
          <cell r="I1604">
            <v>245738.0625</v>
          </cell>
          <cell r="J1604">
            <v>249807.17920000001</v>
          </cell>
          <cell r="K1604">
            <v>254083.30970000001</v>
          </cell>
          <cell r="L1604">
            <v>258475.92050000001</v>
          </cell>
          <cell r="M1604">
            <v>263002.57640000002</v>
          </cell>
          <cell r="N1604">
            <v>267678.21850000002</v>
          </cell>
          <cell r="O1604">
            <v>272511.09860000003</v>
          </cell>
          <cell r="P1604">
            <v>277660.09529999999</v>
          </cell>
          <cell r="Q1604">
            <v>282942.2439</v>
          </cell>
          <cell r="R1604">
            <v>288359.70480000001</v>
          </cell>
          <cell r="S1604">
            <v>293916.25109999999</v>
          </cell>
          <cell r="T1604">
            <v>299612.12219999998</v>
          </cell>
          <cell r="U1604">
            <v>305445.97629999998</v>
          </cell>
          <cell r="V1604">
            <v>311416.23379999999</v>
          </cell>
          <cell r="W1604">
            <v>317521.72279999999</v>
          </cell>
          <cell r="X1604">
            <v>323761.67700000003</v>
          </cell>
          <cell r="Y1604">
            <v>330135.57750000001</v>
          </cell>
          <cell r="Z1604">
            <v>336523.86580000003</v>
          </cell>
          <cell r="AA1604">
            <v>343064.32500000001</v>
          </cell>
          <cell r="AB1604">
            <v>349752.95640000002</v>
          </cell>
          <cell r="AC1604">
            <v>356583.24579999998</v>
          </cell>
          <cell r="AD1604">
            <v>363550.55660000001</v>
          </cell>
          <cell r="AE1604">
            <v>370301.65549999999</v>
          </cell>
          <cell r="AF1604">
            <v>377070.72700000001</v>
          </cell>
          <cell r="AG1604">
            <v>383868.7487</v>
          </cell>
          <cell r="AH1604">
            <v>390696.2291</v>
          </cell>
          <cell r="AI1604">
            <v>397553.25660000002</v>
          </cell>
          <cell r="AJ1604">
            <v>404439.63219999999</v>
          </cell>
          <cell r="AK1604">
            <v>411354.28850000002</v>
          </cell>
          <cell r="AL1604">
            <v>418294.86109999998</v>
          </cell>
          <cell r="AM1604">
            <v>425257.66979999997</v>
          </cell>
          <cell r="AN1604">
            <v>432237.9411</v>
          </cell>
          <cell r="AO1604">
            <v>439230.17349999998</v>
          </cell>
          <cell r="AP1604">
            <v>446141.92</v>
          </cell>
          <cell r="AQ1604">
            <v>452979.79599999997</v>
          </cell>
          <cell r="AR1604">
            <v>459749.42719999998</v>
          </cell>
          <cell r="AS1604">
            <v>466453.84379999997</v>
          </cell>
          <cell r="AT1604">
            <v>473095.05680000002</v>
          </cell>
          <cell r="AU1604">
            <v>479674.96019999997</v>
          </cell>
          <cell r="AV1604">
            <v>486195.56589999999</v>
          </cell>
          <cell r="AW1604">
            <v>492659.10680000001</v>
          </cell>
          <cell r="AX1604">
            <v>499068.03220000002</v>
          </cell>
          <cell r="AY1604">
            <v>505425.02630000003</v>
          </cell>
          <cell r="AZ1604">
            <v>511784.07990000001</v>
          </cell>
          <cell r="BA1604">
            <v>518175.25719999999</v>
          </cell>
          <cell r="BB1604">
            <v>524607.66929999995</v>
          </cell>
          <cell r="BC1604">
            <v>531076.11710000003</v>
          </cell>
          <cell r="BD1604">
            <v>537569.78980000003</v>
          </cell>
          <cell r="BE1604">
            <v>617742.98450000002</v>
          </cell>
          <cell r="BF1604">
            <v>629611.85600000003</v>
          </cell>
          <cell r="BG1604">
            <v>641570.32310000004</v>
          </cell>
          <cell r="BH1604">
            <v>653612.58900000004</v>
          </cell>
          <cell r="BI1604">
            <v>665733.37950000004</v>
          </cell>
        </row>
        <row r="1616">
          <cell r="F1616">
            <v>8023.5545249999996</v>
          </cell>
          <cell r="G1616">
            <v>8131.1781460000002</v>
          </cell>
          <cell r="H1616">
            <v>8247.7559990000009</v>
          </cell>
          <cell r="I1616">
            <v>8371.9065289999999</v>
          </cell>
          <cell r="J1616">
            <v>8502.7483780000002</v>
          </cell>
          <cell r="K1616">
            <v>8639.6169190000001</v>
          </cell>
          <cell r="L1616">
            <v>8777.6655809999993</v>
          </cell>
          <cell r="M1616">
            <v>8918.3134019999998</v>
          </cell>
          <cell r="N1616">
            <v>9062.026527</v>
          </cell>
          <cell r="O1616">
            <v>9208.8317929999994</v>
          </cell>
          <cell r="P1616">
            <v>9366.1757379999999</v>
          </cell>
          <cell r="Q1616">
            <v>9522.9356950000001</v>
          </cell>
          <cell r="R1616">
            <v>9680.7835520000008</v>
          </cell>
          <cell r="S1616">
            <v>9840.443346</v>
          </cell>
          <cell r="T1616">
            <v>10002.128350000001</v>
          </cell>
          <cell r="U1616">
            <v>10165.90301</v>
          </cell>
          <cell r="V1616">
            <v>10331.80632</v>
          </cell>
          <cell r="W1616">
            <v>10499.90581</v>
          </cell>
          <cell r="X1616">
            <v>10670.28435</v>
          </cell>
          <cell r="Y1616">
            <v>10843.03585</v>
          </cell>
          <cell r="Z1616">
            <v>11012.53118</v>
          </cell>
          <cell r="AA1616">
            <v>11187.17439</v>
          </cell>
          <cell r="AB1616">
            <v>11365.701359999999</v>
          </cell>
          <cell r="AC1616">
            <v>11547.5735</v>
          </cell>
          <cell r="AD1616">
            <v>11732.6515</v>
          </cell>
          <cell r="AE1616">
            <v>11904.21393</v>
          </cell>
          <cell r="AF1616">
            <v>12078.55097</v>
          </cell>
          <cell r="AG1616">
            <v>12255.17302</v>
          </cell>
          <cell r="AH1616">
            <v>12433.88312</v>
          </cell>
          <cell r="AI1616">
            <v>12614.808919999999</v>
          </cell>
          <cell r="AJ1616">
            <v>12798.16455</v>
          </cell>
          <cell r="AK1616">
            <v>12984.15005</v>
          </cell>
          <cell r="AL1616">
            <v>13172.910900000001</v>
          </cell>
          <cell r="AM1616">
            <v>13364.53973</v>
          </cell>
          <cell r="AN1616">
            <v>13559.08484</v>
          </cell>
          <cell r="AO1616">
            <v>13756.56279</v>
          </cell>
          <cell r="AP1616">
            <v>13952.872079999999</v>
          </cell>
          <cell r="AQ1616">
            <v>14149.787549999999</v>
          </cell>
          <cell r="AR1616">
            <v>14348.143669999999</v>
          </cell>
          <cell r="AS1616">
            <v>14548.34015</v>
          </cell>
          <cell r="AT1616">
            <v>14750.623149999999</v>
          </cell>
          <cell r="AU1616">
            <v>14955.18309</v>
          </cell>
          <cell r="AV1616">
            <v>15162.16959</v>
          </cell>
          <cell r="AW1616">
            <v>15371.70556</v>
          </cell>
          <cell r="AX1616">
            <v>15583.888440000001</v>
          </cell>
          <cell r="AY1616">
            <v>15798.793030000001</v>
          </cell>
          <cell r="AZ1616">
            <v>16018.19456</v>
          </cell>
          <cell r="BA1616">
            <v>16242.48281</v>
          </cell>
          <cell r="BB1616">
            <v>16471.539949999998</v>
          </cell>
          <cell r="BC1616">
            <v>16705.01641</v>
          </cell>
          <cell r="BD1616">
            <v>16942.546399999999</v>
          </cell>
          <cell r="BE1616">
            <v>18304.411169999999</v>
          </cell>
          <cell r="BF1616">
            <v>18627.571029999999</v>
          </cell>
          <cell r="BG1616">
            <v>18956.537619999999</v>
          </cell>
          <cell r="BH1616">
            <v>19291.396369999999</v>
          </cell>
          <cell r="BI1616">
            <v>19632.235570000001</v>
          </cell>
        </row>
        <row r="1621">
          <cell r="F1621">
            <v>219732.1874</v>
          </cell>
          <cell r="G1621">
            <v>222592.351</v>
          </cell>
          <cell r="H1621">
            <v>225696.07860000001</v>
          </cell>
          <cell r="I1621">
            <v>229047.8866</v>
          </cell>
          <cell r="J1621">
            <v>232634.9498</v>
          </cell>
          <cell r="K1621">
            <v>236440.73079999999</v>
          </cell>
          <cell r="L1621">
            <v>240345.44190000001</v>
          </cell>
          <cell r="M1621">
            <v>244363.25640000001</v>
          </cell>
          <cell r="N1621">
            <v>248498.71830000001</v>
          </cell>
          <cell r="O1621">
            <v>252749.00870000001</v>
          </cell>
          <cell r="P1621">
            <v>257290.9172</v>
          </cell>
          <cell r="Q1621">
            <v>261882.85980000001</v>
          </cell>
          <cell r="R1621">
            <v>266536.89140000002</v>
          </cell>
          <cell r="S1621">
            <v>271260.45140000002</v>
          </cell>
          <cell r="T1621">
            <v>276054.20079999999</v>
          </cell>
          <cell r="U1621">
            <v>280917.06189999997</v>
          </cell>
          <cell r="V1621">
            <v>285848.18829999998</v>
          </cell>
          <cell r="W1621">
            <v>290847.96850000002</v>
          </cell>
          <cell r="X1621">
            <v>295917.4179</v>
          </cell>
          <cell r="Y1621">
            <v>301057.89980000001</v>
          </cell>
          <cell r="Z1621">
            <v>306132.47120000003</v>
          </cell>
          <cell r="AA1621">
            <v>311320.39809999999</v>
          </cell>
          <cell r="AB1621">
            <v>316609.2843</v>
          </cell>
          <cell r="AC1621">
            <v>321990.31079999998</v>
          </cell>
          <cell r="AD1621">
            <v>327460.14649999997</v>
          </cell>
          <cell r="AE1621">
            <v>332613.25650000002</v>
          </cell>
          <cell r="AF1621">
            <v>337775.52380000002</v>
          </cell>
          <cell r="AG1621">
            <v>342958.01010000001</v>
          </cell>
          <cell r="AH1621">
            <v>348164.71879999997</v>
          </cell>
          <cell r="AI1621">
            <v>353403.19650000002</v>
          </cell>
          <cell r="AJ1621">
            <v>358681.65360000002</v>
          </cell>
          <cell r="AK1621">
            <v>364007.10399999999</v>
          </cell>
          <cell r="AL1621">
            <v>369384.5257</v>
          </cell>
          <cell r="AM1621">
            <v>374817.08319999999</v>
          </cell>
          <cell r="AN1621">
            <v>380306.52179999999</v>
          </cell>
          <cell r="AO1621">
            <v>385853.65010000003</v>
          </cell>
          <cell r="AP1621">
            <v>391360.13640000002</v>
          </cell>
          <cell r="AQ1621">
            <v>396853.21100000001</v>
          </cell>
          <cell r="AR1621">
            <v>402351.12890000001</v>
          </cell>
          <cell r="AS1621">
            <v>407865.61839999998</v>
          </cell>
          <cell r="AT1621">
            <v>413405.79450000002</v>
          </cell>
          <cell r="AU1621">
            <v>418979.6876</v>
          </cell>
          <cell r="AV1621">
            <v>424594.2046</v>
          </cell>
          <cell r="AW1621">
            <v>430255.35029999999</v>
          </cell>
          <cell r="AX1621">
            <v>435968.20569999999</v>
          </cell>
          <cell r="AY1621">
            <v>441737.011</v>
          </cell>
          <cell r="AZ1621">
            <v>447616.09769999998</v>
          </cell>
          <cell r="BA1621">
            <v>453619.69500000001</v>
          </cell>
          <cell r="BB1621">
            <v>459742.36040000001</v>
          </cell>
          <cell r="BC1621">
            <v>465970.58909999998</v>
          </cell>
          <cell r="BD1621">
            <v>472291.12900000002</v>
          </cell>
          <cell r="BE1621">
            <v>520690.10560000001</v>
          </cell>
          <cell r="BF1621">
            <v>529771.0233</v>
          </cell>
          <cell r="BG1621">
            <v>538983.70779999997</v>
          </cell>
          <cell r="BH1621">
            <v>548329.81590000005</v>
          </cell>
          <cell r="BI1621">
            <v>557811.28489999997</v>
          </cell>
        </row>
        <row r="1624">
          <cell r="F1624">
            <v>2252.8033690000002</v>
          </cell>
          <cell r="G1624">
            <v>2273.9898280000002</v>
          </cell>
          <cell r="H1624">
            <v>2291.939335</v>
          </cell>
          <cell r="I1624">
            <v>2309.9334480000002</v>
          </cell>
          <cell r="J1624">
            <v>2329.6951669999999</v>
          </cell>
          <cell r="K1624">
            <v>2351.775294</v>
          </cell>
          <cell r="L1624">
            <v>2375.2099330000001</v>
          </cell>
          <cell r="M1624">
            <v>2400.0791570000001</v>
          </cell>
          <cell r="N1624">
            <v>2426.2875210000002</v>
          </cell>
          <cell r="O1624">
            <v>2453.6725329999999</v>
          </cell>
          <cell r="P1624">
            <v>2483.695412</v>
          </cell>
          <cell r="Q1624">
            <v>2514.032698</v>
          </cell>
          <cell r="R1624">
            <v>2544.8434400000001</v>
          </cell>
          <cell r="S1624">
            <v>2576.239055</v>
          </cell>
          <cell r="T1624">
            <v>2608.241309</v>
          </cell>
          <cell r="U1624">
            <v>2640.838949</v>
          </cell>
          <cell r="V1624">
            <v>2674.0201229999998</v>
          </cell>
          <cell r="W1624">
            <v>2707.7677650000001</v>
          </cell>
          <cell r="X1624">
            <v>2742.068573</v>
          </cell>
          <cell r="Y1624">
            <v>2776.9132220000001</v>
          </cell>
          <cell r="Z1624">
            <v>2811.1004710000002</v>
          </cell>
          <cell r="AA1624">
            <v>2846.2636510000002</v>
          </cell>
          <cell r="AB1624">
            <v>2882.2135119999998</v>
          </cell>
          <cell r="AC1624">
            <v>2918.8165210000002</v>
          </cell>
          <cell r="AD1624">
            <v>2956.019198</v>
          </cell>
          <cell r="AE1624">
            <v>2990.3476719999999</v>
          </cell>
          <cell r="AF1624">
            <v>3024.8893029999999</v>
          </cell>
          <cell r="AG1624">
            <v>3059.6865029999999</v>
          </cell>
          <cell r="AH1624">
            <v>3094.6956230000001</v>
          </cell>
          <cell r="AI1624">
            <v>3129.927494</v>
          </cell>
          <cell r="AJ1624">
            <v>3165.4188199999999</v>
          </cell>
          <cell r="AK1624">
            <v>3201.2103139999999</v>
          </cell>
          <cell r="AL1624">
            <v>3237.342056</v>
          </cell>
          <cell r="AM1624">
            <v>3273.8486090000001</v>
          </cell>
          <cell r="AN1624">
            <v>3310.758476</v>
          </cell>
          <cell r="AO1624">
            <v>3348.094779</v>
          </cell>
          <cell r="AP1624">
            <v>3385.025134</v>
          </cell>
          <cell r="AQ1624">
            <v>3421.8737620000002</v>
          </cell>
          <cell r="AR1624">
            <v>3458.8325530000002</v>
          </cell>
          <cell r="AS1624">
            <v>3495.999221</v>
          </cell>
          <cell r="AT1624">
            <v>3533.4332199999999</v>
          </cell>
          <cell r="AU1624">
            <v>3571.1762210000002</v>
          </cell>
          <cell r="AV1624">
            <v>3609.2660230000001</v>
          </cell>
          <cell r="AW1624">
            <v>3647.7354580000001</v>
          </cell>
          <cell r="AX1624">
            <v>3686.6127310000002</v>
          </cell>
          <cell r="AY1624">
            <v>3725.9218580000002</v>
          </cell>
          <cell r="AZ1624">
            <v>3765.646702</v>
          </cell>
          <cell r="BA1624">
            <v>3805.7863520000001</v>
          </cell>
          <cell r="BB1624">
            <v>3846.3948679999999</v>
          </cell>
          <cell r="BC1624">
            <v>3887.531978</v>
          </cell>
          <cell r="BD1624">
            <v>3929.245324</v>
          </cell>
          <cell r="BE1624">
            <v>4426.5473080000002</v>
          </cell>
          <cell r="BF1624">
            <v>4495.1861529999996</v>
          </cell>
          <cell r="BG1624">
            <v>4564.88544</v>
          </cell>
          <cell r="BH1624">
            <v>4635.66716</v>
          </cell>
          <cell r="BI1624">
            <v>4707.5559839999996</v>
          </cell>
        </row>
        <row r="1629">
          <cell r="F1629">
            <v>3648.9941819999999</v>
          </cell>
          <cell r="G1629">
            <v>3685.402869</v>
          </cell>
          <cell r="H1629">
            <v>3715.1096649999999</v>
          </cell>
          <cell r="I1629">
            <v>3741.769178</v>
          </cell>
          <cell r="J1629">
            <v>3768.2074469999998</v>
          </cell>
          <cell r="K1629">
            <v>3795.9206899999999</v>
          </cell>
          <cell r="L1629">
            <v>3824.0612289999999</v>
          </cell>
          <cell r="M1629">
            <v>3852.9617830000002</v>
          </cell>
          <cell r="N1629">
            <v>3882.7545869999999</v>
          </cell>
          <cell r="O1629">
            <v>3913.4088190000002</v>
          </cell>
          <cell r="P1629">
            <v>3947.2476219999999</v>
          </cell>
          <cell r="Q1629">
            <v>3981.2191130000001</v>
          </cell>
          <cell r="R1629">
            <v>4015.267605</v>
          </cell>
          <cell r="S1629">
            <v>4049.5981940000001</v>
          </cell>
          <cell r="T1629">
            <v>4084.3418569999999</v>
          </cell>
          <cell r="U1629">
            <v>4119.5673690000003</v>
          </cell>
          <cell r="V1629">
            <v>4155.3284940000003</v>
          </cell>
          <cell r="W1629">
            <v>4191.6545150000002</v>
          </cell>
          <cell r="X1629">
            <v>4228.5698229999998</v>
          </cell>
          <cell r="Y1629">
            <v>4266.1018940000004</v>
          </cell>
          <cell r="Z1629">
            <v>4302.5525109999999</v>
          </cell>
          <cell r="AA1629">
            <v>4340.1212070000001</v>
          </cell>
          <cell r="AB1629">
            <v>4378.850899</v>
          </cell>
          <cell r="AC1629">
            <v>4418.615804</v>
          </cell>
          <cell r="AD1629">
            <v>4459.3533770000004</v>
          </cell>
          <cell r="AE1629">
            <v>4496.1165000000001</v>
          </cell>
          <cell r="AF1629">
            <v>4532.7376190000004</v>
          </cell>
          <cell r="AG1629">
            <v>4569.80123</v>
          </cell>
          <cell r="AH1629">
            <v>4607.4316120000003</v>
          </cell>
          <cell r="AI1629">
            <v>4645.7196919999997</v>
          </cell>
          <cell r="AJ1629">
            <v>4684.7622140000003</v>
          </cell>
          <cell r="AK1629">
            <v>4724.6492200000002</v>
          </cell>
          <cell r="AL1629">
            <v>4765.4642100000001</v>
          </cell>
          <cell r="AM1629">
            <v>4807.2777999999998</v>
          </cell>
          <cell r="AN1629">
            <v>4850.1458419999999</v>
          </cell>
          <cell r="AO1629">
            <v>4894.1100779999997</v>
          </cell>
          <cell r="AP1629">
            <v>4938.0007779999996</v>
          </cell>
          <cell r="AQ1629">
            <v>4982.1191129999997</v>
          </cell>
          <cell r="AR1629">
            <v>5026.7696420000002</v>
          </cell>
          <cell r="AS1629">
            <v>5072.142476</v>
          </cell>
          <cell r="AT1629">
            <v>5118.3540620000003</v>
          </cell>
          <cell r="AU1629">
            <v>5165.4745620000003</v>
          </cell>
          <cell r="AV1629">
            <v>5213.5576279999996</v>
          </cell>
          <cell r="AW1629">
            <v>5262.644182</v>
          </cell>
          <cell r="AX1629">
            <v>5312.764459</v>
          </cell>
          <cell r="AY1629">
            <v>5363.9397179999996</v>
          </cell>
          <cell r="AZ1629">
            <v>5416.0062390000003</v>
          </cell>
          <cell r="BA1629">
            <v>5468.924352</v>
          </cell>
          <cell r="BB1629">
            <v>5522.8278680000003</v>
          </cell>
          <cell r="BC1629">
            <v>5577.9028820000003</v>
          </cell>
          <cell r="BD1629">
            <v>5634.3110299999998</v>
          </cell>
          <cell r="BE1629">
            <v>6403.448018</v>
          </cell>
          <cell r="BF1629">
            <v>6503.0164150000001</v>
          </cell>
          <cell r="BG1629">
            <v>6604.5586430000003</v>
          </cell>
          <cell r="BH1629">
            <v>6708.0768269999999</v>
          </cell>
          <cell r="BI1629">
            <v>6813.5759399999997</v>
          </cell>
        </row>
        <row r="1639">
          <cell r="F1639">
            <v>473221.76260000002</v>
          </cell>
          <cell r="G1639">
            <v>479568.59769999998</v>
          </cell>
          <cell r="H1639">
            <v>486497.21899999998</v>
          </cell>
          <cell r="I1639">
            <v>493943.45360000001</v>
          </cell>
          <cell r="J1639">
            <v>501859.0306</v>
          </cell>
          <cell r="K1639">
            <v>510217.72769999999</v>
          </cell>
          <cell r="L1639">
            <v>518802.7561</v>
          </cell>
          <cell r="M1639">
            <v>527649.24329999997</v>
          </cell>
          <cell r="N1639">
            <v>536776.32220000005</v>
          </cell>
          <cell r="O1639">
            <v>546187.38179999997</v>
          </cell>
          <cell r="P1639">
            <v>556232.31999999995</v>
          </cell>
          <cell r="Q1639">
            <v>566461.09069999994</v>
          </cell>
          <cell r="R1639">
            <v>576889.77249999996</v>
          </cell>
          <cell r="S1639">
            <v>587530.53700000001</v>
          </cell>
          <cell r="T1639">
            <v>598384.58849999995</v>
          </cell>
          <cell r="U1639">
            <v>609449.63650000002</v>
          </cell>
          <cell r="V1639">
            <v>620723.6568</v>
          </cell>
          <cell r="W1639">
            <v>632206.00870000001</v>
          </cell>
          <cell r="X1639">
            <v>643897.31030000001</v>
          </cell>
          <cell r="Y1639">
            <v>655798.90170000005</v>
          </cell>
          <cell r="Z1639">
            <v>667642.23659999995</v>
          </cell>
          <cell r="AA1639">
            <v>679762.82070000004</v>
          </cell>
          <cell r="AB1639">
            <v>692142.08849999995</v>
          </cell>
          <cell r="AC1639">
            <v>704763.63040000002</v>
          </cell>
          <cell r="AD1639">
            <v>717619.16079999995</v>
          </cell>
          <cell r="AE1639">
            <v>729913.14540000004</v>
          </cell>
          <cell r="AF1639">
            <v>742240.42619999999</v>
          </cell>
          <cell r="AG1639">
            <v>754622.67409999995</v>
          </cell>
          <cell r="AH1639">
            <v>767063.83959999995</v>
          </cell>
          <cell r="AI1639">
            <v>779571.45160000003</v>
          </cell>
          <cell r="AJ1639">
            <v>792153.58149999997</v>
          </cell>
          <cell r="AK1639">
            <v>804816.16139999998</v>
          </cell>
          <cell r="AL1639">
            <v>817561.875</v>
          </cell>
          <cell r="AM1639">
            <v>830390.18660000002</v>
          </cell>
          <cell r="AN1639">
            <v>843297.98939999996</v>
          </cell>
          <cell r="AO1639">
            <v>856280.48990000004</v>
          </cell>
          <cell r="AP1639">
            <v>869136.76130000001</v>
          </cell>
          <cell r="AQ1639">
            <v>881904.54150000005</v>
          </cell>
          <cell r="AR1639">
            <v>894609.01820000005</v>
          </cell>
          <cell r="AS1639">
            <v>907265.01309999998</v>
          </cell>
          <cell r="AT1639">
            <v>919883.56700000004</v>
          </cell>
          <cell r="AU1639">
            <v>932535.95010000002</v>
          </cell>
          <cell r="AV1639">
            <v>945261.50100000005</v>
          </cell>
          <cell r="AW1639">
            <v>958069.42799999996</v>
          </cell>
          <cell r="AX1639">
            <v>970951.35730000003</v>
          </cell>
          <cell r="AY1639">
            <v>983893.45589999994</v>
          </cell>
          <cell r="AZ1639">
            <v>996901.73540000001</v>
          </cell>
          <cell r="BA1639">
            <v>1009965.3</v>
          </cell>
          <cell r="BB1639">
            <v>1023079.567</v>
          </cell>
          <cell r="BC1639">
            <v>1036245.032</v>
          </cell>
          <cell r="BD1639">
            <v>1049465.4280000001</v>
          </cell>
          <cell r="BE1639">
            <v>1178106.1470000001</v>
          </cell>
          <cell r="BF1639">
            <v>1199473.1200000001</v>
          </cell>
          <cell r="BG1639">
            <v>1221043.7919999999</v>
          </cell>
          <cell r="BH1639">
            <v>1242814.6680000001</v>
          </cell>
          <cell r="BI1639">
            <v>1264783.2679999999</v>
          </cell>
        </row>
        <row r="1640">
          <cell r="F1640">
            <v>4446.8309810000001</v>
          </cell>
          <cell r="G1640">
            <v>4498.192693</v>
          </cell>
          <cell r="H1640">
            <v>4548.4212450000005</v>
          </cell>
          <cell r="I1640">
            <v>4598.856194</v>
          </cell>
          <cell r="J1640">
            <v>4650.3639460000004</v>
          </cell>
          <cell r="K1640">
            <v>4703.4026489999997</v>
          </cell>
          <cell r="L1640">
            <v>4755.4419239999997</v>
          </cell>
          <cell r="M1640">
            <v>4807.8343160000004</v>
          </cell>
          <cell r="N1640">
            <v>4861.041408</v>
          </cell>
          <cell r="O1640">
            <v>4915.1116549999997</v>
          </cell>
          <cell r="P1640">
            <v>4974.5858600000001</v>
          </cell>
          <cell r="Q1640">
            <v>5032.2126060000001</v>
          </cell>
          <cell r="R1640">
            <v>5089.1752379999998</v>
          </cell>
          <cell r="S1640">
            <v>5145.893239</v>
          </cell>
          <cell r="T1640">
            <v>5202.4457199999997</v>
          </cell>
          <cell r="U1640">
            <v>5258.8208990000003</v>
          </cell>
          <cell r="V1640">
            <v>5315.0021909999996</v>
          </cell>
          <cell r="W1640">
            <v>5370.9943679999997</v>
          </cell>
          <cell r="X1640">
            <v>5426.8279169999996</v>
          </cell>
          <cell r="Y1640">
            <v>5482.5557749999998</v>
          </cell>
          <cell r="Z1640">
            <v>5534.9045290000004</v>
          </cell>
          <cell r="AA1640">
            <v>5589.0587910000004</v>
          </cell>
          <cell r="AB1640">
            <v>5644.0935570000001</v>
          </cell>
          <cell r="AC1640">
            <v>5699.6691010000004</v>
          </cell>
          <cell r="AD1640">
            <v>5755.7136780000001</v>
          </cell>
          <cell r="AE1640">
            <v>5802.7831150000002</v>
          </cell>
          <cell r="AF1640">
            <v>5850.9135249999999</v>
          </cell>
          <cell r="AG1640">
            <v>5899.5796819999996</v>
          </cell>
          <cell r="AH1640">
            <v>5948.5857969999997</v>
          </cell>
          <cell r="AI1640">
            <v>5997.9361790000003</v>
          </cell>
          <cell r="AJ1640">
            <v>6047.6860319999996</v>
          </cell>
          <cell r="AK1640">
            <v>6097.8901690000002</v>
          </cell>
          <cell r="AL1640">
            <v>6148.5875340000002</v>
          </cell>
          <cell r="AM1640">
            <v>6199.7993399999996</v>
          </cell>
          <cell r="AN1640">
            <v>6251.5322079999996</v>
          </cell>
          <cell r="AO1640">
            <v>6303.7827150000003</v>
          </cell>
          <cell r="AP1640">
            <v>6354.3656410000003</v>
          </cell>
          <cell r="AQ1640">
            <v>6404.4219860000003</v>
          </cell>
          <cell r="AR1640">
            <v>6454.4444430000003</v>
          </cell>
          <cell r="AS1640">
            <v>6504.6513400000003</v>
          </cell>
          <cell r="AT1640">
            <v>6555.1509690000003</v>
          </cell>
          <cell r="AU1640">
            <v>6608.4025380000003</v>
          </cell>
          <cell r="AV1640">
            <v>6664.491524</v>
          </cell>
          <cell r="AW1640">
            <v>6722.969666</v>
          </cell>
          <cell r="AX1640">
            <v>6783.3386229999996</v>
          </cell>
          <cell r="AY1640">
            <v>6845.2019799999998</v>
          </cell>
          <cell r="AZ1640">
            <v>6908.4778409999999</v>
          </cell>
          <cell r="BA1640">
            <v>6972.901237</v>
          </cell>
          <cell r="BB1640">
            <v>7038.340596</v>
          </cell>
          <cell r="BC1640">
            <v>7104.734907</v>
          </cell>
          <cell r="BD1640">
            <v>7172.0579770000004</v>
          </cell>
          <cell r="BE1640">
            <v>10203.664870000001</v>
          </cell>
          <cell r="BF1640">
            <v>10378.79773</v>
          </cell>
          <cell r="BG1640">
            <v>10556.48702</v>
          </cell>
          <cell r="BH1640">
            <v>10736.797769999999</v>
          </cell>
          <cell r="BI1640">
            <v>10919.79932</v>
          </cell>
        </row>
        <row r="1643">
          <cell r="F1643">
            <v>235098.87210000001</v>
          </cell>
          <cell r="G1643">
            <v>238348.51370000001</v>
          </cell>
          <cell r="H1643">
            <v>241941.9676</v>
          </cell>
          <cell r="I1643">
            <v>245803.0998</v>
          </cell>
          <cell r="J1643">
            <v>249888.75949999999</v>
          </cell>
          <cell r="K1643">
            <v>254184.3891</v>
          </cell>
          <cell r="L1643">
            <v>258601.10339999999</v>
          </cell>
          <cell r="M1643">
            <v>263156.96130000002</v>
          </cell>
          <cell r="N1643">
            <v>267866.52840000001</v>
          </cell>
          <cell r="O1643">
            <v>272737.2144</v>
          </cell>
          <cell r="P1643">
            <v>277927.0773</v>
          </cell>
          <cell r="Q1643">
            <v>283252.15470000001</v>
          </cell>
          <cell r="R1643">
            <v>288713.92839999998</v>
          </cell>
          <cell r="S1643">
            <v>294315.76140000002</v>
          </cell>
          <cell r="T1643">
            <v>300057.68349999998</v>
          </cell>
          <cell r="U1643">
            <v>305938.26089999999</v>
          </cell>
          <cell r="V1643">
            <v>311955.92959999997</v>
          </cell>
          <cell r="W1643">
            <v>318109.55050000001</v>
          </cell>
          <cell r="X1643">
            <v>324398.4633</v>
          </cell>
          <cell r="Y1643">
            <v>330822.30450000003</v>
          </cell>
          <cell r="Z1643">
            <v>337261.42619999999</v>
          </cell>
          <cell r="AA1643">
            <v>343854.06420000002</v>
          </cell>
          <cell r="AB1643">
            <v>350596.34350000002</v>
          </cell>
          <cell r="AC1643">
            <v>357481.80469999998</v>
          </cell>
          <cell r="AD1643">
            <v>364505.82319999998</v>
          </cell>
          <cell r="AE1643">
            <v>371314.1776</v>
          </cell>
          <cell r="AF1643">
            <v>378141.63059999997</v>
          </cell>
          <cell r="AG1643">
            <v>384999.14510000002</v>
          </cell>
          <cell r="AH1643">
            <v>391887.08130000002</v>
          </cell>
          <cell r="AI1643">
            <v>398805.30810000002</v>
          </cell>
          <cell r="AJ1643">
            <v>405753.38380000001</v>
          </cell>
          <cell r="AK1643">
            <v>412729.98330000002</v>
          </cell>
          <cell r="AL1643">
            <v>419732.51760000002</v>
          </cell>
          <cell r="AM1643">
            <v>426757.0919</v>
          </cell>
          <cell r="AN1643">
            <v>433798.73320000002</v>
          </cell>
          <cell r="AO1643">
            <v>440851.76360000001</v>
          </cell>
          <cell r="AP1643">
            <v>447823.01329999999</v>
          </cell>
          <cell r="AQ1643">
            <v>454718.96470000001</v>
          </cell>
          <cell r="AR1643">
            <v>461544.88559999998</v>
          </cell>
          <cell r="AS1643">
            <v>468303.32630000002</v>
          </cell>
          <cell r="AT1643">
            <v>474995.8959</v>
          </cell>
          <cell r="AU1643">
            <v>481653.86060000001</v>
          </cell>
          <cell r="AV1643">
            <v>488298.8039</v>
          </cell>
          <cell r="AW1643">
            <v>494937.87319999997</v>
          </cell>
          <cell r="AX1643">
            <v>501567.8798</v>
          </cell>
          <cell r="AY1643">
            <v>508181.23509999999</v>
          </cell>
          <cell r="AZ1643">
            <v>514778.38699999999</v>
          </cell>
          <cell r="BA1643">
            <v>521352.96279999998</v>
          </cell>
          <cell r="BB1643">
            <v>527901.70380000002</v>
          </cell>
          <cell r="BC1643">
            <v>534424.34779999999</v>
          </cell>
          <cell r="BD1643">
            <v>540922.8885</v>
          </cell>
          <cell r="BE1643">
            <v>617696.26529999997</v>
          </cell>
          <cell r="BF1643">
            <v>629357.23699999996</v>
          </cell>
          <cell r="BG1643">
            <v>641083.97759999998</v>
          </cell>
          <cell r="BH1643">
            <v>652870.74470000004</v>
          </cell>
          <cell r="BI1643">
            <v>664712.53189999994</v>
          </cell>
        </row>
        <row r="1655">
          <cell r="F1655">
            <v>8024.1534650000003</v>
          </cell>
          <cell r="G1655">
            <v>8132.4316079999999</v>
          </cell>
          <cell r="H1655">
            <v>8249.5808020000004</v>
          </cell>
          <cell r="I1655">
            <v>8374.2425359999997</v>
          </cell>
          <cell r="J1655">
            <v>8505.6266009999999</v>
          </cell>
          <cell r="K1655">
            <v>8643.1528450000005</v>
          </cell>
          <cell r="L1655">
            <v>8782.0109310000007</v>
          </cell>
          <cell r="M1655">
            <v>8923.6190559999995</v>
          </cell>
          <cell r="N1655">
            <v>9068.4223889999994</v>
          </cell>
          <cell r="O1655">
            <v>9216.420564</v>
          </cell>
          <cell r="P1655">
            <v>9375.0437249999995</v>
          </cell>
          <cell r="Q1655">
            <v>9533.1442599999991</v>
          </cell>
          <cell r="R1655">
            <v>9692.3801029999995</v>
          </cell>
          <cell r="S1655">
            <v>9853.4699860000001</v>
          </cell>
          <cell r="T1655">
            <v>10016.62614</v>
          </cell>
          <cell r="U1655">
            <v>10181.91337</v>
          </cell>
          <cell r="V1655">
            <v>10349.378650000001</v>
          </cell>
          <cell r="W1655">
            <v>10519.08669</v>
          </cell>
          <cell r="X1655">
            <v>10691.12211</v>
          </cell>
          <cell r="Y1655">
            <v>10865.58245</v>
          </cell>
          <cell r="Z1655">
            <v>11036.827370000001</v>
          </cell>
          <cell r="AA1655">
            <v>11213.287329999999</v>
          </cell>
          <cell r="AB1655">
            <v>11393.69738</v>
          </cell>
          <cell r="AC1655">
            <v>11577.51914</v>
          </cell>
          <cell r="AD1655">
            <v>11764.61427</v>
          </cell>
          <cell r="AE1655">
            <v>11938.20472</v>
          </cell>
          <cell r="AF1655">
            <v>12114.636570000001</v>
          </cell>
          <cell r="AG1655">
            <v>12293.421200000001</v>
          </cell>
          <cell r="AH1655">
            <v>12474.359920000001</v>
          </cell>
          <cell r="AI1655">
            <v>12657.578530000001</v>
          </cell>
          <cell r="AJ1655">
            <v>12843.289870000001</v>
          </cell>
          <cell r="AK1655">
            <v>13031.690839999999</v>
          </cell>
          <cell r="AL1655">
            <v>13222.928089999999</v>
          </cell>
          <cell r="AM1655">
            <v>13417.09455</v>
          </cell>
          <cell r="AN1655">
            <v>13614.23871</v>
          </cell>
          <cell r="AO1655">
            <v>13814.377570000001</v>
          </cell>
          <cell r="AP1655">
            <v>14013.363719999999</v>
          </cell>
          <cell r="AQ1655">
            <v>14212.99509</v>
          </cell>
          <cell r="AR1655">
            <v>14414.108319999999</v>
          </cell>
          <cell r="AS1655">
            <v>14617.09708</v>
          </cell>
          <cell r="AT1655">
            <v>14822.20226</v>
          </cell>
          <cell r="AU1655">
            <v>15030.52752</v>
          </cell>
          <cell r="AV1655">
            <v>15242.59172</v>
          </cell>
          <cell r="AW1655">
            <v>15458.479069999999</v>
          </cell>
          <cell r="AX1655">
            <v>15678.05832</v>
          </cell>
          <cell r="AY1655">
            <v>15901.148660000001</v>
          </cell>
          <cell r="AZ1655">
            <v>16127.986699999999</v>
          </cell>
          <cell r="BA1655">
            <v>16358.3194</v>
          </cell>
          <cell r="BB1655">
            <v>16592.033299999999</v>
          </cell>
          <cell r="BC1655">
            <v>16829.088629999998</v>
          </cell>
          <cell r="BD1655">
            <v>17069.476340000001</v>
          </cell>
          <cell r="BE1655">
            <v>18375.041580000001</v>
          </cell>
          <cell r="BF1655">
            <v>18700.720560000002</v>
          </cell>
          <cell r="BG1655">
            <v>19032.156940000001</v>
          </cell>
          <cell r="BH1655">
            <v>19369.446889999999</v>
          </cell>
          <cell r="BI1655">
            <v>19712.689709999999</v>
          </cell>
        </row>
        <row r="1660">
          <cell r="F1660">
            <v>219750.6231</v>
          </cell>
          <cell r="G1660">
            <v>222634.473</v>
          </cell>
          <cell r="H1660">
            <v>225758.32250000001</v>
          </cell>
          <cell r="I1660">
            <v>229126.61</v>
          </cell>
          <cell r="J1660">
            <v>232730.01149999999</v>
          </cell>
          <cell r="K1660">
            <v>236555.53140000001</v>
          </cell>
          <cell r="L1660">
            <v>240484.47020000001</v>
          </cell>
          <cell r="M1660">
            <v>244530.60279999999</v>
          </cell>
          <cell r="N1660">
            <v>248697.44940000001</v>
          </cell>
          <cell r="O1660">
            <v>252981.07260000001</v>
          </cell>
          <cell r="P1660">
            <v>257557.5368</v>
          </cell>
          <cell r="Q1660">
            <v>262184.54399999999</v>
          </cell>
          <cell r="R1660">
            <v>266873.75530000002</v>
          </cell>
          <cell r="S1660">
            <v>271632.53460000001</v>
          </cell>
          <cell r="T1660">
            <v>276461.61330000003</v>
          </cell>
          <cell r="U1660">
            <v>281360.00390000001</v>
          </cell>
          <cell r="V1660">
            <v>286327.16729999997</v>
          </cell>
          <cell r="W1660">
            <v>291363.49599999998</v>
          </cell>
          <cell r="X1660">
            <v>296470.12530000001</v>
          </cell>
          <cell r="Y1660">
            <v>301648.58350000001</v>
          </cell>
          <cell r="Z1660">
            <v>306761.78009999997</v>
          </cell>
          <cell r="AA1660">
            <v>311989.55489999999</v>
          </cell>
          <cell r="AB1660">
            <v>317319.56449999998</v>
          </cell>
          <cell r="AC1660">
            <v>322743.00339999999</v>
          </cell>
          <cell r="AD1660">
            <v>328256.54009999998</v>
          </cell>
          <cell r="AE1660">
            <v>333453.4755</v>
          </cell>
          <cell r="AF1660">
            <v>338660.59279999998</v>
          </cell>
          <cell r="AG1660">
            <v>343888.98810000002</v>
          </cell>
          <cell r="AH1660">
            <v>349142.56339999998</v>
          </cell>
          <cell r="AI1660">
            <v>354428.74170000001</v>
          </cell>
          <cell r="AJ1660">
            <v>359755.62709999998</v>
          </cell>
          <cell r="AK1660">
            <v>365130.0797</v>
          </cell>
          <cell r="AL1660">
            <v>370557.05479999998</v>
          </cell>
          <cell r="AM1660">
            <v>376039.68489999999</v>
          </cell>
          <cell r="AN1660">
            <v>381579.69020000001</v>
          </cell>
          <cell r="AO1660">
            <v>387177.8702</v>
          </cell>
          <cell r="AP1660">
            <v>392734.73430000001</v>
          </cell>
          <cell r="AQ1660">
            <v>398277.9731</v>
          </cell>
          <cell r="AR1660">
            <v>403825.58559999999</v>
          </cell>
          <cell r="AS1660">
            <v>409388.82280000002</v>
          </cell>
          <cell r="AT1660">
            <v>414976.52179999999</v>
          </cell>
          <cell r="AU1660">
            <v>420625.31140000001</v>
          </cell>
          <cell r="AV1660">
            <v>426352.51559999998</v>
          </cell>
          <cell r="AW1660">
            <v>432160.61379999999</v>
          </cell>
          <cell r="AX1660">
            <v>438044.95809999999</v>
          </cell>
          <cell r="AY1660">
            <v>443999.68800000002</v>
          </cell>
          <cell r="AZ1660">
            <v>450029.81650000002</v>
          </cell>
          <cell r="BA1660">
            <v>456131.20409999997</v>
          </cell>
          <cell r="BB1660">
            <v>462302.67589999997</v>
          </cell>
          <cell r="BC1660">
            <v>468545.03159999999</v>
          </cell>
          <cell r="BD1660">
            <v>474860.016</v>
          </cell>
          <cell r="BE1660">
            <v>521119.83889999997</v>
          </cell>
          <cell r="BF1660">
            <v>530169.70979999995</v>
          </cell>
          <cell r="BG1660">
            <v>539346.7709</v>
          </cell>
          <cell r="BH1660">
            <v>548653.06019999995</v>
          </cell>
          <cell r="BI1660">
            <v>558090.89249999996</v>
          </cell>
        </row>
        <row r="1663">
          <cell r="F1663">
            <v>2252.5183419999998</v>
          </cell>
          <cell r="G1663">
            <v>2273.0165940000002</v>
          </cell>
          <cell r="H1663">
            <v>2290.3019049999998</v>
          </cell>
          <cell r="I1663">
            <v>2307.706561</v>
          </cell>
          <cell r="J1663">
            <v>2326.8933780000002</v>
          </cell>
          <cell r="K1663">
            <v>2348.335853</v>
          </cell>
          <cell r="L1663">
            <v>2371.0879629999999</v>
          </cell>
          <cell r="M1663">
            <v>2395.2544929999999</v>
          </cell>
          <cell r="N1663">
            <v>2420.7531130000002</v>
          </cell>
          <cell r="O1663">
            <v>2447.4266750000002</v>
          </cell>
          <cell r="P1663">
            <v>2476.7356410000002</v>
          </cell>
          <cell r="Q1663">
            <v>2506.3523620000001</v>
          </cell>
          <cell r="R1663">
            <v>2536.4352530000001</v>
          </cell>
          <cell r="S1663">
            <v>2567.094689</v>
          </cell>
          <cell r="T1663">
            <v>2598.3527119999999</v>
          </cell>
          <cell r="U1663">
            <v>2630.2018969999999</v>
          </cell>
          <cell r="V1663">
            <v>2662.6295759999998</v>
          </cell>
          <cell r="W1663">
            <v>2695.6243340000001</v>
          </cell>
          <cell r="X1663">
            <v>2729.176782</v>
          </cell>
          <cell r="Y1663">
            <v>2763.2790909999999</v>
          </cell>
          <cell r="Z1663">
            <v>2796.732622</v>
          </cell>
          <cell r="AA1663">
            <v>2831.1658259999999</v>
          </cell>
          <cell r="AB1663">
            <v>2866.3873939999999</v>
          </cell>
          <cell r="AC1663">
            <v>2902.2623469999999</v>
          </cell>
          <cell r="AD1663">
            <v>2938.7362929999999</v>
          </cell>
          <cell r="AE1663">
            <v>2972.34528</v>
          </cell>
          <cell r="AF1663">
            <v>3006.1721769999999</v>
          </cell>
          <cell r="AG1663">
            <v>3040.2576370000002</v>
          </cell>
          <cell r="AH1663">
            <v>3074.5574790000001</v>
          </cell>
          <cell r="AI1663">
            <v>3109.0827469999999</v>
          </cell>
          <cell r="AJ1663">
            <v>3143.8708200000001</v>
          </cell>
          <cell r="AK1663">
            <v>3178.9650790000001</v>
          </cell>
          <cell r="AL1663">
            <v>3214.4061830000001</v>
          </cell>
          <cell r="AM1663">
            <v>3250.2291479999999</v>
          </cell>
          <cell r="AN1663">
            <v>3286.4629319999999</v>
          </cell>
          <cell r="AO1663">
            <v>3323.13105</v>
          </cell>
          <cell r="AP1663">
            <v>3359.4211009999999</v>
          </cell>
          <cell r="AQ1663">
            <v>3395.6529329999998</v>
          </cell>
          <cell r="AR1663">
            <v>3432.0441040000001</v>
          </cell>
          <cell r="AS1663">
            <v>3468.7200830000002</v>
          </cell>
          <cell r="AT1663">
            <v>3505.7485339999998</v>
          </cell>
          <cell r="AU1663">
            <v>3543.0811239999998</v>
          </cell>
          <cell r="AV1663">
            <v>3580.7138580000001</v>
          </cell>
          <cell r="AW1663">
            <v>3618.6705470000002</v>
          </cell>
          <cell r="AX1663">
            <v>3656.9920470000002</v>
          </cell>
          <cell r="AY1663">
            <v>3695.7282369999998</v>
          </cell>
          <cell r="AZ1663">
            <v>3735.0039729999999</v>
          </cell>
          <cell r="BA1663">
            <v>3774.834926</v>
          </cell>
          <cell r="BB1663">
            <v>3815.2397340000002</v>
          </cell>
          <cell r="BC1663">
            <v>3856.2365220000002</v>
          </cell>
          <cell r="BD1663">
            <v>3897.8394229999999</v>
          </cell>
          <cell r="BE1663">
            <v>4416.6468480000003</v>
          </cell>
          <cell r="BF1663">
            <v>4483.9938819999998</v>
          </cell>
          <cell r="BG1663">
            <v>4552.3246609999997</v>
          </cell>
          <cell r="BH1663">
            <v>4621.6617919999999</v>
          </cell>
          <cell r="BI1663">
            <v>4692.0295589999996</v>
          </cell>
        </row>
        <row r="1668">
          <cell r="F1668">
            <v>3648.7645360000001</v>
          </cell>
          <cell r="G1668">
            <v>3681.9700640000001</v>
          </cell>
          <cell r="H1668">
            <v>3708.6249389999998</v>
          </cell>
          <cell r="I1668">
            <v>3732.9385929999999</v>
          </cell>
          <cell r="J1668">
            <v>3757.3755780000001</v>
          </cell>
          <cell r="K1668">
            <v>3782.9158969999999</v>
          </cell>
          <cell r="L1668">
            <v>3808.6416880000002</v>
          </cell>
          <cell r="M1668">
            <v>3834.971286</v>
          </cell>
          <cell r="N1668">
            <v>3862.1274039999998</v>
          </cell>
          <cell r="O1668">
            <v>3890.1359499999999</v>
          </cell>
          <cell r="P1668">
            <v>3921.3406930000001</v>
          </cell>
          <cell r="Q1668">
            <v>3952.6828099999998</v>
          </cell>
          <cell r="R1668">
            <v>3984.0982170000002</v>
          </cell>
          <cell r="S1668">
            <v>4015.7831070000002</v>
          </cell>
          <cell r="T1668">
            <v>4047.8671760000002</v>
          </cell>
          <cell r="U1668">
            <v>4080.4354389999999</v>
          </cell>
          <cell r="V1668">
            <v>4113.5495199999996</v>
          </cell>
          <cell r="W1668">
            <v>4147.2567310000004</v>
          </cell>
          <cell r="X1668">
            <v>4181.5949520000004</v>
          </cell>
          <cell r="Y1668">
            <v>4216.5964169999997</v>
          </cell>
          <cell r="Z1668">
            <v>4250.5657510000001</v>
          </cell>
          <cell r="AA1668">
            <v>4285.6896790000001</v>
          </cell>
          <cell r="AB1668">
            <v>4322.0021820000002</v>
          </cell>
          <cell r="AC1668">
            <v>4359.3716850000001</v>
          </cell>
          <cell r="AD1668">
            <v>4397.733303</v>
          </cell>
          <cell r="AE1668">
            <v>4432.1592259999998</v>
          </cell>
          <cell r="AF1668">
            <v>4466.4804679999997</v>
          </cell>
          <cell r="AG1668">
            <v>4501.2822990000004</v>
          </cell>
          <cell r="AH1668">
            <v>4536.6916869999995</v>
          </cell>
          <cell r="AI1668">
            <v>4572.8044129999998</v>
          </cell>
          <cell r="AJ1668">
            <v>4609.7239900000004</v>
          </cell>
          <cell r="AK1668">
            <v>4647.5522920000003</v>
          </cell>
          <cell r="AL1668">
            <v>4686.3808479999998</v>
          </cell>
          <cell r="AM1668">
            <v>4726.2868019999996</v>
          </cell>
          <cell r="AN1668">
            <v>4767.3321370000003</v>
          </cell>
          <cell r="AO1668">
            <v>4809.5647859999999</v>
          </cell>
          <cell r="AP1668">
            <v>4851.8632589999997</v>
          </cell>
          <cell r="AQ1668">
            <v>4894.5337319999999</v>
          </cell>
          <cell r="AR1668">
            <v>4937.9501490000002</v>
          </cell>
          <cell r="AS1668">
            <v>4982.3954320000003</v>
          </cell>
          <cell r="AT1668">
            <v>5028.0475839999999</v>
          </cell>
          <cell r="AU1668">
            <v>5074.7669329999999</v>
          </cell>
          <cell r="AV1668">
            <v>5122.3844360000003</v>
          </cell>
          <cell r="AW1668">
            <v>5170.821672</v>
          </cell>
          <cell r="AX1668">
            <v>5220.1304490000002</v>
          </cell>
          <cell r="AY1668">
            <v>5270.4539519999998</v>
          </cell>
          <cell r="AZ1668">
            <v>5322.0634339999997</v>
          </cell>
          <cell r="BA1668">
            <v>5375.07798</v>
          </cell>
          <cell r="BB1668">
            <v>5429.573316</v>
          </cell>
          <cell r="BC1668">
            <v>5485.5920779999997</v>
          </cell>
          <cell r="BD1668">
            <v>5543.1500310000001</v>
          </cell>
          <cell r="BE1668">
            <v>6294.689676</v>
          </cell>
          <cell r="BF1668">
            <v>6382.6613719999996</v>
          </cell>
          <cell r="BG1668">
            <v>6472.0753290000002</v>
          </cell>
          <cell r="BH1668">
            <v>6562.95615</v>
          </cell>
          <cell r="BI1668">
            <v>6655.3246710000003</v>
          </cell>
        </row>
        <row r="1702">
          <cell r="F1702">
            <v>1202869.3259999999</v>
          </cell>
          <cell r="G1702">
            <v>1218258.595</v>
          </cell>
          <cell r="H1702">
            <v>1234870.835</v>
          </cell>
          <cell r="I1702">
            <v>1252485.2690000001</v>
          </cell>
          <cell r="J1702">
            <v>1271024.94</v>
          </cell>
          <cell r="K1702">
            <v>1290488.23</v>
          </cell>
          <cell r="L1702">
            <v>1310267.1000000001</v>
          </cell>
          <cell r="M1702">
            <v>1330463.6200000001</v>
          </cell>
          <cell r="N1702">
            <v>1351102.868</v>
          </cell>
          <cell r="O1702">
            <v>1372172.834</v>
          </cell>
          <cell r="P1702">
            <v>1394705.649</v>
          </cell>
          <cell r="Q1702">
            <v>1417354.7050000001</v>
          </cell>
          <cell r="R1702">
            <v>1440149.862</v>
          </cell>
          <cell r="S1702">
            <v>1463077.878</v>
          </cell>
          <cell r="T1702">
            <v>1486130.4350000001</v>
          </cell>
          <cell r="U1702">
            <v>1509313.139</v>
          </cell>
          <cell r="V1702">
            <v>1532641.807</v>
          </cell>
          <cell r="W1702">
            <v>1556138.04</v>
          </cell>
          <cell r="X1702">
            <v>1579823.79</v>
          </cell>
          <cell r="Y1702">
            <v>1603718.865</v>
          </cell>
          <cell r="Z1702">
            <v>1627048.8289999999</v>
          </cell>
          <cell r="AA1702">
            <v>1650800.1529999999</v>
          </cell>
          <cell r="AB1702">
            <v>1674936.3459999999</v>
          </cell>
          <cell r="AC1702">
            <v>1699451.8629999999</v>
          </cell>
          <cell r="AD1702">
            <v>1724340.1529999999</v>
          </cell>
          <cell r="AE1702">
            <v>1747301.682</v>
          </cell>
          <cell r="AF1702">
            <v>1770047.355</v>
          </cell>
          <cell r="AG1702">
            <v>1792666.3689999999</v>
          </cell>
          <cell r="AH1702">
            <v>1815285.7520000001</v>
          </cell>
          <cell r="AI1702">
            <v>1838021.5819999999</v>
          </cell>
          <cell r="AJ1702">
            <v>1860963.618</v>
          </cell>
          <cell r="AK1702">
            <v>1884174.375</v>
          </cell>
          <cell r="AL1702">
            <v>1907693.3970000001</v>
          </cell>
          <cell r="AM1702">
            <v>1931544.0079999999</v>
          </cell>
          <cell r="AN1702">
            <v>1955739.2579999999</v>
          </cell>
          <cell r="AO1702">
            <v>1980286.693</v>
          </cell>
          <cell r="AP1702">
            <v>2004643.1780000001</v>
          </cell>
          <cell r="AQ1702">
            <v>2028934.206</v>
          </cell>
          <cell r="AR1702">
            <v>2053257.4509999999</v>
          </cell>
          <cell r="AS1702">
            <v>2077703.6329999999</v>
          </cell>
          <cell r="AT1702">
            <v>2102355.8760000002</v>
          </cell>
          <cell r="AU1702">
            <v>2127286.202</v>
          </cell>
          <cell r="AV1702">
            <v>2152552.446</v>
          </cell>
          <cell r="AW1702">
            <v>2178198.9380000001</v>
          </cell>
          <cell r="AX1702">
            <v>2204258.0290000001</v>
          </cell>
          <cell r="AY1702">
            <v>2230752.4989999998</v>
          </cell>
          <cell r="AZ1702">
            <v>2257976.2829999998</v>
          </cell>
          <cell r="BA1702">
            <v>2285896.9169999999</v>
          </cell>
          <cell r="BB1702">
            <v>2314389.1159999999</v>
          </cell>
          <cell r="BC1702">
            <v>2343337.4419999998</v>
          </cell>
          <cell r="BD1702">
            <v>2372674.355</v>
          </cell>
          <cell r="BE1702">
            <v>2578303.1260000002</v>
          </cell>
          <cell r="BF1702">
            <v>2616559.395</v>
          </cell>
          <cell r="BG1702">
            <v>2655344.5720000002</v>
          </cell>
          <cell r="BH1702">
            <v>2694674.9</v>
          </cell>
          <cell r="BI1702">
            <v>2734568.8939999999</v>
          </cell>
        </row>
        <row r="1731">
          <cell r="F1731">
            <v>1202964.058</v>
          </cell>
          <cell r="G1731">
            <v>1218415.5730000001</v>
          </cell>
          <cell r="H1731">
            <v>1235049.598</v>
          </cell>
          <cell r="I1731">
            <v>1252668.338</v>
          </cell>
          <cell r="J1731">
            <v>1271217.575</v>
          </cell>
          <cell r="K1731">
            <v>1290707.1669999999</v>
          </cell>
          <cell r="L1731">
            <v>1310528.73</v>
          </cell>
          <cell r="M1731">
            <v>1330777.7990000001</v>
          </cell>
          <cell r="N1731">
            <v>1351471.7620000001</v>
          </cell>
          <cell r="O1731">
            <v>1372592.7439999999</v>
          </cell>
          <cell r="P1731">
            <v>1395170.6910000001</v>
          </cell>
          <cell r="Q1731">
            <v>1417857.325</v>
          </cell>
          <cell r="R1731">
            <v>1440683.9879999999</v>
          </cell>
          <cell r="S1731">
            <v>1463639.9979999999</v>
          </cell>
          <cell r="T1731">
            <v>1486719.75</v>
          </cell>
          <cell r="U1731">
            <v>1509931.17</v>
          </cell>
          <cell r="V1731">
            <v>1533292.3959999999</v>
          </cell>
          <cell r="W1731">
            <v>1556826.2490000001</v>
          </cell>
          <cell r="X1731">
            <v>1580555.7150000001</v>
          </cell>
          <cell r="Y1731">
            <v>1604501.1950000001</v>
          </cell>
          <cell r="Z1731">
            <v>1627887.2579999999</v>
          </cell>
          <cell r="AA1731">
            <v>1651701.9140000001</v>
          </cell>
          <cell r="AB1731">
            <v>1675907.63</v>
          </cell>
          <cell r="AC1731">
            <v>1700497.97</v>
          </cell>
          <cell r="AD1731">
            <v>1725465.618</v>
          </cell>
          <cell r="AE1731">
            <v>1748506.1089999999</v>
          </cell>
          <cell r="AF1731">
            <v>1771334.1159999999</v>
          </cell>
          <cell r="AG1731">
            <v>1794037.7649999999</v>
          </cell>
          <cell r="AH1731">
            <v>1816743.175</v>
          </cell>
          <cell r="AI1731">
            <v>1839565.9069999999</v>
          </cell>
          <cell r="AJ1731">
            <v>1862595.584</v>
          </cell>
          <cell r="AK1731">
            <v>1885894.6470000001</v>
          </cell>
          <cell r="AL1731">
            <v>1909502.9680000001</v>
          </cell>
          <cell r="AM1731">
            <v>1933444.1910000001</v>
          </cell>
          <cell r="AN1731">
            <v>1957731.7350000001</v>
          </cell>
          <cell r="AO1731">
            <v>1982373.5730000001</v>
          </cell>
          <cell r="AP1731">
            <v>2006823.2620000001</v>
          </cell>
          <cell r="AQ1731">
            <v>2031207.9069999999</v>
          </cell>
          <cell r="AR1731">
            <v>2055624.9040000001</v>
          </cell>
          <cell r="AS1731">
            <v>2080164.3149999999</v>
          </cell>
          <cell r="AT1731">
            <v>2104909.2250000001</v>
          </cell>
          <cell r="AU1731">
            <v>2130089.534</v>
          </cell>
          <cell r="AV1731">
            <v>2155743.784</v>
          </cell>
          <cell r="AW1731">
            <v>2181833.3390000002</v>
          </cell>
          <cell r="AX1731">
            <v>2208314.3909999998</v>
          </cell>
          <cell r="AY1731">
            <v>2235165.4670000002</v>
          </cell>
          <cell r="AZ1731">
            <v>2262438.7480000001</v>
          </cell>
          <cell r="BA1731">
            <v>2290141.63</v>
          </cell>
          <cell r="BB1731">
            <v>2318291.0720000002</v>
          </cell>
          <cell r="BC1731">
            <v>2346905.38</v>
          </cell>
          <cell r="BD1731">
            <v>2376000.9649999999</v>
          </cell>
          <cell r="BE1731">
            <v>2577085.8969999999</v>
          </cell>
          <cell r="BF1731">
            <v>2615222.8059999999</v>
          </cell>
          <cell r="BG1731">
            <v>2653889.335</v>
          </cell>
          <cell r="BH1731">
            <v>2693104.4959999998</v>
          </cell>
          <cell r="BI1731">
            <v>2732888.68</v>
          </cell>
        </row>
        <row r="1760">
          <cell r="F1760">
            <v>0.99952935399999998</v>
          </cell>
          <cell r="G1760">
            <v>1.018410461</v>
          </cell>
          <cell r="H1760">
            <v>1.0373629769999999</v>
          </cell>
          <cell r="I1760">
            <v>1.0565903459999999</v>
          </cell>
          <cell r="J1760">
            <v>1.076218433</v>
          </cell>
          <cell r="K1760">
            <v>1.096314569</v>
          </cell>
          <cell r="L1760">
            <v>1.1168764799999999</v>
          </cell>
          <cell r="M1760">
            <v>1.1379167269999999</v>
          </cell>
          <cell r="N1760">
            <v>1.159452669</v>
          </cell>
          <cell r="O1760">
            <v>1.181502622</v>
          </cell>
          <cell r="P1760">
            <v>1.204149095</v>
          </cell>
          <cell r="Q1760">
            <v>1.2273620350000001</v>
          </cell>
          <cell r="R1760">
            <v>1.2511428469999999</v>
          </cell>
          <cell r="S1760">
            <v>1.27550345</v>
          </cell>
          <cell r="T1760">
            <v>1.3004520939999999</v>
          </cell>
          <cell r="U1760">
            <v>1.3259914660000001</v>
          </cell>
          <cell r="V1760">
            <v>1.3521193970000001</v>
          </cell>
          <cell r="W1760">
            <v>1.378828985</v>
          </cell>
          <cell r="X1760">
            <v>1.406111415</v>
          </cell>
          <cell r="Y1760">
            <v>1.433955968</v>
          </cell>
          <cell r="Z1760">
            <v>1.4623031179999999</v>
          </cell>
          <cell r="AA1760">
            <v>1.4911733579999999</v>
          </cell>
          <cell r="AB1760">
            <v>1.5205666900000001</v>
          </cell>
          <cell r="AC1760">
            <v>1.5504733399999999</v>
          </cell>
          <cell r="AD1760">
            <v>1.580884535</v>
          </cell>
          <cell r="AE1760">
            <v>1.6116549229999999</v>
          </cell>
          <cell r="AF1760">
            <v>1.642807103</v>
          </cell>
          <cell r="AG1760">
            <v>1.6743539000000001</v>
          </cell>
          <cell r="AH1760">
            <v>1.706294612</v>
          </cell>
          <cell r="AI1760">
            <v>1.738631206</v>
          </cell>
          <cell r="AJ1760">
            <v>1.771371502</v>
          </cell>
          <cell r="AK1760">
            <v>1.804529973</v>
          </cell>
          <cell r="AL1760">
            <v>1.8381278029999999</v>
          </cell>
          <cell r="AM1760">
            <v>1.8721909910000001</v>
          </cell>
          <cell r="AN1760">
            <v>1.9067493390000001</v>
          </cell>
          <cell r="AO1760">
            <v>1.9418351380000001</v>
          </cell>
          <cell r="AP1760">
            <v>1.9774443209999999</v>
          </cell>
          <cell r="AQ1760">
            <v>2.0135981890000001</v>
          </cell>
          <cell r="AR1760">
            <v>2.0503241719999998</v>
          </cell>
          <cell r="AS1760">
            <v>2.087650692</v>
          </cell>
          <cell r="AT1760">
            <v>2.1256063909999998</v>
          </cell>
          <cell r="AU1760">
            <v>2.1642198669999999</v>
          </cell>
          <cell r="AV1760">
            <v>2.2035211559999999</v>
          </cell>
          <cell r="AW1760">
            <v>2.2435404619999999</v>
          </cell>
          <cell r="AX1760">
            <v>2.2843086609999999</v>
          </cell>
          <cell r="AY1760">
            <v>2.3258569439999999</v>
          </cell>
          <cell r="AZ1760">
            <v>2.3676334780000001</v>
          </cell>
          <cell r="BA1760">
            <v>2.409716011</v>
          </cell>
          <cell r="BB1760">
            <v>2.4522291310000002</v>
          </cell>
          <cell r="BC1760">
            <v>2.495293878</v>
          </cell>
          <cell r="BD1760">
            <v>2.539009938</v>
          </cell>
          <cell r="BE1760">
            <v>2.807915903</v>
          </cell>
          <cell r="BF1760">
            <v>2.8628385230000002</v>
          </cell>
          <cell r="BG1760">
            <v>2.9186834789999998</v>
          </cell>
          <cell r="BH1760">
            <v>2.9754758730000002</v>
          </cell>
          <cell r="BI1760">
            <v>3.0332420710000001</v>
          </cell>
        </row>
        <row r="1789">
          <cell r="F1789">
            <v>0.99933117979999997</v>
          </cell>
          <cell r="G1789">
            <v>1.0180845780000001</v>
          </cell>
          <cell r="H1789">
            <v>1.036938972</v>
          </cell>
          <cell r="I1789">
            <v>1.056067364</v>
          </cell>
          <cell r="J1789">
            <v>1.075574437</v>
          </cell>
          <cell r="K1789">
            <v>1.0955178430000001</v>
          </cell>
          <cell r="L1789">
            <v>1.115893958</v>
          </cell>
          <cell r="M1789">
            <v>1.1367182090000001</v>
          </cell>
          <cell r="N1789">
            <v>1.158012311</v>
          </cell>
          <cell r="O1789">
            <v>1.1797989959999999</v>
          </cell>
          <cell r="P1789">
            <v>1.20216429</v>
          </cell>
          <cell r="Q1789">
            <v>1.225081885</v>
          </cell>
          <cell r="R1789">
            <v>1.2485553190000001</v>
          </cell>
          <cell r="S1789">
            <v>1.272597698</v>
          </cell>
          <cell r="T1789">
            <v>1.297218161</v>
          </cell>
          <cell r="U1789">
            <v>1.3224200319999999</v>
          </cell>
          <cell r="V1789">
            <v>1.3482010520000001</v>
          </cell>
          <cell r="W1789">
            <v>1.3745544949999999</v>
          </cell>
          <cell r="X1789">
            <v>1.4014704579999999</v>
          </cell>
          <cell r="Y1789">
            <v>1.428936999</v>
          </cell>
          <cell r="Z1789">
            <v>1.456893958</v>
          </cell>
          <cell r="AA1789">
            <v>1.485359157</v>
          </cell>
          <cell r="AB1789">
            <v>1.5143321679999999</v>
          </cell>
          <cell r="AC1789">
            <v>1.5438022689999999</v>
          </cell>
          <cell r="AD1789">
            <v>1.573759752</v>
          </cell>
          <cell r="AE1789">
            <v>1.6040608160000001</v>
          </cell>
          <cell r="AF1789">
            <v>1.6347232380000001</v>
          </cell>
          <cell r="AG1789">
            <v>1.665760415</v>
          </cell>
          <cell r="AH1789">
            <v>1.697171875</v>
          </cell>
          <cell r="AI1789">
            <v>1.728959774</v>
          </cell>
          <cell r="AJ1789">
            <v>1.761131996</v>
          </cell>
          <cell r="AK1789">
            <v>1.793703177</v>
          </cell>
          <cell r="AL1789">
            <v>1.826694222</v>
          </cell>
          <cell r="AM1789">
            <v>1.8601310870000001</v>
          </cell>
          <cell r="AN1789">
            <v>1.8940433510000001</v>
          </cell>
          <cell r="AO1789">
            <v>1.9284629</v>
          </cell>
          <cell r="AP1789">
            <v>1.9633886110000001</v>
          </cell>
          <cell r="AQ1789">
            <v>1.998838917</v>
          </cell>
          <cell r="AR1789">
            <v>2.0348428940000001</v>
          </cell>
          <cell r="AS1789">
            <v>2.0714300049999999</v>
          </cell>
          <cell r="AT1789">
            <v>2.1086291350000002</v>
          </cell>
          <cell r="AU1789">
            <v>2.146081315</v>
          </cell>
          <cell r="AV1789">
            <v>2.183843945</v>
          </cell>
          <cell r="AW1789">
            <v>2.222009248</v>
          </cell>
          <cell r="AX1789">
            <v>2.2606687939999999</v>
          </cell>
          <cell r="AY1789">
            <v>2.2999011230000002</v>
          </cell>
          <cell r="AZ1789">
            <v>2.3397743449999999</v>
          </cell>
          <cell r="BA1789">
            <v>2.3803445339999998</v>
          </cell>
          <cell r="BB1789">
            <v>2.4216601839999998</v>
          </cell>
          <cell r="BC1789">
            <v>2.4637658409999998</v>
          </cell>
          <cell r="BD1789">
            <v>2.5067035569999998</v>
          </cell>
          <cell r="BE1789">
            <v>2.7865971890000001</v>
          </cell>
          <cell r="BF1789">
            <v>2.8403224690000002</v>
          </cell>
          <cell r="BG1789">
            <v>2.894939376</v>
          </cell>
          <cell r="BH1789">
            <v>2.950470615</v>
          </cell>
          <cell r="BI1789">
            <v>3.0069409239999998</v>
          </cell>
        </row>
      </sheetData>
      <sheetData sheetId="7"/>
      <sheetData sheetId="8">
        <row r="820">
          <cell r="B820">
            <v>350.6128721</v>
          </cell>
          <cell r="C820">
            <v>353.01858440000001</v>
          </cell>
          <cell r="D820">
            <v>355.18014520000003</v>
          </cell>
          <cell r="E820">
            <v>357.56598259999998</v>
          </cell>
          <cell r="F820">
            <v>360.311014</v>
          </cell>
          <cell r="G820">
            <v>363.40337399999999</v>
          </cell>
          <cell r="H820">
            <v>366.64946279999998</v>
          </cell>
          <cell r="I820">
            <v>370.1062766</v>
          </cell>
          <cell r="J820">
            <v>373.75413140000001</v>
          </cell>
          <cell r="K820">
            <v>377.56384550000001</v>
          </cell>
          <cell r="L820">
            <v>381.82245849999998</v>
          </cell>
          <cell r="M820">
            <v>386.0208945</v>
          </cell>
          <cell r="N820">
            <v>390.2711347</v>
          </cell>
          <cell r="O820">
            <v>394.5900982</v>
          </cell>
          <cell r="P820">
            <v>398.9780973</v>
          </cell>
          <cell r="Q820">
            <v>403.43435699999998</v>
          </cell>
          <cell r="R820">
            <v>407.95827889999998</v>
          </cell>
          <cell r="S820">
            <v>412.54923789999998</v>
          </cell>
          <cell r="T820">
            <v>417.20645810000002</v>
          </cell>
          <cell r="U820">
            <v>421.9290532</v>
          </cell>
          <cell r="V820">
            <v>426.48727439999999</v>
          </cell>
          <cell r="W820">
            <v>431.23881690000002</v>
          </cell>
          <cell r="X820">
            <v>436.09021200000001</v>
          </cell>
          <cell r="Y820">
            <v>441.02125810000001</v>
          </cell>
          <cell r="Z820">
            <v>446.0265943</v>
          </cell>
          <cell r="AA820">
            <v>450.44700360000002</v>
          </cell>
          <cell r="AB820">
            <v>454.99907739999998</v>
          </cell>
          <cell r="AC820">
            <v>459.58805489999997</v>
          </cell>
          <cell r="AD820">
            <v>464.20529620000002</v>
          </cell>
          <cell r="AE820">
            <v>468.85751329999999</v>
          </cell>
          <cell r="AF820">
            <v>473.55338030000001</v>
          </cell>
          <cell r="AG820">
            <v>478.30075749999997</v>
          </cell>
          <cell r="AH820">
            <v>483.10610930000001</v>
          </cell>
          <cell r="AI820">
            <v>487.97447870000002</v>
          </cell>
          <cell r="AJ820">
            <v>492.90964409999998</v>
          </cell>
          <cell r="AK820">
            <v>497.9143406</v>
          </cell>
          <cell r="AL820">
            <v>502.8338119</v>
          </cell>
          <cell r="AM820">
            <v>507.75658479999998</v>
          </cell>
          <cell r="AN820">
            <v>512.72362829999997</v>
          </cell>
          <cell r="AO820">
            <v>517.75699199999997</v>
          </cell>
          <cell r="AP820">
            <v>522.86404990000005</v>
          </cell>
          <cell r="AQ820">
            <v>528.01008999999999</v>
          </cell>
          <cell r="AR820">
            <v>533.18525409999995</v>
          </cell>
          <cell r="AS820">
            <v>538.39023669999995</v>
          </cell>
          <cell r="AT820">
            <v>543.635493</v>
          </cell>
          <cell r="AU820">
            <v>548.93622660000005</v>
          </cell>
          <cell r="AV820">
            <v>554.32091190000006</v>
          </cell>
          <cell r="AW820">
            <v>559.79265550000002</v>
          </cell>
          <cell r="AX820">
            <v>565.3563011</v>
          </cell>
          <cell r="AY820">
            <v>571.01470619999998</v>
          </cell>
          <cell r="AZ820">
            <v>576.76890790000004</v>
          </cell>
          <cell r="BA820">
            <v>639.6781585</v>
          </cell>
          <cell r="BB820">
            <v>648.44547050000006</v>
          </cell>
          <cell r="BC820">
            <v>657.34065229999999</v>
          </cell>
          <cell r="BD820">
            <v>666.36737129999995</v>
          </cell>
          <cell r="BE820">
            <v>675.52932920000001</v>
          </cell>
        </row>
        <row r="821">
          <cell r="B821">
            <v>215.8420763</v>
          </cell>
          <cell r="C821">
            <v>218.2620671</v>
          </cell>
          <cell r="D821">
            <v>220.79876770000001</v>
          </cell>
          <cell r="E821">
            <v>223.50622390000001</v>
          </cell>
          <cell r="F821">
            <v>226.411968</v>
          </cell>
          <cell r="G821">
            <v>229.5152487</v>
          </cell>
          <cell r="H821">
            <v>232.660616</v>
          </cell>
          <cell r="I821">
            <v>235.9144263</v>
          </cell>
          <cell r="J821">
            <v>239.2803002</v>
          </cell>
          <cell r="K821">
            <v>242.7505907</v>
          </cell>
          <cell r="L821">
            <v>246.56656649999999</v>
          </cell>
          <cell r="M821">
            <v>250.32274419999999</v>
          </cell>
          <cell r="N821">
            <v>254.1218801</v>
          </cell>
          <cell r="O821">
            <v>257.98062850000002</v>
          </cell>
          <cell r="P821">
            <v>261.89997349999999</v>
          </cell>
          <cell r="Q821">
            <v>265.87832759999998</v>
          </cell>
          <cell r="R821">
            <v>269.9139394</v>
          </cell>
          <cell r="S821">
            <v>274.0053102</v>
          </cell>
          <cell r="T821">
            <v>278.1512414</v>
          </cell>
          <cell r="U821">
            <v>282.35082640000002</v>
          </cell>
          <cell r="V821">
            <v>286.41753390000002</v>
          </cell>
          <cell r="W821">
            <v>290.64635500000003</v>
          </cell>
          <cell r="X821">
            <v>294.95643189999998</v>
          </cell>
          <cell r="Y821">
            <v>299.33200620000002</v>
          </cell>
          <cell r="Z821">
            <v>303.76970039999998</v>
          </cell>
          <cell r="AA821">
            <v>307.73113769999998</v>
          </cell>
          <cell r="AB821">
            <v>311.81417299999998</v>
          </cell>
          <cell r="AC821">
            <v>315.93228219999997</v>
          </cell>
          <cell r="AD821">
            <v>320.07778510000003</v>
          </cell>
          <cell r="AE821">
            <v>324.25663889999998</v>
          </cell>
          <cell r="AF821">
            <v>328.47631130000002</v>
          </cell>
          <cell r="AG821">
            <v>332.74344480000002</v>
          </cell>
          <cell r="AH821">
            <v>337.06345119999997</v>
          </cell>
          <cell r="AI821">
            <v>341.44053580000002</v>
          </cell>
          <cell r="AJ821">
            <v>345.87783710000002</v>
          </cell>
          <cell r="AK821">
            <v>350.37760400000002</v>
          </cell>
          <cell r="AL821">
            <v>354.81150150000002</v>
          </cell>
          <cell r="AM821">
            <v>359.25526630000002</v>
          </cell>
          <cell r="AN821">
            <v>363.72743229999998</v>
          </cell>
          <cell r="AO821">
            <v>368.23631419999998</v>
          </cell>
          <cell r="AP821">
            <v>372.78867969999999</v>
          </cell>
          <cell r="AQ821">
            <v>377.36064190000002</v>
          </cell>
          <cell r="AR821">
            <v>381.96112269999998</v>
          </cell>
          <cell r="AS821">
            <v>386.60471819999998</v>
          </cell>
          <cell r="AT821">
            <v>391.30510190000001</v>
          </cell>
          <cell r="AU821">
            <v>396.07296960000002</v>
          </cell>
          <cell r="AV821">
            <v>400.92742220000002</v>
          </cell>
          <cell r="AW821">
            <v>405.86620720000002</v>
          </cell>
          <cell r="AX821">
            <v>410.89002879999998</v>
          </cell>
          <cell r="AY821">
            <v>415.99922329999998</v>
          </cell>
          <cell r="AZ821">
            <v>421.19357430000002</v>
          </cell>
          <cell r="BA821">
            <v>474.56909780000001</v>
          </cell>
          <cell r="BB821">
            <v>482.29074939999998</v>
          </cell>
          <cell r="BC821">
            <v>490.12448920000003</v>
          </cell>
          <cell r="BD821">
            <v>498.07311490000001</v>
          </cell>
          <cell r="BE821">
            <v>506.13955979999997</v>
          </cell>
        </row>
        <row r="822">
          <cell r="B822">
            <v>2.7598970600000002E-2</v>
          </cell>
          <cell r="C822">
            <v>2.7894044600000001E-2</v>
          </cell>
          <cell r="D822">
            <v>2.8206373100000001E-2</v>
          </cell>
          <cell r="E822">
            <v>2.8528408500000001E-2</v>
          </cell>
          <cell r="F822">
            <v>2.8865390000000001E-2</v>
          </cell>
          <cell r="G822">
            <v>2.9219306399999999E-2</v>
          </cell>
          <cell r="H822">
            <v>2.95654219E-2</v>
          </cell>
          <cell r="I822">
            <v>2.9924341600000001E-2</v>
          </cell>
          <cell r="J822">
            <v>3.0295834099999999E-2</v>
          </cell>
          <cell r="K822">
            <v>3.0678907299999999E-2</v>
          </cell>
          <cell r="L822">
            <v>3.1115295099999999E-2</v>
          </cell>
          <cell r="M822">
            <v>3.1522929499999998E-2</v>
          </cell>
          <cell r="N822">
            <v>3.19362651E-2</v>
          </cell>
          <cell r="O822">
            <v>3.2355007099999999E-2</v>
          </cell>
          <cell r="P822">
            <v>3.2778626399999997E-2</v>
          </cell>
          <cell r="Q822">
            <v>3.3206662200000001E-2</v>
          </cell>
          <cell r="R822">
            <v>3.3638824999999997E-2</v>
          </cell>
          <cell r="S822">
            <v>3.40750197E-2</v>
          </cell>
          <cell r="T822">
            <v>3.4515331699999999E-2</v>
          </cell>
          <cell r="U822">
            <v>3.4959998800000003E-2</v>
          </cell>
          <cell r="V822">
            <v>3.5377940300000001E-2</v>
          </cell>
          <cell r="W822">
            <v>3.5828744400000001E-2</v>
          </cell>
          <cell r="X822">
            <v>3.6286537299999998E-2</v>
          </cell>
          <cell r="Y822">
            <v>3.67512932E-2</v>
          </cell>
          <cell r="Z822">
            <v>3.7223273000000001E-2</v>
          </cell>
          <cell r="AA822">
            <v>3.7612732900000001E-2</v>
          </cell>
          <cell r="AB822">
            <v>3.8046992299999999E-2</v>
          </cell>
          <cell r="AC822">
            <v>3.8487739E-2</v>
          </cell>
          <cell r="AD822">
            <v>3.8935483799999997E-2</v>
          </cell>
          <cell r="AE822">
            <v>3.9390799099999999E-2</v>
          </cell>
          <cell r="AF822">
            <v>3.9854170199999997E-2</v>
          </cell>
          <cell r="AG822">
            <v>4.0325953999999997E-2</v>
          </cell>
          <cell r="AH822">
            <v>4.0806378400000003E-2</v>
          </cell>
          <cell r="AI822">
            <v>4.1295559000000003E-2</v>
          </cell>
          <cell r="AJ822">
            <v>4.1793522700000002E-2</v>
          </cell>
          <cell r="AK822">
            <v>4.2300233100000001E-2</v>
          </cell>
          <cell r="AL822">
            <v>4.2794136099999998E-2</v>
          </cell>
          <cell r="AM822">
            <v>4.3293988800000002E-2</v>
          </cell>
          <cell r="AN822">
            <v>4.3800483299999998E-2</v>
          </cell>
          <cell r="AO822">
            <v>4.43140136E-2</v>
          </cell>
          <cell r="AP822">
            <v>4.4834860999999997E-2</v>
          </cell>
          <cell r="AQ822">
            <v>4.5383863199999999E-2</v>
          </cell>
          <cell r="AR822">
            <v>4.5956966600000003E-2</v>
          </cell>
          <cell r="AS822">
            <v>4.6550630500000002E-2</v>
          </cell>
          <cell r="AT822">
            <v>4.7162139999999998E-2</v>
          </cell>
          <cell r="AU822">
            <v>4.77896009E-2</v>
          </cell>
          <cell r="AV822">
            <v>4.8433728199999998E-2</v>
          </cell>
          <cell r="AW822">
            <v>4.9092104800000001E-2</v>
          </cell>
          <cell r="AX822">
            <v>4.9764288900000002E-2</v>
          </cell>
          <cell r="AY822">
            <v>5.0450080799999998E-2</v>
          </cell>
          <cell r="AZ822">
            <v>5.1149422200000003E-2</v>
          </cell>
          <cell r="BA822">
            <v>6.0566186100000002E-2</v>
          </cell>
          <cell r="BB822">
            <v>6.1565169099999997E-2</v>
          </cell>
          <cell r="BC822">
            <v>6.25808957E-2</v>
          </cell>
          <cell r="BD822">
            <v>6.3613768000000001E-2</v>
          </cell>
          <cell r="BE822">
            <v>6.4664205099999997E-2</v>
          </cell>
        </row>
        <row r="823">
          <cell r="B823">
            <v>15.25271081</v>
          </cell>
          <cell r="C823">
            <v>15.45541017</v>
          </cell>
          <cell r="D823">
            <v>15.67703253</v>
          </cell>
          <cell r="E823">
            <v>15.91371751</v>
          </cell>
          <cell r="F823">
            <v>16.164096619999999</v>
          </cell>
          <cell r="G823">
            <v>16.427052939999999</v>
          </cell>
          <cell r="H823">
            <v>16.692083520000001</v>
          </cell>
          <cell r="I823">
            <v>16.963682309999999</v>
          </cell>
          <cell r="J823">
            <v>17.242341740000001</v>
          </cell>
          <cell r="K823">
            <v>17.527903989999999</v>
          </cell>
          <cell r="L823">
            <v>17.836641910000001</v>
          </cell>
          <cell r="M823">
            <v>18.142067959999999</v>
          </cell>
          <cell r="N823">
            <v>18.45128858</v>
          </cell>
          <cell r="O823">
            <v>18.765454009999999</v>
          </cell>
          <cell r="P823">
            <v>19.084766550000001</v>
          </cell>
          <cell r="Q823">
            <v>19.409290989999999</v>
          </cell>
          <cell r="R823">
            <v>19.739100270000002</v>
          </cell>
          <cell r="S823">
            <v>20.074296319999998</v>
          </cell>
          <cell r="T823">
            <v>20.41500241</v>
          </cell>
          <cell r="U823">
            <v>20.761350220000001</v>
          </cell>
          <cell r="V823">
            <v>21.101075949999998</v>
          </cell>
          <cell r="W823">
            <v>21.453914430000001</v>
          </cell>
          <cell r="X823">
            <v>21.814525740000001</v>
          </cell>
          <cell r="Y823">
            <v>22.182022530000001</v>
          </cell>
          <cell r="Z823">
            <v>22.55623426</v>
          </cell>
          <cell r="AA823">
            <v>22.901106890000001</v>
          </cell>
          <cell r="AB823">
            <v>23.256372809999998</v>
          </cell>
          <cell r="AC823">
            <v>23.61590661</v>
          </cell>
          <cell r="AD823">
            <v>23.979161730000001</v>
          </cell>
          <cell r="AE823">
            <v>24.346393030000002</v>
          </cell>
          <cell r="AF823">
            <v>24.717907060000002</v>
          </cell>
          <cell r="AG823">
            <v>25.093926069999998</v>
          </cell>
          <cell r="AH823">
            <v>25.474566329999998</v>
          </cell>
          <cell r="AI823">
            <v>25.859848320000001</v>
          </cell>
          <cell r="AJ823">
            <v>26.249718720000001</v>
          </cell>
          <cell r="AK823">
            <v>26.64407533</v>
          </cell>
          <cell r="AL823">
            <v>27.0339749</v>
          </cell>
          <cell r="AM823">
            <v>27.424264950000001</v>
          </cell>
          <cell r="AN823">
            <v>27.816019650000001</v>
          </cell>
          <cell r="AO823">
            <v>28.209660240000002</v>
          </cell>
          <cell r="AP823">
            <v>28.60547163</v>
          </cell>
          <cell r="AQ823">
            <v>29.0045766</v>
          </cell>
          <cell r="AR823">
            <v>29.407860280000001</v>
          </cell>
          <cell r="AS823">
            <v>29.81565471</v>
          </cell>
          <cell r="AT823">
            <v>30.227903009999999</v>
          </cell>
          <cell r="AU823">
            <v>30.644395159999998</v>
          </cell>
          <cell r="AV823">
            <v>31.065732440000001</v>
          </cell>
          <cell r="AW823">
            <v>31.49132835</v>
          </cell>
          <cell r="AX823">
            <v>31.921023760000001</v>
          </cell>
          <cell r="AY823">
            <v>32.35478586</v>
          </cell>
          <cell r="AZ823">
            <v>32.792639659999999</v>
          </cell>
          <cell r="BA823">
            <v>35.991009220000002</v>
          </cell>
          <cell r="BB823">
            <v>36.627511069999997</v>
          </cell>
          <cell r="BC823">
            <v>37.272521689999998</v>
          </cell>
          <cell r="BD823">
            <v>37.926061699999998</v>
          </cell>
          <cell r="BE823">
            <v>38.588168609999997</v>
          </cell>
        </row>
        <row r="824">
          <cell r="B824">
            <v>119.490486</v>
          </cell>
          <cell r="C824">
            <v>119.273213</v>
          </cell>
          <cell r="D824">
            <v>118.67613849999999</v>
          </cell>
          <cell r="E824">
            <v>118.1175128</v>
          </cell>
          <cell r="F824">
            <v>117.706084</v>
          </cell>
          <cell r="G824">
            <v>117.431853</v>
          </cell>
          <cell r="H824">
            <v>117.26719780000001</v>
          </cell>
          <cell r="I824">
            <v>117.1982436</v>
          </cell>
          <cell r="J824">
            <v>117.2011937</v>
          </cell>
          <cell r="K824">
            <v>117.25467190000001</v>
          </cell>
          <cell r="L824">
            <v>117.3881348</v>
          </cell>
          <cell r="M824">
            <v>117.5245594</v>
          </cell>
          <cell r="N824">
            <v>117.6660298</v>
          </cell>
          <cell r="O824">
            <v>117.8116606</v>
          </cell>
          <cell r="P824">
            <v>117.96057860000001</v>
          </cell>
          <cell r="Q824">
            <v>118.1135318</v>
          </cell>
          <cell r="R824">
            <v>118.2716004</v>
          </cell>
          <cell r="S824">
            <v>118.4355564</v>
          </cell>
          <cell r="T824">
            <v>118.60569889999999</v>
          </cell>
          <cell r="U824">
            <v>118.7819166</v>
          </cell>
          <cell r="V824">
            <v>118.93328649999999</v>
          </cell>
          <cell r="W824">
            <v>119.1027187</v>
          </cell>
          <cell r="X824">
            <v>119.2829679</v>
          </cell>
          <cell r="Y824">
            <v>119.470478</v>
          </cell>
          <cell r="Z824">
            <v>119.66343639999999</v>
          </cell>
          <cell r="AA824">
            <v>119.7771462</v>
          </cell>
          <cell r="AB824">
            <v>119.89048459999999</v>
          </cell>
          <cell r="AC824">
            <v>120.0013783</v>
          </cell>
          <cell r="AD824">
            <v>120.10941390000001</v>
          </cell>
          <cell r="AE824">
            <v>120.2150905</v>
          </cell>
          <cell r="AF824">
            <v>120.3193078</v>
          </cell>
          <cell r="AG824">
            <v>120.42306069999999</v>
          </cell>
          <cell r="AH824">
            <v>120.5272853</v>
          </cell>
          <cell r="AI824">
            <v>120.63279900000001</v>
          </cell>
          <cell r="AJ824">
            <v>120.74029470000001</v>
          </cell>
          <cell r="AK824">
            <v>120.85036100000001</v>
          </cell>
          <cell r="AL824">
            <v>120.9455413</v>
          </cell>
          <cell r="AM824">
            <v>121.0337595</v>
          </cell>
          <cell r="AN824">
            <v>121.1363759</v>
          </cell>
          <cell r="AO824">
            <v>121.26670350000001</v>
          </cell>
          <cell r="AP824">
            <v>121.4250638</v>
          </cell>
          <cell r="AQ824">
            <v>121.5994876</v>
          </cell>
          <cell r="AR824">
            <v>121.7703142</v>
          </cell>
          <cell r="AS824">
            <v>121.9233131</v>
          </cell>
          <cell r="AT824">
            <v>122.05532599999999</v>
          </cell>
          <cell r="AU824">
            <v>122.1710722</v>
          </cell>
          <cell r="AV824">
            <v>122.2793235</v>
          </cell>
          <cell r="AW824">
            <v>122.38602779999999</v>
          </cell>
          <cell r="AX824">
            <v>122.4954843</v>
          </cell>
          <cell r="AY824">
            <v>122.610247</v>
          </cell>
          <cell r="AZ824">
            <v>122.73154460000001</v>
          </cell>
          <cell r="BA824">
            <v>129.0574852</v>
          </cell>
          <cell r="BB824">
            <v>129.4656449</v>
          </cell>
          <cell r="BC824">
            <v>129.88106049999999</v>
          </cell>
          <cell r="BD824">
            <v>130.30458100000001</v>
          </cell>
          <cell r="BE824">
            <v>130.73693650000001</v>
          </cell>
        </row>
        <row r="825">
          <cell r="B825">
            <v>350.6921534</v>
          </cell>
          <cell r="C825">
            <v>353.17647749999998</v>
          </cell>
          <cell r="D825">
            <v>355.43311349999999</v>
          </cell>
          <cell r="E825">
            <v>357.93835089999999</v>
          </cell>
          <cell r="F825">
            <v>360.83368860000002</v>
          </cell>
          <cell r="G825">
            <v>364.12183900000002</v>
          </cell>
          <cell r="H825">
            <v>367.57326410000002</v>
          </cell>
          <cell r="I825">
            <v>371.22865849999999</v>
          </cell>
          <cell r="J825">
            <v>375.06435759999999</v>
          </cell>
          <cell r="K825">
            <v>379.05178999999998</v>
          </cell>
          <cell r="L825">
            <v>383.48061380000001</v>
          </cell>
          <cell r="M825">
            <v>387.84519499999999</v>
          </cell>
          <cell r="N825">
            <v>392.25953129999999</v>
          </cell>
          <cell r="O825">
            <v>396.7427017</v>
          </cell>
          <cell r="P825">
            <v>401.29586740000002</v>
          </cell>
          <cell r="Q825">
            <v>405.91699690000002</v>
          </cell>
          <cell r="R825">
            <v>410.60518500000001</v>
          </cell>
          <cell r="S825">
            <v>415.35792759999998</v>
          </cell>
          <cell r="T825">
            <v>420.1741677</v>
          </cell>
          <cell r="U825">
            <v>425.05348570000001</v>
          </cell>
          <cell r="V825">
            <v>429.76656639999999</v>
          </cell>
          <cell r="W825">
            <v>434.67273719999997</v>
          </cell>
          <cell r="X825">
            <v>439.67928519999998</v>
          </cell>
          <cell r="Y825">
            <v>444.76652589999998</v>
          </cell>
          <cell r="Z825">
            <v>449.92931870000001</v>
          </cell>
          <cell r="AA825">
            <v>454.50701679999997</v>
          </cell>
          <cell r="AB825">
            <v>459.2171027</v>
          </cell>
          <cell r="AC825">
            <v>463.96506169999998</v>
          </cell>
          <cell r="AD825">
            <v>468.74201540000001</v>
          </cell>
          <cell r="AE825">
            <v>473.55425639999999</v>
          </cell>
          <cell r="AF825">
            <v>478.4099769</v>
          </cell>
          <cell r="AG825">
            <v>483.31618209999999</v>
          </cell>
          <cell r="AH825">
            <v>488.2791876</v>
          </cell>
          <cell r="AI825">
            <v>493.30372849999998</v>
          </cell>
          <cell r="AJ825">
            <v>498.393305</v>
          </cell>
          <cell r="AK825">
            <v>503.55042570000001</v>
          </cell>
          <cell r="AL825">
            <v>508.616038</v>
          </cell>
          <cell r="AM825">
            <v>513.68143780000003</v>
          </cell>
          <cell r="AN825">
            <v>518.77212750000001</v>
          </cell>
          <cell r="AO825">
            <v>523.89975589999995</v>
          </cell>
          <cell r="AP825">
            <v>529.07220640000003</v>
          </cell>
          <cell r="AQ825">
            <v>534.29511000000002</v>
          </cell>
          <cell r="AR825">
            <v>539.57402209999998</v>
          </cell>
          <cell r="AS825">
            <v>544.91316189999998</v>
          </cell>
          <cell r="AT825">
            <v>550.3158224</v>
          </cell>
          <cell r="AU825">
            <v>555.78454699999998</v>
          </cell>
          <cell r="AV825">
            <v>561.2919594</v>
          </cell>
          <cell r="AW825">
            <v>566.84301900000003</v>
          </cell>
          <cell r="AX825">
            <v>572.45501390000004</v>
          </cell>
          <cell r="AY825">
            <v>578.14346850000004</v>
          </cell>
          <cell r="AZ825">
            <v>583.91934370000001</v>
          </cell>
          <cell r="BA825">
            <v>638.12864630000001</v>
          </cell>
          <cell r="BB825">
            <v>646.94552759999999</v>
          </cell>
          <cell r="BC825">
            <v>655.8961663</v>
          </cell>
          <cell r="BD825">
            <v>664.98381870000003</v>
          </cell>
          <cell r="BE825">
            <v>674.21214689999999</v>
          </cell>
        </row>
        <row r="826">
          <cell r="B826">
            <v>215.92163740000001</v>
          </cell>
          <cell r="C826">
            <v>218.39352439999999</v>
          </cell>
          <cell r="D826">
            <v>220.96177080000001</v>
          </cell>
          <cell r="E826">
            <v>223.6905386</v>
          </cell>
          <cell r="F826">
            <v>226.61559700000001</v>
          </cell>
          <cell r="G826">
            <v>229.7414886</v>
          </cell>
          <cell r="H826">
            <v>232.9126057</v>
          </cell>
          <cell r="I826">
            <v>236.19339299999999</v>
          </cell>
          <cell r="J826">
            <v>239.58610419999999</v>
          </cell>
          <cell r="K826">
            <v>243.08237030000001</v>
          </cell>
          <cell r="L826">
            <v>246.92350429999999</v>
          </cell>
          <cell r="M826">
            <v>250.70455860000001</v>
          </cell>
          <cell r="N826">
            <v>254.5276624</v>
          </cell>
          <cell r="O826">
            <v>258.4095102</v>
          </cell>
          <cell r="P826">
            <v>262.35122100000001</v>
          </cell>
          <cell r="Q826">
            <v>266.35133239999999</v>
          </cell>
          <cell r="R826">
            <v>270.4094978</v>
          </cell>
          <cell r="S826">
            <v>274.5235113</v>
          </cell>
          <cell r="T826">
            <v>278.69228709999999</v>
          </cell>
          <cell r="U826">
            <v>282.91518009999999</v>
          </cell>
          <cell r="V826">
            <v>287.00553760000003</v>
          </cell>
          <cell r="W826">
            <v>291.25922150000002</v>
          </cell>
          <cell r="X826">
            <v>295.59542770000002</v>
          </cell>
          <cell r="Y826">
            <v>299.99847929999999</v>
          </cell>
          <cell r="Z826">
            <v>304.46504829999998</v>
          </cell>
          <cell r="AA826">
            <v>308.45538499999998</v>
          </cell>
          <cell r="AB826">
            <v>312.56828339999998</v>
          </cell>
          <cell r="AC826">
            <v>316.71748350000001</v>
          </cell>
          <cell r="AD826">
            <v>320.89523509999998</v>
          </cell>
          <cell r="AE826">
            <v>325.1073662</v>
          </cell>
          <cell r="AF826">
            <v>329.36121789999999</v>
          </cell>
          <cell r="AG826">
            <v>333.66296219999998</v>
          </cell>
          <cell r="AH826">
            <v>338.01820509999999</v>
          </cell>
          <cell r="AI826">
            <v>342.43114500000001</v>
          </cell>
          <cell r="AJ826">
            <v>346.90489919999999</v>
          </cell>
          <cell r="AK826">
            <v>351.44170509999998</v>
          </cell>
          <cell r="AL826">
            <v>355.90928910000002</v>
          </cell>
          <cell r="AM826">
            <v>360.38626529999999</v>
          </cell>
          <cell r="AN826">
            <v>364.89298960000002</v>
          </cell>
          <cell r="AO826">
            <v>369.43836370000002</v>
          </cell>
          <cell r="AP826">
            <v>374.02847059999999</v>
          </cell>
          <cell r="AQ826">
            <v>378.6676162</v>
          </cell>
          <cell r="AR826">
            <v>383.36026129999999</v>
          </cell>
          <cell r="AS826">
            <v>388.10973849999999</v>
          </cell>
          <cell r="AT826">
            <v>392.91864609999999</v>
          </cell>
          <cell r="AU826">
            <v>397.7890051</v>
          </cell>
          <cell r="AV826">
            <v>402.6915047</v>
          </cell>
          <cell r="AW826">
            <v>407.63150489999998</v>
          </cell>
          <cell r="AX826">
            <v>412.62672859999998</v>
          </cell>
          <cell r="AY826">
            <v>417.69347019999998</v>
          </cell>
          <cell r="AZ826">
            <v>422.84341260000002</v>
          </cell>
          <cell r="BA826">
            <v>475.66387520000001</v>
          </cell>
          <cell r="BB826">
            <v>483.47314180000001</v>
          </cell>
          <cell r="BC826">
            <v>491.39786800000002</v>
          </cell>
          <cell r="BD826">
            <v>499.44100100000003</v>
          </cell>
          <cell r="BE826">
            <v>507.60555479999999</v>
          </cell>
        </row>
        <row r="827">
          <cell r="B827">
            <v>2.7535943100000002E-2</v>
          </cell>
          <cell r="C827">
            <v>2.7813553500000001E-2</v>
          </cell>
          <cell r="D827">
            <v>2.8107394500000001E-2</v>
          </cell>
          <cell r="E827">
            <v>2.8409860299999999E-2</v>
          </cell>
          <cell r="F827">
            <v>2.8726071499999999E-2</v>
          </cell>
          <cell r="G827">
            <v>2.90579524E-2</v>
          </cell>
          <cell r="H827">
            <v>2.93806146E-2</v>
          </cell>
          <cell r="I827">
            <v>2.9715003600000001E-2</v>
          </cell>
          <cell r="J827">
            <v>3.00609859E-2</v>
          </cell>
          <cell r="K827">
            <v>3.04176684E-2</v>
          </cell>
          <cell r="L827">
            <v>3.0826415199999999E-2</v>
          </cell>
          <cell r="M827">
            <v>3.1204442999999998E-2</v>
          </cell>
          <cell r="N827">
            <v>3.1587563800000003E-2</v>
          </cell>
          <cell r="O827">
            <v>3.1975495200000002E-2</v>
          </cell>
          <cell r="P827">
            <v>3.2367706699999998E-2</v>
          </cell>
          <cell r="Q827">
            <v>3.2763725399999999E-2</v>
          </cell>
          <cell r="R827">
            <v>3.3161376700000002E-2</v>
          </cell>
          <cell r="S827">
            <v>3.3562443900000002E-2</v>
          </cell>
          <cell r="T827">
            <v>3.3966930899999997E-2</v>
          </cell>
          <cell r="U827">
            <v>3.4374993200000002E-2</v>
          </cell>
          <cell r="V827">
            <v>3.4756104400000001E-2</v>
          </cell>
          <cell r="W827">
            <v>3.5168629299999997E-2</v>
          </cell>
          <cell r="X827">
            <v>3.55871486E-2</v>
          </cell>
          <cell r="Y827">
            <v>3.6011576400000002E-2</v>
          </cell>
          <cell r="Z827">
            <v>3.6442122299999997E-2</v>
          </cell>
          <cell r="AA827">
            <v>3.6791251599999998E-2</v>
          </cell>
          <cell r="AB827">
            <v>3.7184055000000001E-2</v>
          </cell>
          <cell r="AC827">
            <v>3.7582216799999998E-2</v>
          </cell>
          <cell r="AD827">
            <v>3.7986248100000002E-2</v>
          </cell>
          <cell r="AE827">
            <v>3.83967219E-2</v>
          </cell>
          <cell r="AF827">
            <v>3.8814122700000002E-2</v>
          </cell>
          <cell r="AG827">
            <v>3.9239349799999997E-2</v>
          </cell>
          <cell r="AH827">
            <v>3.9672065999999999E-2</v>
          </cell>
          <cell r="AI827">
            <v>4.0112388200000001E-2</v>
          </cell>
          <cell r="AJ827">
            <v>4.0560339399999999E-2</v>
          </cell>
          <cell r="AK827">
            <v>4.10158724E-2</v>
          </cell>
          <cell r="AL827">
            <v>4.1463308599999998E-2</v>
          </cell>
          <cell r="AM827">
            <v>4.1915417699999999E-2</v>
          </cell>
          <cell r="AN827">
            <v>4.2372995699999999E-2</v>
          </cell>
          <cell r="AO827">
            <v>4.2836511899999999E-2</v>
          </cell>
          <cell r="AP827">
            <v>4.3306283299999998E-2</v>
          </cell>
          <cell r="AQ827">
            <v>4.3783406599999998E-2</v>
          </cell>
          <cell r="AR827">
            <v>4.42671569E-2</v>
          </cell>
          <cell r="AS827">
            <v>4.4757666299999999E-2</v>
          </cell>
          <cell r="AT827">
            <v>4.5255026599999998E-2</v>
          </cell>
          <cell r="AU827">
            <v>4.5759299000000003E-2</v>
          </cell>
          <cell r="AV827">
            <v>4.6302995399999998E-2</v>
          </cell>
          <cell r="AW827">
            <v>4.6876539299999999E-2</v>
          </cell>
          <cell r="AX827">
            <v>4.7475276599999998E-2</v>
          </cell>
          <cell r="AY827">
            <v>4.8095442299999999E-2</v>
          </cell>
          <cell r="AZ827">
            <v>4.8734300100000003E-2</v>
          </cell>
          <cell r="BA827">
            <v>6.0330790299999999E-2</v>
          </cell>
          <cell r="BB827">
            <v>6.1318025399999997E-2</v>
          </cell>
          <cell r="BC827">
            <v>6.2321753899999999E-2</v>
          </cell>
          <cell r="BD827">
            <v>6.3342322300000004E-2</v>
          </cell>
          <cell r="BE827">
            <v>6.4380092700000002E-2</v>
          </cell>
        </row>
        <row r="828">
          <cell r="B828">
            <v>15.25249408</v>
          </cell>
          <cell r="C828">
            <v>15.45446585</v>
          </cell>
          <cell r="D828">
            <v>15.675355700000001</v>
          </cell>
          <cell r="E828">
            <v>15.91139652</v>
          </cell>
          <cell r="F828">
            <v>16.16113592</v>
          </cell>
          <cell r="G828">
            <v>16.423336509999999</v>
          </cell>
          <cell r="H828">
            <v>16.68744122</v>
          </cell>
          <cell r="I828">
            <v>16.95793239</v>
          </cell>
          <cell r="J828">
            <v>17.235320309999999</v>
          </cell>
          <cell r="K828">
            <v>17.51947809</v>
          </cell>
          <cell r="L828">
            <v>17.826703009999999</v>
          </cell>
          <cell r="M828">
            <v>18.130543639999999</v>
          </cell>
          <cell r="N828">
            <v>18.438119669999999</v>
          </cell>
          <cell r="O828">
            <v>18.750588830000002</v>
          </cell>
          <cell r="P828">
            <v>19.068156510000001</v>
          </cell>
          <cell r="Q828">
            <v>19.390889380000001</v>
          </cell>
          <cell r="R828">
            <v>19.71886374</v>
          </cell>
          <cell r="S828">
            <v>20.052178909999999</v>
          </cell>
          <cell r="T828">
            <v>20.39095657</v>
          </cell>
          <cell r="U828">
            <v>20.73532591</v>
          </cell>
          <cell r="V828">
            <v>21.073033129999999</v>
          </cell>
          <cell r="W828">
            <v>21.423791720000001</v>
          </cell>
          <cell r="X828">
            <v>21.782261869999999</v>
          </cell>
          <cell r="Y828">
            <v>22.14755551</v>
          </cell>
          <cell r="Z828">
            <v>22.51950158</v>
          </cell>
          <cell r="AA828">
            <v>22.862095790000001</v>
          </cell>
          <cell r="AB828">
            <v>23.215024960000001</v>
          </cell>
          <cell r="AC828">
            <v>23.572168170000001</v>
          </cell>
          <cell r="AD828">
            <v>23.932981609999999</v>
          </cell>
          <cell r="AE828">
            <v>24.297723680000001</v>
          </cell>
          <cell r="AF828">
            <v>24.6667047</v>
          </cell>
          <cell r="AG828">
            <v>25.04015016</v>
          </cell>
          <cell r="AH828">
            <v>25.418180499999998</v>
          </cell>
          <cell r="AI828">
            <v>25.800819480000001</v>
          </cell>
          <cell r="AJ828">
            <v>26.18801672</v>
          </cell>
          <cell r="AK828">
            <v>26.57967262</v>
          </cell>
          <cell r="AL828">
            <v>26.966863879999998</v>
          </cell>
          <cell r="AM828">
            <v>27.354444449999999</v>
          </cell>
          <cell r="AN828">
            <v>27.743505200000001</v>
          </cell>
          <cell r="AO828">
            <v>28.13448623</v>
          </cell>
          <cell r="AP828">
            <v>28.527684010000002</v>
          </cell>
          <cell r="AQ828">
            <v>28.923339970000001</v>
          </cell>
          <cell r="AR828">
            <v>29.321657259999999</v>
          </cell>
          <cell r="AS828">
            <v>29.722800700000001</v>
          </cell>
          <cell r="AT828">
            <v>30.126902009999998</v>
          </cell>
          <cell r="AU828">
            <v>30.534067310000001</v>
          </cell>
          <cell r="AV828">
            <v>30.946475920000001</v>
          </cell>
          <cell r="AW828">
            <v>31.364723290000001</v>
          </cell>
          <cell r="AX828">
            <v>31.788983869999999</v>
          </cell>
          <cell r="AY828">
            <v>32.218995329999998</v>
          </cell>
          <cell r="AZ828">
            <v>32.654358479999999</v>
          </cell>
          <cell r="BA828">
            <v>35.928563740000001</v>
          </cell>
          <cell r="BB828">
            <v>36.565780830000001</v>
          </cell>
          <cell r="BC828">
            <v>37.211903579999998</v>
          </cell>
          <cell r="BD828">
            <v>37.866942590000001</v>
          </cell>
          <cell r="BE828">
            <v>38.530919849999997</v>
          </cell>
        </row>
        <row r="829">
          <cell r="B829">
            <v>119.490486</v>
          </cell>
          <cell r="C829">
            <v>119.3006738</v>
          </cell>
          <cell r="D829">
            <v>118.76787950000001</v>
          </cell>
          <cell r="E829">
            <v>118.3080059</v>
          </cell>
          <cell r="F829">
            <v>118.0282296</v>
          </cell>
          <cell r="G829">
            <v>117.9279559</v>
          </cell>
          <cell r="H829">
            <v>117.9438366</v>
          </cell>
          <cell r="I829">
            <v>118.04761809999999</v>
          </cell>
          <cell r="J829">
            <v>118.2128721</v>
          </cell>
          <cell r="K829">
            <v>118.419524</v>
          </cell>
          <cell r="L829">
            <v>118.69958010000001</v>
          </cell>
          <cell r="M829">
            <v>118.97888829999999</v>
          </cell>
          <cell r="N829">
            <v>119.26216169999999</v>
          </cell>
          <cell r="O829">
            <v>119.55062719999999</v>
          </cell>
          <cell r="P829">
            <v>119.8441222</v>
          </cell>
          <cell r="Q829">
            <v>120.1420114</v>
          </cell>
          <cell r="R829">
            <v>120.4436621</v>
          </cell>
          <cell r="S829">
            <v>120.7486749</v>
          </cell>
          <cell r="T829">
            <v>121.05695710000001</v>
          </cell>
          <cell r="U829">
            <v>121.36860470000001</v>
          </cell>
          <cell r="V829">
            <v>121.6532395</v>
          </cell>
          <cell r="W829">
            <v>121.9545553</v>
          </cell>
          <cell r="X829">
            <v>122.2660085</v>
          </cell>
          <cell r="Y829">
            <v>122.5844795</v>
          </cell>
          <cell r="Z829">
            <v>122.9083267</v>
          </cell>
          <cell r="AA829">
            <v>123.15274479999999</v>
          </cell>
          <cell r="AB829">
            <v>123.39661030000001</v>
          </cell>
          <cell r="AC829">
            <v>123.6378278</v>
          </cell>
          <cell r="AD829">
            <v>123.8758124</v>
          </cell>
          <cell r="AE829">
            <v>124.1107698</v>
          </cell>
          <cell r="AF829">
            <v>124.3432402</v>
          </cell>
          <cell r="AG829">
            <v>124.57383040000001</v>
          </cell>
          <cell r="AH829">
            <v>124.8031299</v>
          </cell>
          <cell r="AI829">
            <v>125.0316517</v>
          </cell>
          <cell r="AJ829">
            <v>125.25982879999999</v>
          </cell>
          <cell r="AK829">
            <v>125.48803220000001</v>
          </cell>
          <cell r="AL829">
            <v>125.6984217</v>
          </cell>
          <cell r="AM829">
            <v>125.89881269999999</v>
          </cell>
          <cell r="AN829">
            <v>126.0932596</v>
          </cell>
          <cell r="AO829">
            <v>126.28406940000001</v>
          </cell>
          <cell r="AP829">
            <v>126.4727455</v>
          </cell>
          <cell r="AQ829">
            <v>126.66037040000001</v>
          </cell>
          <cell r="AR829">
            <v>126.84783640000001</v>
          </cell>
          <cell r="AS829">
            <v>127.0358651</v>
          </cell>
          <cell r="AT829">
            <v>127.22501920000001</v>
          </cell>
          <cell r="AU829">
            <v>127.41571519999999</v>
          </cell>
          <cell r="AV829">
            <v>127.6076758</v>
          </cell>
          <cell r="AW829">
            <v>127.7999143</v>
          </cell>
          <cell r="AX829">
            <v>127.99182620000001</v>
          </cell>
          <cell r="AY829">
            <v>128.18290759999999</v>
          </cell>
          <cell r="AZ829">
            <v>128.37283830000001</v>
          </cell>
          <cell r="BA829">
            <v>126.47587660000001</v>
          </cell>
          <cell r="BB829">
            <v>126.845287</v>
          </cell>
          <cell r="BC829">
            <v>127.2240729</v>
          </cell>
          <cell r="BD829">
            <v>127.6125328</v>
          </cell>
          <cell r="BE829">
            <v>128.01129209999999</v>
          </cell>
        </row>
        <row r="830">
          <cell r="A830" t="str">
            <v>ems_ci_co2_sagr_2</v>
          </cell>
          <cell r="B830">
            <v>14.30761519</v>
          </cell>
          <cell r="C830">
            <v>14.45985814</v>
          </cell>
          <cell r="D830">
            <v>14.60192705</v>
          </cell>
          <cell r="E830">
            <v>14.73958736</v>
          </cell>
          <cell r="F830">
            <v>14.8778066</v>
          </cell>
          <cell r="G830">
            <v>15.019421039999999</v>
          </cell>
          <cell r="H830">
            <v>15.15387018</v>
          </cell>
          <cell r="I830">
            <v>15.29087543</v>
          </cell>
          <cell r="J830">
            <v>15.432234709999999</v>
          </cell>
          <cell r="K830">
            <v>15.578343500000001</v>
          </cell>
          <cell r="L830">
            <v>15.7499447</v>
          </cell>
          <cell r="M830">
            <v>15.91084738</v>
          </cell>
          <cell r="N830">
            <v>16.073399590000001</v>
          </cell>
          <cell r="O830">
            <v>16.239238570000001</v>
          </cell>
          <cell r="P830">
            <v>16.408465889999999</v>
          </cell>
          <cell r="Q830">
            <v>16.580869660000001</v>
          </cell>
          <cell r="R830">
            <v>16.75700776</v>
          </cell>
          <cell r="S830">
            <v>16.935916219999999</v>
          </cell>
          <cell r="T830">
            <v>17.117207570000001</v>
          </cell>
          <cell r="U830">
            <v>17.300603580000001</v>
          </cell>
          <cell r="V830">
            <v>17.471095940000001</v>
          </cell>
          <cell r="W830">
            <v>17.654781270000001</v>
          </cell>
          <cell r="X830">
            <v>17.84208615</v>
          </cell>
          <cell r="Y830">
            <v>18.03154266</v>
          </cell>
          <cell r="Z830">
            <v>18.222851200000001</v>
          </cell>
          <cell r="AA830">
            <v>18.37404325</v>
          </cell>
          <cell r="AB830">
            <v>18.539473900000001</v>
          </cell>
          <cell r="AC830">
            <v>18.707815669999999</v>
          </cell>
          <cell r="AD830">
            <v>18.877823249999999</v>
          </cell>
          <cell r="AE830">
            <v>19.04950616</v>
          </cell>
          <cell r="AF830">
            <v>19.223062129999999</v>
          </cell>
          <cell r="AG830">
            <v>19.398476200000001</v>
          </cell>
          <cell r="AH830">
            <v>19.576183830000002</v>
          </cell>
          <cell r="AI830">
            <v>19.756449050000001</v>
          </cell>
          <cell r="AJ830">
            <v>19.939493469999999</v>
          </cell>
          <cell r="AK830">
            <v>20.125503869999999</v>
          </cell>
          <cell r="AL830">
            <v>20.302519539999999</v>
          </cell>
          <cell r="AM830">
            <v>20.479960309999999</v>
          </cell>
          <cell r="AN830">
            <v>20.659394930000001</v>
          </cell>
          <cell r="AO830">
            <v>20.841256349999998</v>
          </cell>
          <cell r="AP830">
            <v>21.025735539999999</v>
          </cell>
          <cell r="AQ830">
            <v>21.21252878</v>
          </cell>
          <cell r="AR830">
            <v>21.402000220000001</v>
          </cell>
          <cell r="AS830">
            <v>21.594234830000001</v>
          </cell>
          <cell r="AT830">
            <v>21.789273009999999</v>
          </cell>
          <cell r="AU830">
            <v>21.987140910000001</v>
          </cell>
          <cell r="AV830">
            <v>22.172108359999999</v>
          </cell>
          <cell r="AW830">
            <v>22.353566019999999</v>
          </cell>
          <cell r="AX830">
            <v>22.538008120000001</v>
          </cell>
          <cell r="AY830">
            <v>22.72876836</v>
          </cell>
          <cell r="AZ830">
            <v>22.927284669999999</v>
          </cell>
          <cell r="BA830">
            <v>32.314755179999999</v>
          </cell>
          <cell r="BB830">
            <v>32.851295200000003</v>
          </cell>
          <cell r="BC830">
            <v>33.39604851</v>
          </cell>
          <cell r="BD830">
            <v>33.949292190000001</v>
          </cell>
          <cell r="BE830">
            <v>34.511300030000001</v>
          </cell>
        </row>
        <row r="832">
          <cell r="A832" t="str">
            <v>ems_ci_co2_sfor_2</v>
          </cell>
          <cell r="B832">
            <v>0.58345317220000004</v>
          </cell>
          <cell r="C832">
            <v>0.58614354729999996</v>
          </cell>
          <cell r="D832">
            <v>0.58397908470000004</v>
          </cell>
          <cell r="E832">
            <v>0.58247710850000001</v>
          </cell>
          <cell r="F832">
            <v>0.58222543559999995</v>
          </cell>
          <cell r="G832">
            <v>0.58310625910000002</v>
          </cell>
          <cell r="H832">
            <v>0.58468198839999996</v>
          </cell>
          <cell r="I832">
            <v>0.58678949430000005</v>
          </cell>
          <cell r="J832">
            <v>0.58931319169999996</v>
          </cell>
          <cell r="K832">
            <v>0.59217109410000002</v>
          </cell>
          <cell r="L832">
            <v>0.59571514410000004</v>
          </cell>
          <cell r="M832">
            <v>0.59949666739999996</v>
          </cell>
          <cell r="N832">
            <v>0.60341554040000001</v>
          </cell>
          <cell r="O832">
            <v>0.6074911127</v>
          </cell>
          <cell r="P832">
            <v>0.6117342938</v>
          </cell>
          <cell r="Q832">
            <v>0.61614448420000001</v>
          </cell>
          <cell r="R832">
            <v>0.62094294979999998</v>
          </cell>
          <cell r="S832">
            <v>0.6259108686</v>
          </cell>
          <cell r="T832">
            <v>0.6310202519</v>
          </cell>
          <cell r="U832">
            <v>0.63626759290000001</v>
          </cell>
          <cell r="V832">
            <v>0.64135465560000005</v>
          </cell>
          <cell r="W832">
            <v>0.64672698009999996</v>
          </cell>
          <cell r="X832">
            <v>0.65230711779999995</v>
          </cell>
          <cell r="Y832">
            <v>0.65805630319999997</v>
          </cell>
          <cell r="Z832">
            <v>0.66395832509999997</v>
          </cell>
          <cell r="AA832">
            <v>0.66914783259999999</v>
          </cell>
          <cell r="AB832">
            <v>0.67439559250000003</v>
          </cell>
          <cell r="AC832">
            <v>0.6797860308</v>
          </cell>
          <cell r="AD832">
            <v>0.68531165709999997</v>
          </cell>
          <cell r="AE832">
            <v>0.69096553439999997</v>
          </cell>
          <cell r="AF832">
            <v>0.69674644070000002</v>
          </cell>
          <cell r="AG832">
            <v>0.70258830880000001</v>
          </cell>
          <cell r="AH832">
            <v>0.70855875430000004</v>
          </cell>
          <cell r="AI832">
            <v>0.71466940850000005</v>
          </cell>
          <cell r="AJ832">
            <v>0.72092508450000004</v>
          </cell>
          <cell r="AK832">
            <v>0.72732978380000002</v>
          </cell>
          <cell r="AL832">
            <v>0.73302697880000001</v>
          </cell>
          <cell r="AM832">
            <v>0.73873220979999998</v>
          </cell>
          <cell r="AN832">
            <v>0.74455599159999997</v>
          </cell>
          <cell r="AO832">
            <v>0.75051543639999996</v>
          </cell>
          <cell r="AP832">
            <v>0.7566116571</v>
          </cell>
          <cell r="AQ832">
            <v>0.76273244210000002</v>
          </cell>
          <cell r="AR832">
            <v>0.76898101289999998</v>
          </cell>
          <cell r="AS832">
            <v>0.7753693988</v>
          </cell>
          <cell r="AT832">
            <v>0.78189911990000005</v>
          </cell>
          <cell r="AU832">
            <v>0.78857122280000003</v>
          </cell>
          <cell r="AV832">
            <v>0.79493735160000001</v>
          </cell>
          <cell r="AW832">
            <v>0.80135635729999999</v>
          </cell>
          <cell r="AX832">
            <v>0.8078913486</v>
          </cell>
          <cell r="AY832">
            <v>0.81457098809999995</v>
          </cell>
          <cell r="AZ832">
            <v>0.82141462489999995</v>
          </cell>
          <cell r="BA832">
            <v>0.66328333900000003</v>
          </cell>
          <cell r="BB832">
            <v>0.66823135369999997</v>
          </cell>
          <cell r="BC832">
            <v>0.67327790379999997</v>
          </cell>
          <cell r="BD832">
            <v>0.67842593929999995</v>
          </cell>
          <cell r="BE832">
            <v>0.68367935170000005</v>
          </cell>
        </row>
        <row r="834">
          <cell r="A834" t="str">
            <v>ems_ci_co2_sfoo_2</v>
          </cell>
          <cell r="B834">
            <v>8.7636047769999994</v>
          </cell>
          <cell r="C834">
            <v>8.8490252920000003</v>
          </cell>
          <cell r="D834">
            <v>8.9407590310000007</v>
          </cell>
          <cell r="E834">
            <v>9.0455423629999991</v>
          </cell>
          <cell r="F834">
            <v>9.1658339770000001</v>
          </cell>
          <cell r="G834">
            <v>9.3017974579999994</v>
          </cell>
          <cell r="H834">
            <v>9.44731934</v>
          </cell>
          <cell r="I834">
            <v>9.6026210130000003</v>
          </cell>
          <cell r="J834">
            <v>9.7665200930000005</v>
          </cell>
          <cell r="K834">
            <v>9.9376407320000002</v>
          </cell>
          <cell r="L834">
            <v>10.123612550000001</v>
          </cell>
          <cell r="M834">
            <v>10.31111847</v>
          </cell>
          <cell r="N834">
            <v>10.50130201</v>
          </cell>
          <cell r="O834">
            <v>10.693706600000001</v>
          </cell>
          <cell r="P834">
            <v>10.887745580000001</v>
          </cell>
          <cell r="Q834">
            <v>11.082993</v>
          </cell>
          <cell r="R834">
            <v>11.279232260000001</v>
          </cell>
          <cell r="S834">
            <v>11.476343630000001</v>
          </cell>
          <cell r="T834">
            <v>11.67431019</v>
          </cell>
          <cell r="U834">
            <v>11.873188770000001</v>
          </cell>
          <cell r="V834">
            <v>12.06632048</v>
          </cell>
          <cell r="W834">
            <v>12.263132199999999</v>
          </cell>
          <cell r="X834">
            <v>12.462201670000001</v>
          </cell>
          <cell r="Y834">
            <v>12.663449079999999</v>
          </cell>
          <cell r="Z834">
            <v>12.867009489999999</v>
          </cell>
          <cell r="AA834">
            <v>13.05331908</v>
          </cell>
          <cell r="AB834">
            <v>13.24011608</v>
          </cell>
          <cell r="AC834">
            <v>13.426230179999999</v>
          </cell>
          <cell r="AD834">
            <v>13.61221709</v>
          </cell>
          <cell r="AE834">
            <v>13.79891025</v>
          </cell>
          <cell r="AF834">
            <v>13.987063600000001</v>
          </cell>
          <cell r="AG834">
            <v>14.17727037</v>
          </cell>
          <cell r="AH834">
            <v>14.369986969999999</v>
          </cell>
          <cell r="AI834">
            <v>14.56554188</v>
          </cell>
          <cell r="AJ834">
            <v>14.764161140000001</v>
          </cell>
          <cell r="AK834">
            <v>14.96599307</v>
          </cell>
          <cell r="AL834">
            <v>15.16624932</v>
          </cell>
          <cell r="AM834">
            <v>15.36676613</v>
          </cell>
          <cell r="AN834">
            <v>15.56824703</v>
          </cell>
          <cell r="AO834">
            <v>15.771202990000001</v>
          </cell>
          <cell r="AP834">
            <v>15.97610504</v>
          </cell>
          <cell r="AQ834">
            <v>16.183367270000002</v>
          </cell>
          <cell r="AR834">
            <v>16.393362530000001</v>
          </cell>
          <cell r="AS834">
            <v>16.606394389999998</v>
          </cell>
          <cell r="AT834">
            <v>16.822698989999999</v>
          </cell>
          <cell r="AU834">
            <v>17.042453299999998</v>
          </cell>
          <cell r="AV834">
            <v>17.267162859999999</v>
          </cell>
          <cell r="AW834">
            <v>17.497836110000001</v>
          </cell>
          <cell r="AX834">
            <v>17.73490456</v>
          </cell>
          <cell r="AY834">
            <v>17.97824877</v>
          </cell>
          <cell r="AZ834">
            <v>18.22746587</v>
          </cell>
          <cell r="BA834">
            <v>19.880422360000001</v>
          </cell>
          <cell r="BB834">
            <v>20.200756160000001</v>
          </cell>
          <cell r="BC834">
            <v>20.52564692</v>
          </cell>
          <cell r="BD834">
            <v>20.855267479999998</v>
          </cell>
          <cell r="BE834">
            <v>21.189792629999999</v>
          </cell>
        </row>
        <row r="836">
          <cell r="A836" t="str">
            <v>ems_ci_co2_sveh_2</v>
          </cell>
          <cell r="B836">
            <v>1.132985801</v>
          </cell>
          <cell r="C836">
            <v>1.149095049</v>
          </cell>
          <cell r="D836">
            <v>1.167099592</v>
          </cell>
          <cell r="E836">
            <v>1.185693892</v>
          </cell>
          <cell r="F836">
            <v>1.2051376739999999</v>
          </cell>
          <cell r="G836">
            <v>1.2258033420000001</v>
          </cell>
          <cell r="H836">
            <v>1.2466542780000001</v>
          </cell>
          <cell r="I836">
            <v>1.268309382</v>
          </cell>
          <cell r="J836">
            <v>1.290741573</v>
          </cell>
          <cell r="K836">
            <v>1.3138459760000001</v>
          </cell>
          <cell r="L836">
            <v>1.3395656140000001</v>
          </cell>
          <cell r="M836">
            <v>1.364498166</v>
          </cell>
          <cell r="N836">
            <v>1.3895704040000001</v>
          </cell>
          <cell r="O836">
            <v>1.4148394660000001</v>
          </cell>
          <cell r="P836">
            <v>1.4402581699999999</v>
          </cell>
          <cell r="Q836">
            <v>1.4657561429999999</v>
          </cell>
          <cell r="R836">
            <v>1.4912490359999999</v>
          </cell>
          <cell r="S836">
            <v>1.516644739</v>
          </cell>
          <cell r="T836">
            <v>1.541859936</v>
          </cell>
          <cell r="U836">
            <v>1.5668260899999999</v>
          </cell>
          <cell r="V836">
            <v>1.5899484189999999</v>
          </cell>
          <cell r="W836">
            <v>1.613726021</v>
          </cell>
          <cell r="X836">
            <v>1.637377917</v>
          </cell>
          <cell r="Y836">
            <v>1.660822271</v>
          </cell>
          <cell r="Z836">
            <v>1.6840732540000001</v>
          </cell>
          <cell r="AA836">
            <v>1.702724669</v>
          </cell>
          <cell r="AB836">
            <v>1.7220240689999999</v>
          </cell>
          <cell r="AC836">
            <v>1.7411231599999999</v>
          </cell>
          <cell r="AD836">
            <v>1.760100921</v>
          </cell>
          <cell r="AE836">
            <v>1.779128187</v>
          </cell>
          <cell r="AF836">
            <v>1.798374425</v>
          </cell>
          <cell r="AG836">
            <v>1.818003322</v>
          </cell>
          <cell r="AH836">
            <v>1.838172838</v>
          </cell>
          <cell r="AI836">
            <v>1.8590272109999999</v>
          </cell>
          <cell r="AJ836">
            <v>1.8806909300000001</v>
          </cell>
          <cell r="AK836">
            <v>1.90326404</v>
          </cell>
          <cell r="AL836">
            <v>1.9257640730000001</v>
          </cell>
          <cell r="AM836">
            <v>1.9489017310000001</v>
          </cell>
          <cell r="AN836">
            <v>1.972821728</v>
          </cell>
          <cell r="AO836">
            <v>1.9975818380000001</v>
          </cell>
          <cell r="AP836">
            <v>2.0232132850000002</v>
          </cell>
          <cell r="AQ836">
            <v>2.0497302739999999</v>
          </cell>
          <cell r="AR836">
            <v>2.0771383380000001</v>
          </cell>
          <cell r="AS836">
            <v>2.1054337909999998</v>
          </cell>
          <cell r="AT836">
            <v>2.134606609</v>
          </cell>
          <cell r="AU836">
            <v>2.1646414479999998</v>
          </cell>
          <cell r="AV836">
            <v>2.1934234259999998</v>
          </cell>
          <cell r="AW836">
            <v>2.2205645280000001</v>
          </cell>
          <cell r="AX836">
            <v>2.2468060890000001</v>
          </cell>
          <cell r="AY836">
            <v>2.27314039</v>
          </cell>
          <cell r="AZ836">
            <v>2.300378239</v>
          </cell>
          <cell r="BA836">
            <v>2.502649833</v>
          </cell>
          <cell r="BB836">
            <v>2.5424036750000001</v>
          </cell>
          <cell r="BC836">
            <v>2.5831347830000002</v>
          </cell>
          <cell r="BD836">
            <v>2.6249114059999998</v>
          </cell>
          <cell r="BE836">
            <v>2.6677897210000001</v>
          </cell>
        </row>
        <row r="838">
          <cell r="A838" t="str">
            <v>ems_ci_co2_sgla_2</v>
          </cell>
          <cell r="B838">
            <v>7.8353994379999996</v>
          </cell>
          <cell r="C838">
            <v>7.9317425979999996</v>
          </cell>
          <cell r="D838">
            <v>8.0367934289999994</v>
          </cell>
          <cell r="E838">
            <v>8.1506449550000006</v>
          </cell>
          <cell r="F838">
            <v>8.2730547829999992</v>
          </cell>
          <cell r="G838">
            <v>8.4035246959999998</v>
          </cell>
          <cell r="H838">
            <v>8.537332352</v>
          </cell>
          <cell r="I838">
            <v>8.6756167210000008</v>
          </cell>
          <cell r="J838">
            <v>8.8184585999999996</v>
          </cell>
          <cell r="K838">
            <v>8.9657074780000006</v>
          </cell>
          <cell r="L838">
            <v>9.1243890390000004</v>
          </cell>
          <cell r="M838">
            <v>9.2839896639999999</v>
          </cell>
          <cell r="N838">
            <v>9.4463078429999996</v>
          </cell>
          <cell r="O838">
            <v>9.6116998529999993</v>
          </cell>
          <cell r="P838">
            <v>9.7802018569999998</v>
          </cell>
          <cell r="Q838">
            <v>9.9517877989999999</v>
          </cell>
          <cell r="R838">
            <v>10.126432250000001</v>
          </cell>
          <cell r="S838">
            <v>10.304120129999999</v>
          </cell>
          <cell r="T838">
            <v>10.48485273</v>
          </cell>
          <cell r="U838">
            <v>10.66864013</v>
          </cell>
          <cell r="V838">
            <v>10.850070029999999</v>
          </cell>
          <cell r="W838">
            <v>11.036879280000001</v>
          </cell>
          <cell r="X838">
            <v>11.22761811</v>
          </cell>
          <cell r="Y838">
            <v>11.42192184</v>
          </cell>
          <cell r="Z838">
            <v>11.61967175</v>
          </cell>
          <cell r="AA838">
            <v>11.805027320000001</v>
          </cell>
          <cell r="AB838">
            <v>11.99284198</v>
          </cell>
          <cell r="AC838">
            <v>12.181894359999999</v>
          </cell>
          <cell r="AD838">
            <v>12.37214691</v>
          </cell>
          <cell r="AE838">
            <v>12.563786289999999</v>
          </cell>
          <cell r="AF838">
            <v>12.75700885</v>
          </cell>
          <cell r="AG838">
            <v>12.95196863</v>
          </cell>
          <cell r="AH838">
            <v>13.14876602</v>
          </cell>
          <cell r="AI838">
            <v>13.347447499999999</v>
          </cell>
          <cell r="AJ838">
            <v>13.54801494</v>
          </cell>
          <cell r="AK838">
            <v>13.75043698</v>
          </cell>
          <cell r="AL838">
            <v>13.950797590000001</v>
          </cell>
          <cell r="AM838">
            <v>14.15060708</v>
          </cell>
          <cell r="AN838">
            <v>14.35036289</v>
          </cell>
          <cell r="AO838">
            <v>14.550316029999999</v>
          </cell>
          <cell r="AP838">
            <v>14.750646509999999</v>
          </cell>
          <cell r="AQ838">
            <v>14.951504330000001</v>
          </cell>
          <cell r="AR838">
            <v>15.153019759999999</v>
          </cell>
          <cell r="AS838">
            <v>15.35530237</v>
          </cell>
          <cell r="AT838">
            <v>15.55844445</v>
          </cell>
          <cell r="AU838">
            <v>15.76252478</v>
          </cell>
          <cell r="AV838">
            <v>15.96792057</v>
          </cell>
          <cell r="AW838">
            <v>16.175003019999998</v>
          </cell>
          <cell r="AX838">
            <v>16.384154519999999</v>
          </cell>
          <cell r="AY838">
            <v>16.595561750000002</v>
          </cell>
          <cell r="AZ838">
            <v>16.80926448</v>
          </cell>
          <cell r="BA838">
            <v>18.902690150000002</v>
          </cell>
          <cell r="BB838">
            <v>19.241249150000002</v>
          </cell>
          <cell r="BC838">
            <v>19.583814780000001</v>
          </cell>
          <cell r="BD838">
            <v>19.930375250000001</v>
          </cell>
          <cell r="BE838">
            <v>20.28092526</v>
          </cell>
        </row>
        <row r="840">
          <cell r="A840" t="str">
            <v>ems_ci_co2_spap_2</v>
          </cell>
          <cell r="B840">
            <v>2.5593516269999999</v>
          </cell>
          <cell r="C840">
            <v>2.5866934769999999</v>
          </cell>
          <cell r="D840">
            <v>2.617505913</v>
          </cell>
          <cell r="E840">
            <v>2.651945864</v>
          </cell>
          <cell r="F840">
            <v>2.6897167400000002</v>
          </cell>
          <cell r="G840">
            <v>2.7303597590000002</v>
          </cell>
          <cell r="H840">
            <v>2.771658789</v>
          </cell>
          <cell r="I840">
            <v>2.8142821410000001</v>
          </cell>
          <cell r="J840">
            <v>2.858179325</v>
          </cell>
          <cell r="K840">
            <v>2.9032059120000002</v>
          </cell>
          <cell r="L840">
            <v>2.952304201</v>
          </cell>
          <cell r="M840">
            <v>3.0004038820000001</v>
          </cell>
          <cell r="N840">
            <v>3.0488396099999999</v>
          </cell>
          <cell r="O840">
            <v>3.0978413499999999</v>
          </cell>
          <cell r="P840">
            <v>3.1474362999999999</v>
          </cell>
          <cell r="Q840">
            <v>3.197625897</v>
          </cell>
          <cell r="R840">
            <v>3.248404292</v>
          </cell>
          <cell r="S840">
            <v>3.2997836089999999</v>
          </cell>
          <cell r="T840">
            <v>3.3517863999999999</v>
          </cell>
          <cell r="U840">
            <v>3.4044388859999999</v>
          </cell>
          <cell r="V840">
            <v>3.4554763639999999</v>
          </cell>
          <cell r="W840">
            <v>3.5086257879999998</v>
          </cell>
          <cell r="X840">
            <v>3.5628629119999999</v>
          </cell>
          <cell r="Y840">
            <v>3.6180024350000002</v>
          </cell>
          <cell r="Z840">
            <v>3.6740202019999999</v>
          </cell>
          <cell r="AA840">
            <v>3.72428267</v>
          </cell>
          <cell r="AB840">
            <v>3.7763669310000001</v>
          </cell>
          <cell r="AC840">
            <v>3.8291421649999999</v>
          </cell>
          <cell r="AD840">
            <v>3.8824920010000001</v>
          </cell>
          <cell r="AE840">
            <v>3.9364889509999998</v>
          </cell>
          <cell r="AF840">
            <v>3.9912246929999999</v>
          </cell>
          <cell r="AG840">
            <v>4.0467792579999999</v>
          </cell>
          <cell r="AH840">
            <v>4.103207684</v>
          </cell>
          <cell r="AI840">
            <v>4.1605438279999998</v>
          </cell>
          <cell r="AJ840">
            <v>4.2188058570000004</v>
          </cell>
          <cell r="AK840">
            <v>4.2780011670000002</v>
          </cell>
          <cell r="AL840">
            <v>4.3365593340000004</v>
          </cell>
          <cell r="AM840">
            <v>4.3954604249999996</v>
          </cell>
          <cell r="AN840">
            <v>4.4549396610000001</v>
          </cell>
          <cell r="AO840">
            <v>4.5150842459999998</v>
          </cell>
          <cell r="AP840">
            <v>4.5759518669999997</v>
          </cell>
          <cell r="AQ840">
            <v>4.6375992760000004</v>
          </cell>
          <cell r="AR840">
            <v>4.7000699770000001</v>
          </cell>
          <cell r="AS840">
            <v>4.7633961740000004</v>
          </cell>
          <cell r="AT840">
            <v>4.8276008279999996</v>
          </cell>
          <cell r="AU840">
            <v>4.8926995169999996</v>
          </cell>
          <cell r="AV840">
            <v>4.9589492460000004</v>
          </cell>
          <cell r="AW840">
            <v>5.0263689889999998</v>
          </cell>
          <cell r="AX840">
            <v>5.0949765899999999</v>
          </cell>
          <cell r="AY840">
            <v>5.1647576810000002</v>
          </cell>
          <cell r="AZ840">
            <v>5.2356883910000001</v>
          </cell>
          <cell r="BA840">
            <v>5.7686918350000003</v>
          </cell>
          <cell r="BB840">
            <v>5.8662594649999997</v>
          </cell>
          <cell r="BC840">
            <v>5.9654531390000001</v>
          </cell>
          <cell r="BD840">
            <v>6.0663068249999998</v>
          </cell>
          <cell r="BE840">
            <v>6.1688547480000002</v>
          </cell>
        </row>
        <row r="842">
          <cell r="A842" t="str">
            <v>ems_ci_co2_sche_2</v>
          </cell>
          <cell r="B842">
            <v>13.6465134</v>
          </cell>
          <cell r="C842">
            <v>13.816650510000001</v>
          </cell>
          <cell r="D842">
            <v>14.005348509999999</v>
          </cell>
          <cell r="E842">
            <v>14.20821984</v>
          </cell>
          <cell r="F842">
            <v>14.423390299999999</v>
          </cell>
          <cell r="G842">
            <v>14.649208590000001</v>
          </cell>
          <cell r="H842">
            <v>14.873266770000001</v>
          </cell>
          <cell r="I842">
            <v>15.102385740000001</v>
          </cell>
          <cell r="J842">
            <v>15.336972879999999</v>
          </cell>
          <cell r="K842">
            <v>15.5765995</v>
          </cell>
          <cell r="L842">
            <v>15.839906129999999</v>
          </cell>
          <cell r="M842">
            <v>16.093086759999998</v>
          </cell>
          <cell r="N842">
            <v>16.34770786</v>
          </cell>
          <cell r="O842">
            <v>16.605442780000001</v>
          </cell>
          <cell r="P842">
            <v>16.866498780000001</v>
          </cell>
          <cell r="Q842">
            <v>17.130910140000001</v>
          </cell>
          <cell r="R842">
            <v>17.39876525</v>
          </cell>
          <cell r="S842">
            <v>17.67013949</v>
          </cell>
          <cell r="T842">
            <v>17.945154840000001</v>
          </cell>
          <cell r="U842">
            <v>18.223956600000001</v>
          </cell>
          <cell r="V842">
            <v>18.49246917</v>
          </cell>
          <cell r="W842">
            <v>18.775847679999998</v>
          </cell>
          <cell r="X842">
            <v>19.065434459999999</v>
          </cell>
          <cell r="Y842">
            <v>19.360028060000001</v>
          </cell>
          <cell r="Z842">
            <v>19.659563639999998</v>
          </cell>
          <cell r="AA842">
            <v>19.922913650000002</v>
          </cell>
          <cell r="AB842">
            <v>20.202970220000001</v>
          </cell>
          <cell r="AC842">
            <v>20.488827969999999</v>
          </cell>
          <cell r="AD842">
            <v>20.779230380000001</v>
          </cell>
          <cell r="AE842">
            <v>21.074357580000001</v>
          </cell>
          <cell r="AF842">
            <v>21.374551010000001</v>
          </cell>
          <cell r="AG842">
            <v>21.68009142</v>
          </cell>
          <cell r="AH842">
            <v>21.99119022</v>
          </cell>
          <cell r="AI842">
            <v>22.307973489999998</v>
          </cell>
          <cell r="AJ842">
            <v>22.630499919999998</v>
          </cell>
          <cell r="AK842">
            <v>22.958778649999999</v>
          </cell>
          <cell r="AL842">
            <v>23.282637430000001</v>
          </cell>
          <cell r="AM842">
            <v>23.609568070000002</v>
          </cell>
          <cell r="AN842">
            <v>23.940867950000001</v>
          </cell>
          <cell r="AO842">
            <v>24.276873519999999</v>
          </cell>
          <cell r="AP842">
            <v>24.61776394</v>
          </cell>
          <cell r="AQ842">
            <v>24.963663010000001</v>
          </cell>
          <cell r="AR842">
            <v>25.314689850000001</v>
          </cell>
          <cell r="AS842">
            <v>25.67092457</v>
          </cell>
          <cell r="AT842">
            <v>26.032414559999999</v>
          </cell>
          <cell r="AU842">
            <v>26.39918072</v>
          </cell>
          <cell r="AV842">
            <v>26.771950660000002</v>
          </cell>
          <cell r="AW842">
            <v>27.15079858</v>
          </cell>
          <cell r="AX842">
            <v>27.536145470000001</v>
          </cell>
          <cell r="AY842">
            <v>27.928208510000001</v>
          </cell>
          <cell r="AZ842">
            <v>28.3270518</v>
          </cell>
          <cell r="BA842">
            <v>30.561713749999999</v>
          </cell>
          <cell r="BB842">
            <v>31.087305239999999</v>
          </cell>
          <cell r="BC842">
            <v>31.622493739999999</v>
          </cell>
          <cell r="BD842">
            <v>32.167449670000003</v>
          </cell>
          <cell r="BE842">
            <v>32.722338440000001</v>
          </cell>
        </row>
        <row r="844">
          <cell r="A844" t="str">
            <v>ems_ci_co2_spla_2</v>
          </cell>
          <cell r="B844">
            <v>1.5081394319999999</v>
          </cell>
          <cell r="C844">
            <v>1.526364716</v>
          </cell>
          <cell r="D844">
            <v>1.54649215</v>
          </cell>
          <cell r="E844">
            <v>1.5682508509999999</v>
          </cell>
          <cell r="F844">
            <v>1.591532183</v>
          </cell>
          <cell r="G844">
            <v>1.616221015</v>
          </cell>
          <cell r="H844">
            <v>1.641092596</v>
          </cell>
          <cell r="I844">
            <v>1.6667068949999999</v>
          </cell>
          <cell r="J844">
            <v>1.6930905789999999</v>
          </cell>
          <cell r="K844">
            <v>1.720182366</v>
          </cell>
          <cell r="L844">
            <v>1.7498206810000001</v>
          </cell>
          <cell r="M844">
            <v>1.7787945119999999</v>
          </cell>
          <cell r="N844">
            <v>1.808026082</v>
          </cell>
          <cell r="O844">
            <v>1.837667387</v>
          </cell>
          <cell r="P844">
            <v>1.867730876</v>
          </cell>
          <cell r="Q844">
            <v>1.8982081719999999</v>
          </cell>
          <cell r="R844">
            <v>1.929091871</v>
          </cell>
          <cell r="S844">
            <v>1.9603778160000001</v>
          </cell>
          <cell r="T844">
            <v>1.992067112</v>
          </cell>
          <cell r="U844">
            <v>2.0241648149999998</v>
          </cell>
          <cell r="V844">
            <v>2.0552538079999998</v>
          </cell>
          <cell r="W844">
            <v>2.0877068489999999</v>
          </cell>
          <cell r="X844">
            <v>2.1208143339999999</v>
          </cell>
          <cell r="Y844">
            <v>2.1544525509999999</v>
          </cell>
          <cell r="Z844">
            <v>2.1886083759999999</v>
          </cell>
          <cell r="AA844">
            <v>2.2191571419999998</v>
          </cell>
          <cell r="AB844">
            <v>2.250993169</v>
          </cell>
          <cell r="AC844">
            <v>2.283299966</v>
          </cell>
          <cell r="AD844">
            <v>2.3159789549999998</v>
          </cell>
          <cell r="AE844">
            <v>2.3490625139999999</v>
          </cell>
          <cell r="AF844">
            <v>2.3826009830000001</v>
          </cell>
          <cell r="AG844">
            <v>2.4166400810000002</v>
          </cell>
          <cell r="AH844">
            <v>2.4512163330000001</v>
          </cell>
          <cell r="AI844">
            <v>2.4863557790000002</v>
          </cell>
          <cell r="AJ844">
            <v>2.5220749570000001</v>
          </cell>
          <cell r="AK844">
            <v>2.5583824420000001</v>
          </cell>
          <cell r="AL844">
            <v>2.5942736449999999</v>
          </cell>
          <cell r="AM844">
            <v>2.6303983620000002</v>
          </cell>
          <cell r="AN844">
            <v>2.6668990379999999</v>
          </cell>
          <cell r="AO844">
            <v>2.7038204060000002</v>
          </cell>
          <cell r="AP844">
            <v>2.7411872609999999</v>
          </cell>
          <cell r="AQ844">
            <v>2.7790188429999998</v>
          </cell>
          <cell r="AR844">
            <v>2.8173314509999998</v>
          </cell>
          <cell r="AS844">
            <v>2.8561374019999999</v>
          </cell>
          <cell r="AT844">
            <v>2.8954453199999999</v>
          </cell>
          <cell r="AU844">
            <v>2.935260628</v>
          </cell>
          <cell r="AV844">
            <v>2.9755207299999999</v>
          </cell>
          <cell r="AW844">
            <v>3.0162135669999999</v>
          </cell>
          <cell r="AX844">
            <v>3.0574390469999999</v>
          </cell>
          <cell r="AY844">
            <v>3.099296002</v>
          </cell>
          <cell r="AZ844">
            <v>3.1418526290000002</v>
          </cell>
          <cell r="BA844">
            <v>3.4308599389999999</v>
          </cell>
          <cell r="BB844">
            <v>3.489882326</v>
          </cell>
          <cell r="BC844">
            <v>3.5498856779999999</v>
          </cell>
          <cell r="BD844">
            <v>3.6108895250000002</v>
          </cell>
          <cell r="BE844">
            <v>3.6729123210000001</v>
          </cell>
        </row>
        <row r="846">
          <cell r="A846" t="str">
            <v>ems_ci_co2_smet_2</v>
          </cell>
          <cell r="B846">
            <v>19.75651856</v>
          </cell>
          <cell r="C846">
            <v>20.002461360000002</v>
          </cell>
          <cell r="D846">
            <v>20.27709462</v>
          </cell>
          <cell r="E846">
            <v>20.57210109</v>
          </cell>
          <cell r="F846">
            <v>20.883216269999998</v>
          </cell>
          <cell r="G846">
            <v>21.20835258</v>
          </cell>
          <cell r="H846">
            <v>21.532706170000001</v>
          </cell>
          <cell r="I846">
            <v>21.864512940000001</v>
          </cell>
          <cell r="J846">
            <v>22.205222190000001</v>
          </cell>
          <cell r="K846">
            <v>22.554805049999999</v>
          </cell>
          <cell r="L846">
            <v>22.936817640000001</v>
          </cell>
          <cell r="M846">
            <v>23.310893480000001</v>
          </cell>
          <cell r="N846">
            <v>23.688907749999998</v>
          </cell>
          <cell r="O846">
            <v>24.073197260000001</v>
          </cell>
          <cell r="P846">
            <v>24.46413471</v>
          </cell>
          <cell r="Q846">
            <v>24.861739830000001</v>
          </cell>
          <cell r="R846">
            <v>25.266022889999999</v>
          </cell>
          <cell r="S846">
            <v>25.677030720000001</v>
          </cell>
          <cell r="T846">
            <v>26.094855389999999</v>
          </cell>
          <cell r="U846">
            <v>26.519616849999998</v>
          </cell>
          <cell r="V846">
            <v>26.93356876</v>
          </cell>
          <cell r="W846">
            <v>27.366692270000001</v>
          </cell>
          <cell r="X846">
            <v>27.81000577</v>
          </cell>
          <cell r="Y846">
            <v>28.261688899999999</v>
          </cell>
          <cell r="Z846">
            <v>28.721426709999999</v>
          </cell>
          <cell r="AA846">
            <v>29.13732984</v>
          </cell>
          <cell r="AB846">
            <v>29.571289879999998</v>
          </cell>
          <cell r="AC846">
            <v>30.013050839999998</v>
          </cell>
          <cell r="AD846">
            <v>30.460798230000002</v>
          </cell>
          <cell r="AE846">
            <v>30.9144638</v>
          </cell>
          <cell r="AF846">
            <v>31.374293189999999</v>
          </cell>
          <cell r="AG846">
            <v>31.840529270000001</v>
          </cell>
          <cell r="AH846">
            <v>32.313340779999997</v>
          </cell>
          <cell r="AI846">
            <v>32.792806720000002</v>
          </cell>
          <cell r="AJ846">
            <v>33.278927539999998</v>
          </cell>
          <cell r="AK846">
            <v>33.771644469999998</v>
          </cell>
          <cell r="AL846">
            <v>34.258151810000001</v>
          </cell>
          <cell r="AM846">
            <v>34.746634239999999</v>
          </cell>
          <cell r="AN846">
            <v>35.23893949</v>
          </cell>
          <cell r="AO846">
            <v>35.735582059999999</v>
          </cell>
          <cell r="AP846">
            <v>36.236797299999999</v>
          </cell>
          <cell r="AQ846">
            <v>36.742753299999997</v>
          </cell>
          <cell r="AR846">
            <v>37.253597429999999</v>
          </cell>
          <cell r="AS846">
            <v>37.769454719999999</v>
          </cell>
          <cell r="AT846">
            <v>38.290428110000001</v>
          </cell>
          <cell r="AU846">
            <v>38.816600770000001</v>
          </cell>
          <cell r="AV846">
            <v>39.349814170000002</v>
          </cell>
          <cell r="AW846">
            <v>39.890378980000001</v>
          </cell>
          <cell r="AX846">
            <v>40.438709840000001</v>
          </cell>
          <cell r="AY846">
            <v>40.994854889999999</v>
          </cell>
          <cell r="AZ846">
            <v>41.558649019999997</v>
          </cell>
          <cell r="BA846">
            <v>45.68449012</v>
          </cell>
          <cell r="BB846">
            <v>46.492077760000001</v>
          </cell>
          <cell r="BC846">
            <v>47.312222509999998</v>
          </cell>
          <cell r="BD846">
            <v>48.1450423</v>
          </cell>
          <cell r="BE846">
            <v>48.99065882</v>
          </cell>
        </row>
        <row r="848">
          <cell r="A848" t="str">
            <v>ems_ci_co2_sigo_2</v>
          </cell>
          <cell r="B848">
            <v>1.230205456</v>
          </cell>
          <cell r="C848">
            <v>1.2474289409999999</v>
          </cell>
          <cell r="D848">
            <v>1.2659765249999999</v>
          </cell>
          <cell r="E848">
            <v>1.285304805</v>
          </cell>
          <cell r="F848">
            <v>1.305501657</v>
          </cell>
          <cell r="G848">
            <v>1.326608113</v>
          </cell>
          <cell r="H848">
            <v>1.347505621</v>
          </cell>
          <cell r="I848">
            <v>1.368936154</v>
          </cell>
          <cell r="J848">
            <v>1.3909358839999999</v>
          </cell>
          <cell r="K848">
            <v>1.4134627909999999</v>
          </cell>
          <cell r="L848">
            <v>1.438360884</v>
          </cell>
          <cell r="M848">
            <v>1.46225487</v>
          </cell>
          <cell r="N848">
            <v>1.48637131</v>
          </cell>
          <cell r="O848">
            <v>1.5108543240000001</v>
          </cell>
          <cell r="P848">
            <v>1.5357103759999999</v>
          </cell>
          <cell r="Q848">
            <v>1.5609271810000001</v>
          </cell>
          <cell r="R848">
            <v>1.5864899610000001</v>
          </cell>
          <cell r="S848">
            <v>1.612383643</v>
          </cell>
          <cell r="T848">
            <v>1.6385960239999999</v>
          </cell>
          <cell r="U848">
            <v>1.665118248</v>
          </cell>
          <cell r="V848">
            <v>1.6905329170000001</v>
          </cell>
          <cell r="W848">
            <v>1.717348181</v>
          </cell>
          <cell r="X848">
            <v>1.7446301399999999</v>
          </cell>
          <cell r="Y848">
            <v>1.772265684</v>
          </cell>
          <cell r="Z848">
            <v>1.8002492779999999</v>
          </cell>
          <cell r="AA848">
            <v>1.824497035</v>
          </cell>
          <cell r="AB848">
            <v>1.850355199</v>
          </cell>
          <cell r="AC848">
            <v>1.8766092000000001</v>
          </cell>
          <cell r="AD848">
            <v>1.903146169</v>
          </cell>
          <cell r="AE848">
            <v>1.9299925790000001</v>
          </cell>
          <cell r="AF848">
            <v>1.9571920629999999</v>
          </cell>
          <cell r="AG848">
            <v>1.984788615</v>
          </cell>
          <cell r="AH848">
            <v>2.0128235110000001</v>
          </cell>
          <cell r="AI848">
            <v>2.0413328370000001</v>
          </cell>
          <cell r="AJ848">
            <v>2.0703463819999999</v>
          </cell>
          <cell r="AK848">
            <v>2.0998871170000002</v>
          </cell>
          <cell r="AL848">
            <v>2.12897296</v>
          </cell>
          <cell r="AM848">
            <v>2.1583748680000001</v>
          </cell>
          <cell r="AN848">
            <v>2.1882051570000001</v>
          </cell>
          <cell r="AO848">
            <v>2.2184891520000001</v>
          </cell>
          <cell r="AP848">
            <v>2.2492390289999999</v>
          </cell>
          <cell r="AQ848">
            <v>2.2804633349999999</v>
          </cell>
          <cell r="AR848">
            <v>2.312169414</v>
          </cell>
          <cell r="AS848">
            <v>2.3443625840000002</v>
          </cell>
          <cell r="AT848">
            <v>2.3770463519999998</v>
          </cell>
          <cell r="AU848">
            <v>2.4102224880000001</v>
          </cell>
          <cell r="AV848">
            <v>2.4435260209999998</v>
          </cell>
          <cell r="AW848">
            <v>2.4768414939999999</v>
          </cell>
          <cell r="AX848">
            <v>2.5103370159999998</v>
          </cell>
          <cell r="AY848">
            <v>2.5442311279999998</v>
          </cell>
          <cell r="AZ848">
            <v>2.5786998240000001</v>
          </cell>
          <cell r="BA848">
            <v>2.8515174139999999</v>
          </cell>
          <cell r="BB848">
            <v>2.9011489689999999</v>
          </cell>
          <cell r="BC848">
            <v>2.9516550380000002</v>
          </cell>
          <cell r="BD848">
            <v>3.0030616079999999</v>
          </cell>
          <cell r="BE848">
            <v>3.0553923369999998</v>
          </cell>
        </row>
        <row r="850">
          <cell r="A850" t="str">
            <v>ems_ci_co2_scgo_2</v>
          </cell>
          <cell r="B850">
            <v>2.2932251429999999</v>
          </cell>
          <cell r="C850">
            <v>2.3136879320000001</v>
          </cell>
          <cell r="D850">
            <v>2.3374843840000001</v>
          </cell>
          <cell r="E850">
            <v>2.3652719069999999</v>
          </cell>
          <cell r="F850">
            <v>2.3968143610000001</v>
          </cell>
          <cell r="G850">
            <v>2.4315998350000001</v>
          </cell>
          <cell r="H850">
            <v>2.4676027839999999</v>
          </cell>
          <cell r="I850">
            <v>2.505096601</v>
          </cell>
          <cell r="J850">
            <v>2.5439471280000001</v>
          </cell>
          <cell r="K850">
            <v>2.583991374</v>
          </cell>
          <cell r="L850">
            <v>2.6276790839999999</v>
          </cell>
          <cell r="M850">
            <v>2.6709856749999998</v>
          </cell>
          <cell r="N850">
            <v>2.7147442239999999</v>
          </cell>
          <cell r="O850">
            <v>2.759118022</v>
          </cell>
          <cell r="P850">
            <v>2.804120749</v>
          </cell>
          <cell r="Q850">
            <v>2.8497338399999999</v>
          </cell>
          <cell r="R850">
            <v>2.8959107369999999</v>
          </cell>
          <cell r="S850">
            <v>2.942620089</v>
          </cell>
          <cell r="T850">
            <v>2.9898453589999998</v>
          </cell>
          <cell r="U850">
            <v>3.0375772840000002</v>
          </cell>
          <cell r="V850">
            <v>3.0838881460000001</v>
          </cell>
          <cell r="W850">
            <v>3.1316944950000001</v>
          </cell>
          <cell r="X850">
            <v>3.1803217620000002</v>
          </cell>
          <cell r="Y850">
            <v>3.2296149779999999</v>
          </cell>
          <cell r="Z850">
            <v>3.2795398439999999</v>
          </cell>
          <cell r="AA850">
            <v>3.3245306280000002</v>
          </cell>
          <cell r="AB850">
            <v>3.370400461</v>
          </cell>
          <cell r="AC850">
            <v>3.4165382700000002</v>
          </cell>
          <cell r="AD850">
            <v>3.4629112900000001</v>
          </cell>
          <cell r="AE850">
            <v>3.5096084489999999</v>
          </cell>
          <cell r="AF850">
            <v>3.5567330739999998</v>
          </cell>
          <cell r="AG850">
            <v>3.6043864189999999</v>
          </cell>
          <cell r="AH850">
            <v>3.652649281</v>
          </cell>
          <cell r="AI850">
            <v>3.701581934</v>
          </cell>
          <cell r="AJ850">
            <v>3.7512275719999999</v>
          </cell>
          <cell r="AK850">
            <v>3.8016151520000001</v>
          </cell>
          <cell r="AL850">
            <v>3.851492259</v>
          </cell>
          <cell r="AM850">
            <v>3.9015673560000002</v>
          </cell>
          <cell r="AN850">
            <v>3.952037893</v>
          </cell>
          <cell r="AO850">
            <v>4.002977628</v>
          </cell>
          <cell r="AP850">
            <v>4.0544313949999999</v>
          </cell>
          <cell r="AQ850">
            <v>4.1064496769999996</v>
          </cell>
          <cell r="AR850">
            <v>4.1590699359999999</v>
          </cell>
          <cell r="AS850">
            <v>4.2123181250000004</v>
          </cell>
          <cell r="AT850">
            <v>4.2662127879999998</v>
          </cell>
          <cell r="AU850">
            <v>4.3207670360000003</v>
          </cell>
          <cell r="AV850">
            <v>4.3755826019999997</v>
          </cell>
          <cell r="AW850">
            <v>4.430643334</v>
          </cell>
          <cell r="AX850">
            <v>4.4862012330000001</v>
          </cell>
          <cell r="AY850">
            <v>4.5425253589999999</v>
          </cell>
          <cell r="AZ850">
            <v>4.5998131190000002</v>
          </cell>
          <cell r="BA850">
            <v>5.2745794760000004</v>
          </cell>
          <cell r="BB850">
            <v>5.3645123290000001</v>
          </cell>
          <cell r="BC850">
            <v>5.4558339399999998</v>
          </cell>
          <cell r="BD850">
            <v>5.5485816579999998</v>
          </cell>
          <cell r="BE850">
            <v>5.642790593</v>
          </cell>
        </row>
        <row r="852">
          <cell r="A852" t="str">
            <v>ems_ci_co2_scon_2</v>
          </cell>
          <cell r="B852">
            <v>7.7509087120000002</v>
          </cell>
          <cell r="C852">
            <v>7.8247108870000002</v>
          </cell>
          <cell r="D852">
            <v>7.8967036200000003</v>
          </cell>
          <cell r="E852">
            <v>7.9766911809999996</v>
          </cell>
          <cell r="F852">
            <v>8.0711047909999998</v>
          </cell>
          <cell r="G852">
            <v>8.1827220240000003</v>
          </cell>
          <cell r="H852">
            <v>8.3084031159999991</v>
          </cell>
          <cell r="I852">
            <v>8.4470305339999996</v>
          </cell>
          <cell r="J852">
            <v>8.597773836</v>
          </cell>
          <cell r="K852">
            <v>8.759975098</v>
          </cell>
          <cell r="L852">
            <v>8.9392611389999992</v>
          </cell>
          <cell r="M852">
            <v>9.1297073910000002</v>
          </cell>
          <cell r="N852">
            <v>9.3298724859999993</v>
          </cell>
          <cell r="O852">
            <v>9.5391355119999997</v>
          </cell>
          <cell r="P852">
            <v>9.7569673669999997</v>
          </cell>
          <cell r="Q852">
            <v>9.9827391129999992</v>
          </cell>
          <cell r="R852">
            <v>10.21569285</v>
          </cell>
          <cell r="S852">
            <v>10.45496355</v>
          </cell>
          <cell r="T852">
            <v>10.69965302</v>
          </cell>
          <cell r="U852">
            <v>10.94886354</v>
          </cell>
          <cell r="V852">
            <v>11.19690726</v>
          </cell>
          <cell r="W852">
            <v>11.447166810000001</v>
          </cell>
          <cell r="X852">
            <v>11.69971301</v>
          </cell>
          <cell r="Y852">
            <v>11.95403619</v>
          </cell>
          <cell r="Z852">
            <v>12.20956217</v>
          </cell>
          <cell r="AA852">
            <v>12.451508560000001</v>
          </cell>
          <cell r="AB852">
            <v>12.68507911</v>
          </cell>
          <cell r="AC852">
            <v>12.91147243</v>
          </cell>
          <cell r="AD852">
            <v>13.13117888</v>
          </cell>
          <cell r="AE852">
            <v>13.34454713</v>
          </cell>
          <cell r="AF852">
            <v>13.551950890000001</v>
          </cell>
          <cell r="AG852">
            <v>13.75384753</v>
          </cell>
          <cell r="AH852">
            <v>13.950780440000001</v>
          </cell>
          <cell r="AI852">
            <v>14.143327530000001</v>
          </cell>
          <cell r="AJ852">
            <v>14.332054619999999</v>
          </cell>
          <cell r="AK852">
            <v>14.51747533</v>
          </cell>
          <cell r="AL852">
            <v>14.696504089999999</v>
          </cell>
          <cell r="AM852">
            <v>14.86900786</v>
          </cell>
          <cell r="AN852">
            <v>15.03534339</v>
          </cell>
          <cell r="AO852">
            <v>15.19593111</v>
          </cell>
          <cell r="AP852">
            <v>15.35117127</v>
          </cell>
          <cell r="AQ852">
            <v>15.501432080000001</v>
          </cell>
          <cell r="AR852">
            <v>15.64708123</v>
          </cell>
          <cell r="AS852">
            <v>15.788479819999999</v>
          </cell>
          <cell r="AT852">
            <v>15.925992239999999</v>
          </cell>
          <cell r="AU852">
            <v>16.059986510000002</v>
          </cell>
          <cell r="AV852">
            <v>16.179726339999998</v>
          </cell>
          <cell r="AW852">
            <v>16.283828110000002</v>
          </cell>
          <cell r="AX852">
            <v>16.376431149999998</v>
          </cell>
          <cell r="AY852">
            <v>16.462923450000002</v>
          </cell>
          <cell r="AZ852">
            <v>16.547803859999998</v>
          </cell>
          <cell r="BA852">
            <v>23.246582029999999</v>
          </cell>
          <cell r="BB852">
            <v>23.652213870000001</v>
          </cell>
          <cell r="BC852">
            <v>24.054386350000001</v>
          </cell>
          <cell r="BD852">
            <v>24.453275439999999</v>
          </cell>
          <cell r="BE852">
            <v>24.84906221</v>
          </cell>
        </row>
        <row r="854">
          <cell r="A854" t="str">
            <v>ems_ci_co2_srai_2</v>
          </cell>
          <cell r="B854">
            <v>1.738130263</v>
          </cell>
          <cell r="C854">
            <v>1.757615122</v>
          </cell>
          <cell r="D854">
            <v>1.778030351</v>
          </cell>
          <cell r="E854">
            <v>1.799797511</v>
          </cell>
          <cell r="F854">
            <v>1.823021212</v>
          </cell>
          <cell r="G854">
            <v>1.847637266</v>
          </cell>
          <cell r="H854">
            <v>1.872529876</v>
          </cell>
          <cell r="I854">
            <v>1.898096096</v>
          </cell>
          <cell r="J854">
            <v>1.924359009</v>
          </cell>
          <cell r="K854">
            <v>1.9512637479999999</v>
          </cell>
          <cell r="L854">
            <v>1.9804692290000001</v>
          </cell>
          <cell r="M854">
            <v>2.0092267540000002</v>
          </cell>
          <cell r="N854">
            <v>2.038162094</v>
          </cell>
          <cell r="O854">
            <v>2.0673951499999998</v>
          </cell>
          <cell r="P854">
            <v>2.0969391430000002</v>
          </cell>
          <cell r="Q854">
            <v>2.126793755</v>
          </cell>
          <cell r="R854">
            <v>2.1569598920000002</v>
          </cell>
          <cell r="S854">
            <v>2.187449822</v>
          </cell>
          <cell r="T854">
            <v>2.2182766379999999</v>
          </cell>
          <cell r="U854">
            <v>2.2494546139999998</v>
          </cell>
          <cell r="V854">
            <v>2.279717056</v>
          </cell>
          <cell r="W854">
            <v>2.3110818110000002</v>
          </cell>
          <cell r="X854">
            <v>2.3430626050000001</v>
          </cell>
          <cell r="Y854">
            <v>2.3755570760000002</v>
          </cell>
          <cell r="Z854">
            <v>2.40854846</v>
          </cell>
          <cell r="AA854">
            <v>2.4383301930000001</v>
          </cell>
          <cell r="AB854">
            <v>2.4689410270000001</v>
          </cell>
          <cell r="AC854">
            <v>2.4999000320000002</v>
          </cell>
          <cell r="AD854">
            <v>2.5311669320000001</v>
          </cell>
          <cell r="AE854">
            <v>2.5627947870000001</v>
          </cell>
          <cell r="AF854">
            <v>2.594843376</v>
          </cell>
          <cell r="AG854">
            <v>2.6273610280000002</v>
          </cell>
          <cell r="AH854">
            <v>2.66037955</v>
          </cell>
          <cell r="AI854">
            <v>2.6939191029999998</v>
          </cell>
          <cell r="AJ854">
            <v>2.7279906779999998</v>
          </cell>
          <cell r="AK854">
            <v>2.7625989720000002</v>
          </cell>
          <cell r="AL854">
            <v>2.7968551640000001</v>
          </cell>
          <cell r="AM854">
            <v>2.8312484119999999</v>
          </cell>
          <cell r="AN854">
            <v>2.8659268390000001</v>
          </cell>
          <cell r="AO854">
            <v>2.9009592560000002</v>
          </cell>
          <cell r="AP854">
            <v>2.9363939669999999</v>
          </cell>
          <cell r="AQ854">
            <v>2.9722714020000001</v>
          </cell>
          <cell r="AR854">
            <v>3.0086207620000001</v>
          </cell>
          <cell r="AS854">
            <v>3.0454648190000002</v>
          </cell>
          <cell r="AT854">
            <v>3.0828196480000001</v>
          </cell>
          <cell r="AU854">
            <v>3.120695773</v>
          </cell>
          <cell r="AV854">
            <v>3.159267507</v>
          </cell>
          <cell r="AW854">
            <v>3.1985211059999998</v>
          </cell>
          <cell r="AX854">
            <v>3.2384449160000002</v>
          </cell>
          <cell r="AY854">
            <v>3.2790207859999998</v>
          </cell>
          <cell r="AZ854">
            <v>3.3202344020000001</v>
          </cell>
          <cell r="BA854">
            <v>3.575424505</v>
          </cell>
          <cell r="BB854">
            <v>3.6299902319999999</v>
          </cell>
          <cell r="BC854">
            <v>3.6854330360000001</v>
          </cell>
          <cell r="BD854">
            <v>3.7417713899999998</v>
          </cell>
          <cell r="BE854">
            <v>3.7990240829999999</v>
          </cell>
        </row>
        <row r="856">
          <cell r="A856" t="str">
            <v>ems_ci_co2_sroa_2</v>
          </cell>
          <cell r="B856">
            <v>17.352897380000002</v>
          </cell>
          <cell r="C856">
            <v>17.5480372</v>
          </cell>
          <cell r="D856">
            <v>17.752672499999999</v>
          </cell>
          <cell r="E856">
            <v>17.970805989999999</v>
          </cell>
          <cell r="F856">
            <v>18.20334536</v>
          </cell>
          <cell r="G856">
            <v>18.449593350000001</v>
          </cell>
          <cell r="H856">
            <v>18.698425319999998</v>
          </cell>
          <cell r="I856">
            <v>18.95384099</v>
          </cell>
          <cell r="J856">
            <v>19.216102419999999</v>
          </cell>
          <cell r="K856">
            <v>19.484685219999999</v>
          </cell>
          <cell r="L856">
            <v>19.776139959999998</v>
          </cell>
          <cell r="M856">
            <v>20.063043879999999</v>
          </cell>
          <cell r="N856">
            <v>20.351671289999999</v>
          </cell>
          <cell r="O856">
            <v>20.64323529</v>
          </cell>
          <cell r="P856">
            <v>20.937879219999999</v>
          </cell>
          <cell r="Q856">
            <v>21.235610900000001</v>
          </cell>
          <cell r="R856">
            <v>21.536451320000001</v>
          </cell>
          <cell r="S856">
            <v>21.840535930000001</v>
          </cell>
          <cell r="T856">
            <v>22.148007799999998</v>
          </cell>
          <cell r="U856">
            <v>22.45902062</v>
          </cell>
          <cell r="V856">
            <v>22.760958970000001</v>
          </cell>
          <cell r="W856">
            <v>23.073968910000001</v>
          </cell>
          <cell r="X856">
            <v>23.393189150000001</v>
          </cell>
          <cell r="Y856">
            <v>23.717595500000002</v>
          </cell>
          <cell r="Z856">
            <v>24.047020239999998</v>
          </cell>
          <cell r="AA856">
            <v>24.344517799999998</v>
          </cell>
          <cell r="AB856">
            <v>24.650416589999999</v>
          </cell>
          <cell r="AC856">
            <v>24.959897009999999</v>
          </cell>
          <cell r="AD856">
            <v>25.27253966</v>
          </cell>
          <cell r="AE856">
            <v>25.588859750000001</v>
          </cell>
          <cell r="AF856">
            <v>25.909440650000001</v>
          </cell>
          <cell r="AG856">
            <v>26.23475114</v>
          </cell>
          <cell r="AH856">
            <v>26.56509449</v>
          </cell>
          <cell r="AI856">
            <v>26.900657939999999</v>
          </cell>
          <cell r="AJ856">
            <v>27.241538219999999</v>
          </cell>
          <cell r="AK856">
            <v>27.587771029999999</v>
          </cell>
          <cell r="AL856">
            <v>27.930486949999999</v>
          </cell>
          <cell r="AM856">
            <v>28.274574099999999</v>
          </cell>
          <cell r="AN856">
            <v>28.621510600000001</v>
          </cell>
          <cell r="AO856">
            <v>28.97198075</v>
          </cell>
          <cell r="AP856">
            <v>29.32646415</v>
          </cell>
          <cell r="AQ856">
            <v>29.68536245</v>
          </cell>
          <cell r="AR856">
            <v>30.048965419999998</v>
          </cell>
          <cell r="AS856">
            <v>30.417499100000001</v>
          </cell>
          <cell r="AT856">
            <v>30.791122940000001</v>
          </cell>
          <cell r="AU856">
            <v>31.169941179999999</v>
          </cell>
          <cell r="AV856">
            <v>31.555930799999999</v>
          </cell>
          <cell r="AW856">
            <v>31.948999449999999</v>
          </cell>
          <cell r="AX856">
            <v>32.348958000000003</v>
          </cell>
          <cell r="AY856">
            <v>32.755521590000001</v>
          </cell>
          <cell r="AZ856">
            <v>33.168459370000001</v>
          </cell>
          <cell r="BA856">
            <v>35.672975299999997</v>
          </cell>
          <cell r="BB856">
            <v>36.217518470000002</v>
          </cell>
          <cell r="BC856">
            <v>36.770833889999999</v>
          </cell>
          <cell r="BD856">
            <v>37.33310058</v>
          </cell>
          <cell r="BE856">
            <v>37.904501580000002</v>
          </cell>
        </row>
        <row r="858">
          <cell r="A858" t="str">
            <v>ems_ci_co2_swat_2</v>
          </cell>
          <cell r="B858">
            <v>3.8410137450000001</v>
          </cell>
          <cell r="C858">
            <v>3.9001353139999999</v>
          </cell>
          <cell r="D858">
            <v>3.9647111079999999</v>
          </cell>
          <cell r="E858">
            <v>4.0313428440000001</v>
          </cell>
          <cell r="F858">
            <v>4.0995566099999996</v>
          </cell>
          <cell r="G858">
            <v>4.1691206440000004</v>
          </cell>
          <cell r="H858">
            <v>4.236165765</v>
          </cell>
          <cell r="I858">
            <v>4.3037409750000002</v>
          </cell>
          <cell r="J858">
            <v>4.3721364539999996</v>
          </cell>
          <cell r="K858">
            <v>4.4413622290000001</v>
          </cell>
          <cell r="L858">
            <v>4.5178182690000002</v>
          </cell>
          <cell r="M858">
            <v>4.5894238129999998</v>
          </cell>
          <cell r="N858">
            <v>4.6612345150000003</v>
          </cell>
          <cell r="O858">
            <v>4.7338822809999996</v>
          </cell>
          <cell r="P858">
            <v>4.8074768419999998</v>
          </cell>
          <cell r="Q858">
            <v>4.8820641739999999</v>
          </cell>
          <cell r="R858">
            <v>4.9576825089999996</v>
          </cell>
          <cell r="S858">
            <v>5.0343704520000001</v>
          </cell>
          <cell r="T858">
            <v>5.1121694739999999</v>
          </cell>
          <cell r="U858">
            <v>5.191124071</v>
          </cell>
          <cell r="V858">
            <v>5.2665101940000003</v>
          </cell>
          <cell r="W858">
            <v>5.3474109439999999</v>
          </cell>
          <cell r="X858">
            <v>5.4301264690000002</v>
          </cell>
          <cell r="Y858">
            <v>5.5142662649999998</v>
          </cell>
          <cell r="Z858">
            <v>5.599829809</v>
          </cell>
          <cell r="AA858">
            <v>5.673035262</v>
          </cell>
          <cell r="AB858">
            <v>5.7535394699999998</v>
          </cell>
          <cell r="AC858">
            <v>5.8362946759999996</v>
          </cell>
          <cell r="AD858">
            <v>5.9207538340000001</v>
          </cell>
          <cell r="AE858">
            <v>6.006891574</v>
          </cell>
          <cell r="AF858">
            <v>6.0947389970000003</v>
          </cell>
          <cell r="AG858">
            <v>6.1843278499999998</v>
          </cell>
          <cell r="AH858">
            <v>6.275682583</v>
          </cell>
          <cell r="AI858">
            <v>6.3688182879999999</v>
          </cell>
          <cell r="AJ858">
            <v>6.4637406689999999</v>
          </cell>
          <cell r="AK858">
            <v>6.56044699</v>
          </cell>
          <cell r="AL858">
            <v>6.655542778</v>
          </cell>
          <cell r="AM858">
            <v>6.751988077</v>
          </cell>
          <cell r="AN858">
            <v>6.8501202650000002</v>
          </cell>
          <cell r="AO858">
            <v>6.9499663580000002</v>
          </cell>
          <cell r="AP858">
            <v>7.051515663</v>
          </cell>
          <cell r="AQ858">
            <v>7.1547524410000003</v>
          </cell>
          <cell r="AR858">
            <v>7.2596604239999998</v>
          </cell>
          <cell r="AS858">
            <v>7.3662229229999996</v>
          </cell>
          <cell r="AT858">
            <v>7.4744230219999999</v>
          </cell>
          <cell r="AU858">
            <v>7.5842437409999999</v>
          </cell>
          <cell r="AV858">
            <v>7.6958423810000003</v>
          </cell>
          <cell r="AW858">
            <v>7.8090814699999997</v>
          </cell>
          <cell r="AX858">
            <v>7.9241407089999996</v>
          </cell>
          <cell r="AY858">
            <v>8.041177266</v>
          </cell>
          <cell r="AZ858">
            <v>8.1602722009999997</v>
          </cell>
          <cell r="BA858">
            <v>8.6662657089999993</v>
          </cell>
          <cell r="BB858">
            <v>8.818578381</v>
          </cell>
          <cell r="BC858">
            <v>8.9739205159999997</v>
          </cell>
          <cell r="BD858">
            <v>9.1323441750000001</v>
          </cell>
          <cell r="BE858">
            <v>9.2938972399999997</v>
          </cell>
        </row>
        <row r="860">
          <cell r="A860" t="str">
            <v>ems_ci_co2_sair_2</v>
          </cell>
          <cell r="B860">
            <v>19.300906860000001</v>
          </cell>
          <cell r="C860">
            <v>19.59662307</v>
          </cell>
          <cell r="D860">
            <v>19.931658089999999</v>
          </cell>
          <cell r="E860">
            <v>20.288756930000002</v>
          </cell>
          <cell r="F860">
            <v>20.66293748</v>
          </cell>
          <cell r="G860">
            <v>21.052422329999999</v>
          </cell>
          <cell r="H860">
            <v>21.44060151</v>
          </cell>
          <cell r="I860">
            <v>21.835661170000002</v>
          </cell>
          <cell r="J860">
            <v>22.238692799999999</v>
          </cell>
          <cell r="K860">
            <v>22.64962367</v>
          </cell>
          <cell r="L860">
            <v>23.095709190000001</v>
          </cell>
          <cell r="M860">
            <v>23.53272947</v>
          </cell>
          <cell r="N860">
            <v>23.9729022</v>
          </cell>
          <cell r="O860">
            <v>24.418057470000001</v>
          </cell>
          <cell r="P860">
            <v>24.868565969999999</v>
          </cell>
          <cell r="Q860">
            <v>25.324683749999998</v>
          </cell>
          <cell r="R860">
            <v>25.78672568</v>
          </cell>
          <cell r="S860">
            <v>26.25506438</v>
          </cell>
          <cell r="T860">
            <v>26.730083579999999</v>
          </cell>
          <cell r="U860">
            <v>27.212153140000002</v>
          </cell>
          <cell r="V860">
            <v>27.680603869999999</v>
          </cell>
          <cell r="W860">
            <v>28.169078290000002</v>
          </cell>
          <cell r="X860">
            <v>28.668639219999999</v>
          </cell>
          <cell r="Y860">
            <v>29.178099889999999</v>
          </cell>
          <cell r="Z860">
            <v>29.697390420000001</v>
          </cell>
          <cell r="AA860">
            <v>30.165040789999999</v>
          </cell>
          <cell r="AB860">
            <v>30.649066510000001</v>
          </cell>
          <cell r="AC860">
            <v>31.13936473</v>
          </cell>
          <cell r="AD860">
            <v>31.635860900000001</v>
          </cell>
          <cell r="AE860">
            <v>32.139800280000003</v>
          </cell>
          <cell r="AF860">
            <v>32.652377080000001</v>
          </cell>
          <cell r="AG860">
            <v>33.174512489999998</v>
          </cell>
          <cell r="AH860">
            <v>33.706849429999998</v>
          </cell>
          <cell r="AI860">
            <v>34.249808889999997</v>
          </cell>
          <cell r="AJ860">
            <v>34.803651649999999</v>
          </cell>
          <cell r="AK860">
            <v>35.368533569999997</v>
          </cell>
          <cell r="AL860">
            <v>35.929276530000003</v>
          </cell>
          <cell r="AM860">
            <v>36.494486170000002</v>
          </cell>
          <cell r="AN860">
            <v>37.066381300000003</v>
          </cell>
          <cell r="AO860">
            <v>37.646176439999998</v>
          </cell>
          <cell r="AP860">
            <v>38.234856319999999</v>
          </cell>
          <cell r="AQ860">
            <v>38.833262730000001</v>
          </cell>
          <cell r="AR860">
            <v>39.442079020000001</v>
          </cell>
          <cell r="AS860">
            <v>40.061835270000003</v>
          </cell>
          <cell r="AT860">
            <v>40.692923129999997</v>
          </cell>
          <cell r="AU860">
            <v>41.335621699999997</v>
          </cell>
          <cell r="AV860">
            <v>41.992412430000002</v>
          </cell>
          <cell r="AW860">
            <v>42.662752779999998</v>
          </cell>
          <cell r="AX860">
            <v>43.346171390000002</v>
          </cell>
          <cell r="AY860">
            <v>44.042304489999999</v>
          </cell>
          <cell r="AZ860">
            <v>44.751076509999997</v>
          </cell>
          <cell r="BA860">
            <v>48.979044649999999</v>
          </cell>
          <cell r="BB860">
            <v>49.925197480000001</v>
          </cell>
          <cell r="BC860">
            <v>50.890454120000001</v>
          </cell>
          <cell r="BD860">
            <v>51.87530229</v>
          </cell>
          <cell r="BE860">
            <v>52.880249550000002</v>
          </cell>
        </row>
        <row r="862">
          <cell r="A862" t="str">
            <v>ems_ci_co2_spri_2</v>
          </cell>
          <cell r="B862">
            <v>31.2939455</v>
          </cell>
          <cell r="C862">
            <v>31.650625099999999</v>
          </cell>
          <cell r="D862">
            <v>32.032599400000002</v>
          </cell>
          <cell r="E862">
            <v>32.449137649999997</v>
          </cell>
          <cell r="F862">
            <v>32.904097839999999</v>
          </cell>
          <cell r="G862">
            <v>33.39729706</v>
          </cell>
          <cell r="H862">
            <v>33.907300720000002</v>
          </cell>
          <cell r="I862">
            <v>34.438181</v>
          </cell>
          <cell r="J862">
            <v>34.98921756</v>
          </cell>
          <cell r="K862">
            <v>35.558696820000002</v>
          </cell>
          <cell r="L862">
            <v>36.177989850000003</v>
          </cell>
          <cell r="M862">
            <v>36.798964259999998</v>
          </cell>
          <cell r="N862">
            <v>37.428510500000002</v>
          </cell>
          <cell r="O862">
            <v>38.067662249999998</v>
          </cell>
          <cell r="P862">
            <v>38.71610124</v>
          </cell>
          <cell r="Q862">
            <v>39.373335529999999</v>
          </cell>
          <cell r="R862">
            <v>40.038874360000001</v>
          </cell>
          <cell r="S862">
            <v>40.712366299999999</v>
          </cell>
          <cell r="T862">
            <v>41.393500760000002</v>
          </cell>
          <cell r="U862">
            <v>42.08200987</v>
          </cell>
          <cell r="V862">
            <v>42.752811029999997</v>
          </cell>
          <cell r="W862">
            <v>43.440672120000002</v>
          </cell>
          <cell r="X862">
            <v>44.139378739999998</v>
          </cell>
          <cell r="Y862">
            <v>44.847278189999997</v>
          </cell>
          <cell r="Z862">
            <v>45.563871169999999</v>
          </cell>
          <cell r="AA862">
            <v>46.216756789999998</v>
          </cell>
          <cell r="AB862">
            <v>46.872983349999998</v>
          </cell>
          <cell r="AC862">
            <v>47.528308619999997</v>
          </cell>
          <cell r="AD862">
            <v>48.183476380000002</v>
          </cell>
          <cell r="AE862">
            <v>48.840369680000002</v>
          </cell>
          <cell r="AF862">
            <v>49.500858180000002</v>
          </cell>
          <cell r="AG862">
            <v>50.16655634</v>
          </cell>
          <cell r="AH862">
            <v>50.838764759999997</v>
          </cell>
          <cell r="AI862">
            <v>51.51852701</v>
          </cell>
          <cell r="AJ862">
            <v>52.206666560000002</v>
          </cell>
          <cell r="AK862">
            <v>52.903826530000003</v>
          </cell>
          <cell r="AL862">
            <v>53.593142960000002</v>
          </cell>
          <cell r="AM862">
            <v>54.281846899999998</v>
          </cell>
          <cell r="AN862">
            <v>54.97291311</v>
          </cell>
          <cell r="AO862">
            <v>55.668180739999997</v>
          </cell>
          <cell r="AP862">
            <v>56.369129010000002</v>
          </cell>
          <cell r="AQ862">
            <v>57.077039069999998</v>
          </cell>
          <cell r="AR862">
            <v>57.792951729999999</v>
          </cell>
          <cell r="AS862">
            <v>58.51771711</v>
          </cell>
          <cell r="AT862">
            <v>59.252008340000003</v>
          </cell>
          <cell r="AU862">
            <v>59.996349690000002</v>
          </cell>
          <cell r="AV862">
            <v>60.745495300000002</v>
          </cell>
          <cell r="AW862">
            <v>61.497598760000002</v>
          </cell>
          <cell r="AX862">
            <v>62.25471469</v>
          </cell>
          <cell r="AY862">
            <v>63.019928620000002</v>
          </cell>
          <cell r="AZ862">
            <v>63.796021930000002</v>
          </cell>
          <cell r="BA862">
            <v>72.575607649999995</v>
          </cell>
          <cell r="BB862">
            <v>73.768639559999997</v>
          </cell>
          <cell r="BC862">
            <v>74.977568120000001</v>
          </cell>
          <cell r="BD862">
            <v>76.2029991</v>
          </cell>
          <cell r="BE862">
            <v>77.445539460000006</v>
          </cell>
        </row>
        <row r="864">
          <cell r="A864" t="str">
            <v>ems_ci_co2_spub_2</v>
          </cell>
          <cell r="B864">
            <v>14.34624283</v>
          </cell>
          <cell r="C864">
            <v>14.544666339999999</v>
          </cell>
          <cell r="D864">
            <v>14.75654778</v>
          </cell>
          <cell r="E864">
            <v>14.975361489999999</v>
          </cell>
          <cell r="F864">
            <v>15.202245209999999</v>
          </cell>
          <cell r="G864">
            <v>15.438119650000001</v>
          </cell>
          <cell r="H864">
            <v>15.67051247</v>
          </cell>
          <cell r="I864">
            <v>15.9087598</v>
          </cell>
          <cell r="J864">
            <v>16.15366775</v>
          </cell>
          <cell r="K864">
            <v>16.404999629999999</v>
          </cell>
          <cell r="L864">
            <v>16.684475150000001</v>
          </cell>
          <cell r="M864">
            <v>16.952730710000001</v>
          </cell>
          <cell r="N864">
            <v>17.224337599999998</v>
          </cell>
          <cell r="O864">
            <v>17.500919</v>
          </cell>
          <cell r="P864">
            <v>17.782500070000001</v>
          </cell>
          <cell r="Q864">
            <v>18.068923590000001</v>
          </cell>
          <cell r="R864">
            <v>18.360011459999999</v>
          </cell>
          <cell r="S864">
            <v>18.655588609999999</v>
          </cell>
          <cell r="T864">
            <v>18.955491089999999</v>
          </cell>
          <cell r="U864">
            <v>19.259565940000002</v>
          </cell>
          <cell r="V864">
            <v>19.551186120000001</v>
          </cell>
          <cell r="W864">
            <v>19.85948415</v>
          </cell>
          <cell r="X864">
            <v>20.17329376</v>
          </cell>
          <cell r="Y864">
            <v>20.491191229999998</v>
          </cell>
          <cell r="Z864">
            <v>20.812978810000001</v>
          </cell>
          <cell r="AA864">
            <v>21.090791320000001</v>
          </cell>
          <cell r="AB864">
            <v>21.38677131</v>
          </cell>
          <cell r="AC864">
            <v>21.686113519999999</v>
          </cell>
          <cell r="AD864">
            <v>21.987233870000001</v>
          </cell>
          <cell r="AE864">
            <v>22.29022505</v>
          </cell>
          <cell r="AF864">
            <v>22.59538504</v>
          </cell>
          <cell r="AG864">
            <v>22.90303041</v>
          </cell>
          <cell r="AH864">
            <v>23.21347106</v>
          </cell>
          <cell r="AI864">
            <v>23.52700317</v>
          </cell>
          <cell r="AJ864">
            <v>23.843905920000001</v>
          </cell>
          <cell r="AK864">
            <v>24.164437750000001</v>
          </cell>
          <cell r="AL864">
            <v>24.47725934</v>
          </cell>
          <cell r="AM864">
            <v>24.791429539999999</v>
          </cell>
          <cell r="AN864">
            <v>25.108280409999999</v>
          </cell>
          <cell r="AO864">
            <v>25.428187999999999</v>
          </cell>
          <cell r="AP864">
            <v>25.751414449999999</v>
          </cell>
          <cell r="AQ864">
            <v>26.078203930000001</v>
          </cell>
          <cell r="AR864">
            <v>26.408785999999999</v>
          </cell>
          <cell r="AS864">
            <v>26.743370630000001</v>
          </cell>
          <cell r="AT864">
            <v>27.082150110000001</v>
          </cell>
          <cell r="AU864">
            <v>27.425300790000001</v>
          </cell>
          <cell r="AV864">
            <v>27.770943290000002</v>
          </cell>
          <cell r="AW864">
            <v>28.11761031</v>
          </cell>
          <cell r="AX864">
            <v>28.465992400000001</v>
          </cell>
          <cell r="AY864">
            <v>28.817332740000001</v>
          </cell>
          <cell r="AZ864">
            <v>29.172796850000001</v>
          </cell>
          <cell r="BA864">
            <v>33.704159480000001</v>
          </cell>
          <cell r="BB864">
            <v>34.277441899999999</v>
          </cell>
          <cell r="BC864">
            <v>34.858916180000001</v>
          </cell>
          <cell r="BD864">
            <v>35.448836919999998</v>
          </cell>
          <cell r="BE864">
            <v>36.047462230000001</v>
          </cell>
        </row>
        <row r="866">
          <cell r="A866" t="str">
            <v>ems_ci_co2_smin_2</v>
          </cell>
          <cell r="B866">
            <v>1.052430408</v>
          </cell>
          <cell r="C866">
            <v>1.0639500820000001</v>
          </cell>
          <cell r="D866">
            <v>1.07657867</v>
          </cell>
          <cell r="E866">
            <v>1.0905849430000001</v>
          </cell>
          <cell r="F866">
            <v>1.105898973</v>
          </cell>
          <cell r="G866">
            <v>1.1223589890000001</v>
          </cell>
          <cell r="H866">
            <v>1.1391594300000001</v>
          </cell>
          <cell r="I866">
            <v>1.15648314</v>
          </cell>
          <cell r="J866">
            <v>1.174326832</v>
          </cell>
          <cell r="K866">
            <v>1.1926434370000001</v>
          </cell>
          <cell r="L866">
            <v>1.2124955319999999</v>
          </cell>
          <cell r="M866">
            <v>1.232136382</v>
          </cell>
          <cell r="N866">
            <v>1.2519146480000001</v>
          </cell>
          <cell r="O866">
            <v>1.2719274789999999</v>
          </cell>
          <cell r="P866">
            <v>1.2921941530000001</v>
          </cell>
          <cell r="Q866">
            <v>1.312718931</v>
          </cell>
          <cell r="R866">
            <v>1.333507687</v>
          </cell>
          <cell r="S866">
            <v>1.3545683390000001</v>
          </cell>
          <cell r="T866">
            <v>1.375911581</v>
          </cell>
          <cell r="U866">
            <v>1.39754968</v>
          </cell>
          <cell r="V866">
            <v>1.418665893</v>
          </cell>
          <cell r="W866">
            <v>1.4405490519999999</v>
          </cell>
          <cell r="X866">
            <v>1.462929688</v>
          </cell>
          <cell r="Y866">
            <v>1.4857312300000001</v>
          </cell>
          <cell r="Z866">
            <v>1.508939147</v>
          </cell>
          <cell r="AA866">
            <v>1.5301483819999999</v>
          </cell>
          <cell r="AB866">
            <v>1.5519145400000001</v>
          </cell>
          <cell r="AC866">
            <v>1.5740214640000001</v>
          </cell>
          <cell r="AD866">
            <v>1.5964328160000001</v>
          </cell>
          <cell r="AE866">
            <v>1.6191734520000001</v>
          </cell>
          <cell r="AF866">
            <v>1.642276603</v>
          </cell>
          <cell r="AG866">
            <v>1.6657687720000001</v>
          </cell>
          <cell r="AH866">
            <v>1.6896674119999999</v>
          </cell>
          <cell r="AI866">
            <v>1.7139812619999999</v>
          </cell>
          <cell r="AJ866">
            <v>1.7387121990000001</v>
          </cell>
          <cell r="AK866">
            <v>1.763857265</v>
          </cell>
          <cell r="AL866">
            <v>1.7888205260000001</v>
          </cell>
          <cell r="AM866">
            <v>1.8139035569999999</v>
          </cell>
          <cell r="AN866">
            <v>1.839211846</v>
          </cell>
          <cell r="AO866">
            <v>1.8647897259999999</v>
          </cell>
          <cell r="AP866">
            <v>1.89066398</v>
          </cell>
          <cell r="AQ866">
            <v>1.916854018</v>
          </cell>
          <cell r="AR866">
            <v>1.9433748399999999</v>
          </cell>
          <cell r="AS866">
            <v>1.970236944</v>
          </cell>
          <cell r="AT866">
            <v>1.9974468649999999</v>
          </cell>
          <cell r="AU866">
            <v>2.025007961</v>
          </cell>
          <cell r="AV866">
            <v>2.0530201730000002</v>
          </cell>
          <cell r="AW866">
            <v>2.081525965</v>
          </cell>
          <cell r="AX866">
            <v>2.1105496979999998</v>
          </cell>
          <cell r="AY866">
            <v>2.1400886790000002</v>
          </cell>
          <cell r="AZ866">
            <v>2.1701275230000001</v>
          </cell>
          <cell r="BA866">
            <v>2.3194195799999999</v>
          </cell>
          <cell r="BB866">
            <v>2.3587256729999999</v>
          </cell>
          <cell r="BC866">
            <v>2.398702202</v>
          </cell>
          <cell r="BD866">
            <v>2.4393586269999998</v>
          </cell>
          <cell r="BE866">
            <v>2.4807043590000002</v>
          </cell>
        </row>
        <row r="868">
          <cell r="A868" t="str">
            <v>ems_ci_co2_soil_2</v>
          </cell>
          <cell r="B868">
            <v>16.656238569999999</v>
          </cell>
          <cell r="C868">
            <v>16.795920880000001</v>
          </cell>
          <cell r="D868">
            <v>16.92117202</v>
          </cell>
          <cell r="E868">
            <v>17.058183029999999</v>
          </cell>
          <cell r="F868">
            <v>17.215569550000001</v>
          </cell>
          <cell r="G868">
            <v>17.393262310000001</v>
          </cell>
          <cell r="H868">
            <v>17.579225109999999</v>
          </cell>
          <cell r="I868">
            <v>17.775735600000001</v>
          </cell>
          <cell r="J868">
            <v>17.981401420000001</v>
          </cell>
          <cell r="K868">
            <v>18.194516530000001</v>
          </cell>
          <cell r="L868">
            <v>18.429534279999999</v>
          </cell>
          <cell r="M868">
            <v>18.659744289999999</v>
          </cell>
          <cell r="N868">
            <v>18.891875840000001</v>
          </cell>
          <cell r="O868">
            <v>19.127221729999999</v>
          </cell>
          <cell r="P868">
            <v>19.365864859999999</v>
          </cell>
          <cell r="Q868">
            <v>19.607703709999999</v>
          </cell>
          <cell r="R868">
            <v>19.85271165</v>
          </cell>
          <cell r="S868">
            <v>20.10081959</v>
          </cell>
          <cell r="T868">
            <v>20.3520088</v>
          </cell>
          <cell r="U868">
            <v>20.606292249999999</v>
          </cell>
          <cell r="V868">
            <v>20.852013240000002</v>
          </cell>
          <cell r="W868">
            <v>21.108366329999999</v>
          </cell>
          <cell r="X868">
            <v>21.369897259999998</v>
          </cell>
          <cell r="Y868">
            <v>21.635375440000001</v>
          </cell>
          <cell r="Z868">
            <v>21.90457146</v>
          </cell>
          <cell r="AA868">
            <v>22.143727510000002</v>
          </cell>
          <cell r="AB868">
            <v>22.392134209999998</v>
          </cell>
          <cell r="AC868">
            <v>22.643934900000001</v>
          </cell>
          <cell r="AD868">
            <v>22.898075590000001</v>
          </cell>
          <cell r="AE868">
            <v>23.154665000000001</v>
          </cell>
          <cell r="AF868">
            <v>23.414014900000002</v>
          </cell>
          <cell r="AG868">
            <v>23.676408129999999</v>
          </cell>
          <cell r="AH868">
            <v>23.942096930000002</v>
          </cell>
          <cell r="AI868">
            <v>24.211271050000001</v>
          </cell>
          <cell r="AJ868">
            <v>24.484067710000001</v>
          </cell>
          <cell r="AK868">
            <v>24.760583400000002</v>
          </cell>
          <cell r="AL868">
            <v>25.032587719999999</v>
          </cell>
          <cell r="AM868">
            <v>25.305353749999998</v>
          </cell>
          <cell r="AN868">
            <v>25.580285230000001</v>
          </cell>
          <cell r="AO868">
            <v>25.85787719</v>
          </cell>
          <cell r="AP868">
            <v>26.138418569999999</v>
          </cell>
          <cell r="AQ868">
            <v>26.422108120000001</v>
          </cell>
          <cell r="AR868">
            <v>26.709145549999999</v>
          </cell>
          <cell r="AS868">
            <v>26.999689239999999</v>
          </cell>
          <cell r="AT868">
            <v>27.293861769999999</v>
          </cell>
          <cell r="AU868">
            <v>27.591755639999999</v>
          </cell>
          <cell r="AV868">
            <v>27.89303117</v>
          </cell>
          <cell r="AW868">
            <v>28.197667429999999</v>
          </cell>
          <cell r="AX868">
            <v>28.506175649999999</v>
          </cell>
          <cell r="AY868">
            <v>28.818983329999998</v>
          </cell>
          <cell r="AZ868">
            <v>29.136356639999999</v>
          </cell>
          <cell r="BA868">
            <v>31.883603999999998</v>
          </cell>
          <cell r="BB868">
            <v>32.347674509999997</v>
          </cell>
          <cell r="BC868">
            <v>32.819326539999999</v>
          </cell>
          <cell r="BD868">
            <v>33.298744659999997</v>
          </cell>
          <cell r="BE868">
            <v>33.786124770000001</v>
          </cell>
        </row>
        <row r="870">
          <cell r="A870" t="str">
            <v>ems_ci_co2_sbfu_2</v>
          </cell>
          <cell r="B870">
            <v>3.879302247</v>
          </cell>
          <cell r="C870">
            <v>3.90361176</v>
          </cell>
          <cell r="D870">
            <v>3.9231163210000002</v>
          </cell>
          <cell r="E870">
            <v>3.9466675219999998</v>
          </cell>
          <cell r="F870">
            <v>3.9767905510000001</v>
          </cell>
          <cell r="G870">
            <v>4.013179472</v>
          </cell>
          <cell r="H870">
            <v>4.0528672270000001</v>
          </cell>
          <cell r="I870">
            <v>4.095834526</v>
          </cell>
          <cell r="J870">
            <v>4.1413965089999998</v>
          </cell>
          <cell r="K870">
            <v>4.1889486509999996</v>
          </cell>
          <cell r="L870">
            <v>4.2412607519999996</v>
          </cell>
          <cell r="M870">
            <v>4.2928203869999999</v>
          </cell>
          <cell r="N870">
            <v>4.3449961879999996</v>
          </cell>
          <cell r="O870">
            <v>4.3979403650000002</v>
          </cell>
          <cell r="P870">
            <v>4.451607782</v>
          </cell>
          <cell r="Q870">
            <v>4.5059435890000001</v>
          </cell>
          <cell r="R870">
            <v>4.5609185449999998</v>
          </cell>
          <cell r="S870">
            <v>4.6165044139999996</v>
          </cell>
          <cell r="T870">
            <v>4.6726874399999998</v>
          </cell>
          <cell r="U870">
            <v>4.7294615809999998</v>
          </cell>
          <cell r="V870">
            <v>4.7844470550000002</v>
          </cell>
          <cell r="W870">
            <v>4.8415323529999998</v>
          </cell>
          <cell r="X870">
            <v>4.8995474239999997</v>
          </cell>
          <cell r="Y870">
            <v>4.9582815199999999</v>
          </cell>
          <cell r="Z870">
            <v>5.0177035669999999</v>
          </cell>
          <cell r="AA870">
            <v>5.0709426860000004</v>
          </cell>
          <cell r="AB870">
            <v>5.125980083</v>
          </cell>
          <cell r="AC870">
            <v>5.1814570030000002</v>
          </cell>
          <cell r="AD870">
            <v>5.2372041039999999</v>
          </cell>
          <cell r="AE870">
            <v>5.2932787599999997</v>
          </cell>
          <cell r="AF870">
            <v>5.3497697960000004</v>
          </cell>
          <cell r="AG870">
            <v>5.4067556830000001</v>
          </cell>
          <cell r="AH870">
            <v>5.4643041779999999</v>
          </cell>
          <cell r="AI870">
            <v>5.5224672010000004</v>
          </cell>
          <cell r="AJ870">
            <v>5.5812839439999999</v>
          </cell>
          <cell r="AK870">
            <v>5.6407838950000002</v>
          </cell>
          <cell r="AL870">
            <v>5.6993062510000003</v>
          </cell>
          <cell r="AM870">
            <v>5.7579320450000004</v>
          </cell>
          <cell r="AN870">
            <v>5.8169111979999997</v>
          </cell>
          <cell r="AO870">
            <v>5.8763382279999998</v>
          </cell>
          <cell r="AP870">
            <v>5.9362795720000001</v>
          </cell>
          <cell r="AQ870">
            <v>5.9967893820000002</v>
          </cell>
          <cell r="AR870">
            <v>6.057921468</v>
          </cell>
          <cell r="AS870">
            <v>6.1197196439999999</v>
          </cell>
          <cell r="AT870">
            <v>6.1822187409999998</v>
          </cell>
          <cell r="AU870">
            <v>6.245445696</v>
          </cell>
          <cell r="AV870">
            <v>6.3093128060000003</v>
          </cell>
          <cell r="AW870">
            <v>6.3738015509999997</v>
          </cell>
          <cell r="AX870">
            <v>6.4390088360000002</v>
          </cell>
          <cell r="AY870">
            <v>6.5050160210000003</v>
          </cell>
          <cell r="AZ870">
            <v>6.5718744320000004</v>
          </cell>
          <cell r="BA870">
            <v>7.2498662630000004</v>
          </cell>
          <cell r="BB870">
            <v>7.3506676459999998</v>
          </cell>
          <cell r="BC870">
            <v>7.4530505619999996</v>
          </cell>
          <cell r="BD870">
            <v>7.5570639120000003</v>
          </cell>
          <cell r="BE870">
            <v>7.662759103</v>
          </cell>
        </row>
        <row r="872">
          <cell r="A872" t="str">
            <v>ems_ci_co2_seoi_2</v>
          </cell>
          <cell r="B872">
            <v>3.0516363819999999</v>
          </cell>
          <cell r="C872">
            <v>3.0790726689999999</v>
          </cell>
          <cell r="D872">
            <v>3.1009701930000002</v>
          </cell>
          <cell r="E872">
            <v>3.121877735</v>
          </cell>
          <cell r="F872">
            <v>3.1441706709999999</v>
          </cell>
          <cell r="G872">
            <v>3.1686568030000002</v>
          </cell>
          <cell r="H872">
            <v>3.1939012309999999</v>
          </cell>
          <cell r="I872">
            <v>3.2203005650000001</v>
          </cell>
          <cell r="J872">
            <v>3.2478011389999999</v>
          </cell>
          <cell r="K872">
            <v>3.2762351019999998</v>
          </cell>
          <cell r="L872">
            <v>3.3079664709999999</v>
          </cell>
          <cell r="M872">
            <v>3.3390983420000002</v>
          </cell>
          <cell r="N872">
            <v>3.3702776760000002</v>
          </cell>
          <cell r="O872">
            <v>3.401781701</v>
          </cell>
          <cell r="P872">
            <v>3.433694188</v>
          </cell>
          <cell r="Q872">
            <v>3.466039807</v>
          </cell>
          <cell r="R872">
            <v>3.4988443419999999</v>
          </cell>
          <cell r="S872">
            <v>3.5321132589999999</v>
          </cell>
          <cell r="T872">
            <v>3.5658549430000002</v>
          </cell>
          <cell r="U872">
            <v>3.6000840169999999</v>
          </cell>
          <cell r="V872">
            <v>3.6329795479999998</v>
          </cell>
          <cell r="W872">
            <v>3.6673589569999998</v>
          </cell>
          <cell r="X872">
            <v>3.702718988</v>
          </cell>
          <cell r="Y872">
            <v>3.7388518880000001</v>
          </cell>
          <cell r="Z872">
            <v>3.7757012200000002</v>
          </cell>
          <cell r="AA872">
            <v>3.8079743349999999</v>
          </cell>
          <cell r="AB872">
            <v>3.8411826759999999</v>
          </cell>
          <cell r="AC872">
            <v>3.8750833340000002</v>
          </cell>
          <cell r="AD872">
            <v>3.9095859599999998</v>
          </cell>
          <cell r="AE872">
            <v>3.9447253350000002</v>
          </cell>
          <cell r="AF872">
            <v>3.9805645109999999</v>
          </cell>
          <cell r="AG872">
            <v>4.0171578959999996</v>
          </cell>
          <cell r="AH872">
            <v>4.0545527549999996</v>
          </cell>
          <cell r="AI872">
            <v>4.0927828140000004</v>
          </cell>
          <cell r="AJ872">
            <v>4.1318687230000002</v>
          </cell>
          <cell r="AK872">
            <v>4.1718201930000003</v>
          </cell>
          <cell r="AL872">
            <v>4.211336609</v>
          </cell>
          <cell r="AM872">
            <v>4.2510669820000002</v>
          </cell>
          <cell r="AN872">
            <v>4.2912983100000002</v>
          </cell>
          <cell r="AO872">
            <v>4.3321552969999999</v>
          </cell>
          <cell r="AP872">
            <v>4.3737035549999996</v>
          </cell>
          <cell r="AQ872">
            <v>4.415977034</v>
          </cell>
          <cell r="AR872">
            <v>4.4590045600000003</v>
          </cell>
          <cell r="AS872">
            <v>4.5028060429999996</v>
          </cell>
          <cell r="AT872">
            <v>4.5473935389999998</v>
          </cell>
          <cell r="AU872">
            <v>4.5927728390000002</v>
          </cell>
          <cell r="AV872">
            <v>4.6387379190000004</v>
          </cell>
          <cell r="AW872">
            <v>4.6852933999999999</v>
          </cell>
          <cell r="AX872">
            <v>4.732615236</v>
          </cell>
          <cell r="AY872">
            <v>4.780883555</v>
          </cell>
          <cell r="AZ872">
            <v>4.8302236440000001</v>
          </cell>
          <cell r="BA872">
            <v>4.9407715779999997</v>
          </cell>
          <cell r="BB872">
            <v>5.0032921830000001</v>
          </cell>
          <cell r="BC872">
            <v>5.0669809370000003</v>
          </cell>
          <cell r="BD872">
            <v>5.1318433590000003</v>
          </cell>
          <cell r="BE872">
            <v>5.197886574</v>
          </cell>
        </row>
        <row r="874">
          <cell r="A874" t="str">
            <v>ems_ci_co2_sega_2</v>
          </cell>
          <cell r="B874">
            <v>3.6106213700000001</v>
          </cell>
          <cell r="C874">
            <v>3.6430832990000002</v>
          </cell>
          <cell r="D874">
            <v>3.6689919550000001</v>
          </cell>
          <cell r="E874">
            <v>3.6937293210000002</v>
          </cell>
          <cell r="F874">
            <v>3.720105846</v>
          </cell>
          <cell r="G874">
            <v>3.749077271</v>
          </cell>
          <cell r="H874">
            <v>3.7789458429999998</v>
          </cell>
          <cell r="I874">
            <v>3.8101808190000002</v>
          </cell>
          <cell r="J874">
            <v>3.8427186949999999</v>
          </cell>
          <cell r="K874">
            <v>3.8763608760000001</v>
          </cell>
          <cell r="L874">
            <v>3.9139043930000001</v>
          </cell>
          <cell r="M874">
            <v>3.9507385450000001</v>
          </cell>
          <cell r="N874">
            <v>3.987628816</v>
          </cell>
          <cell r="O874">
            <v>4.0249032319999998</v>
          </cell>
          <cell r="P874">
            <v>4.0626609199999999</v>
          </cell>
          <cell r="Q874">
            <v>4.1009310780000003</v>
          </cell>
          <cell r="R874">
            <v>4.1397442189999998</v>
          </cell>
          <cell r="S874">
            <v>4.179106816</v>
          </cell>
          <cell r="T874">
            <v>4.2190288000000002</v>
          </cell>
          <cell r="U874">
            <v>4.2595274730000003</v>
          </cell>
          <cell r="V874">
            <v>4.2984483720000002</v>
          </cell>
          <cell r="W874">
            <v>4.3391249869999999</v>
          </cell>
          <cell r="X874">
            <v>4.3809618749999997</v>
          </cell>
          <cell r="Y874">
            <v>4.4237132209999999</v>
          </cell>
          <cell r="Z874">
            <v>4.4673122489999999</v>
          </cell>
          <cell r="AA874">
            <v>4.50549687</v>
          </cell>
          <cell r="AB874">
            <v>4.5447880730000003</v>
          </cell>
          <cell r="AC874">
            <v>4.5848984399999999</v>
          </cell>
          <cell r="AD874">
            <v>4.6257210600000001</v>
          </cell>
          <cell r="AE874">
            <v>4.6672970759999997</v>
          </cell>
          <cell r="AF874">
            <v>4.7097010790000002</v>
          </cell>
          <cell r="AG874">
            <v>4.7529974399999997</v>
          </cell>
          <cell r="AH874">
            <v>4.7972420729999996</v>
          </cell>
          <cell r="AI874">
            <v>4.842474878</v>
          </cell>
          <cell r="AJ874">
            <v>4.8887202839999997</v>
          </cell>
          <cell r="AK874">
            <v>4.9359897779999997</v>
          </cell>
          <cell r="AL874">
            <v>4.9827445109999999</v>
          </cell>
          <cell r="AM874">
            <v>5.029752384</v>
          </cell>
          <cell r="AN874">
            <v>5.0773529609999999</v>
          </cell>
          <cell r="AO874">
            <v>5.1256937889999996</v>
          </cell>
          <cell r="AP874">
            <v>5.1748524979999999</v>
          </cell>
          <cell r="AQ874">
            <v>5.2248692539999997</v>
          </cell>
          <cell r="AR874">
            <v>5.2757781640000001</v>
          </cell>
          <cell r="AS874">
            <v>5.3276027849999998</v>
          </cell>
          <cell r="AT874">
            <v>5.3803573829999998</v>
          </cell>
          <cell r="AU874">
            <v>5.4340488090000001</v>
          </cell>
          <cell r="AV874">
            <v>5.488433326</v>
          </cell>
          <cell r="AW874">
            <v>5.5435164109999997</v>
          </cell>
          <cell r="AX874">
            <v>5.5995062430000004</v>
          </cell>
          <cell r="AY874">
            <v>5.6566159210000002</v>
          </cell>
          <cell r="AZ874">
            <v>5.7149936649999997</v>
          </cell>
          <cell r="BA874">
            <v>5.8457940060000002</v>
          </cell>
          <cell r="BB874">
            <v>5.9197668380000001</v>
          </cell>
          <cell r="BC874">
            <v>5.9951217950000002</v>
          </cell>
          <cell r="BD874">
            <v>6.0718654030000003</v>
          </cell>
          <cell r="BE874">
            <v>6.150006093</v>
          </cell>
        </row>
        <row r="876">
          <cell r="A876" t="str">
            <v>ems_ci_co2_seco_2</v>
          </cell>
          <cell r="B876">
            <v>7.4424824599999999</v>
          </cell>
          <cell r="C876">
            <v>7.5093954140000001</v>
          </cell>
          <cell r="D876">
            <v>7.5628002700000003</v>
          </cell>
          <cell r="E876">
            <v>7.6137907780000003</v>
          </cell>
          <cell r="F876">
            <v>7.6681600410000001</v>
          </cell>
          <cell r="G876">
            <v>7.7278781060000004</v>
          </cell>
          <cell r="H876">
            <v>7.7894454380000004</v>
          </cell>
          <cell r="I876">
            <v>7.8538293030000004</v>
          </cell>
          <cell r="J876">
            <v>7.9208988040000001</v>
          </cell>
          <cell r="K876">
            <v>7.9902445799999997</v>
          </cell>
          <cell r="L876">
            <v>8.0676320819999994</v>
          </cell>
          <cell r="M876">
            <v>8.1435573859999995</v>
          </cell>
          <cell r="N876">
            <v>8.2195983699999999</v>
          </cell>
          <cell r="O876">
            <v>8.2964311800000008</v>
          </cell>
          <cell r="P876">
            <v>8.3742601459999992</v>
          </cell>
          <cell r="Q876">
            <v>8.4531454539999995</v>
          </cell>
          <cell r="R876">
            <v>8.5331499990000008</v>
          </cell>
          <cell r="S876">
            <v>8.6142871260000007</v>
          </cell>
          <cell r="T876">
            <v>8.6965773009999996</v>
          </cell>
          <cell r="U876">
            <v>8.7800561899999998</v>
          </cell>
          <cell r="V876">
            <v>8.8602828539999994</v>
          </cell>
          <cell r="W876">
            <v>8.9441285310000005</v>
          </cell>
          <cell r="X876">
            <v>9.0303658500000008</v>
          </cell>
          <cell r="Y876">
            <v>9.1184881180000001</v>
          </cell>
          <cell r="Z876">
            <v>9.2083576909999998</v>
          </cell>
          <cell r="AA876">
            <v>9.2870666839999991</v>
          </cell>
          <cell r="AB876">
            <v>9.3680566469999995</v>
          </cell>
          <cell r="AC876">
            <v>9.4507351310000001</v>
          </cell>
          <cell r="AD876">
            <v>9.5348817639999996</v>
          </cell>
          <cell r="AE876">
            <v>9.6205813540000005</v>
          </cell>
          <cell r="AF876">
            <v>9.707987653</v>
          </cell>
          <cell r="AG876">
            <v>9.7972333450000004</v>
          </cell>
          <cell r="AH876">
            <v>9.8884336879999992</v>
          </cell>
          <cell r="AI876">
            <v>9.9816709249999995</v>
          </cell>
          <cell r="AJ876">
            <v>10.07699541</v>
          </cell>
          <cell r="AK876">
            <v>10.17443082</v>
          </cell>
          <cell r="AL876">
            <v>10.270805169999999</v>
          </cell>
          <cell r="AM876">
            <v>10.367701309999999</v>
          </cell>
          <cell r="AN876">
            <v>10.46581917</v>
          </cell>
          <cell r="AO876">
            <v>10.5654629</v>
          </cell>
          <cell r="AP876">
            <v>10.6667925</v>
          </cell>
          <cell r="AQ876">
            <v>10.76989077</v>
          </cell>
          <cell r="AR876">
            <v>10.874828020000001</v>
          </cell>
          <cell r="AS876">
            <v>10.981652800000001</v>
          </cell>
          <cell r="AT876">
            <v>11.09039452</v>
          </cell>
          <cell r="AU876">
            <v>11.2010673</v>
          </cell>
          <cell r="AV876">
            <v>11.313168729999999</v>
          </cell>
          <cell r="AW876">
            <v>11.426710099999999</v>
          </cell>
          <cell r="AX876">
            <v>11.542120519999999</v>
          </cell>
          <cell r="AY876">
            <v>11.659839249999999</v>
          </cell>
          <cell r="AZ876">
            <v>11.78017182</v>
          </cell>
          <cell r="BA876">
            <v>12.04978725</v>
          </cell>
          <cell r="BB876">
            <v>12.202265580000001</v>
          </cell>
          <cell r="BC876">
            <v>12.35759285</v>
          </cell>
          <cell r="BD876">
            <v>12.5157825</v>
          </cell>
          <cell r="BE876">
            <v>12.67685193</v>
          </cell>
        </row>
        <row r="878">
          <cell r="A878" t="str">
            <v>ems_ci_co2_sech_2</v>
          </cell>
          <cell r="B878">
            <v>9.6638054400000009</v>
          </cell>
          <cell r="C878">
            <v>9.7710562680000006</v>
          </cell>
          <cell r="D878">
            <v>9.8695657220000008</v>
          </cell>
          <cell r="E878">
            <v>9.9647547250000006</v>
          </cell>
          <cell r="F878">
            <v>10.060963190000001</v>
          </cell>
          <cell r="G878">
            <v>10.160438900000001</v>
          </cell>
          <cell r="H878">
            <v>10.257045959999999</v>
          </cell>
          <cell r="I878">
            <v>10.354006780000001</v>
          </cell>
          <cell r="J878">
            <v>10.452708729999999</v>
          </cell>
          <cell r="K878">
            <v>10.553423609999999</v>
          </cell>
          <cell r="L878">
            <v>10.66768122</v>
          </cell>
          <cell r="M878">
            <v>10.77782412</v>
          </cell>
          <cell r="N878">
            <v>10.886199749999999</v>
          </cell>
          <cell r="O878">
            <v>10.99441968</v>
          </cell>
          <cell r="P878">
            <v>11.10315698</v>
          </cell>
          <cell r="Q878">
            <v>11.212667290000001</v>
          </cell>
          <cell r="R878">
            <v>11.323101640000001</v>
          </cell>
          <cell r="S878">
            <v>11.43447718</v>
          </cell>
          <cell r="T878">
            <v>11.54678709</v>
          </cell>
          <cell r="U878">
            <v>11.66003737</v>
          </cell>
          <cell r="V878">
            <v>11.766132170000001</v>
          </cell>
          <cell r="W878">
            <v>11.87728431</v>
          </cell>
          <cell r="X878">
            <v>11.991709849999999</v>
          </cell>
          <cell r="Y878">
            <v>12.108223410000001</v>
          </cell>
          <cell r="Z878">
            <v>12.226327660000001</v>
          </cell>
          <cell r="AA878">
            <v>12.32309027</v>
          </cell>
          <cell r="AB878">
            <v>12.42180901</v>
          </cell>
          <cell r="AC878">
            <v>12.52260478</v>
          </cell>
          <cell r="AD878">
            <v>12.624964950000001</v>
          </cell>
          <cell r="AE878">
            <v>12.728713839999999</v>
          </cell>
          <cell r="AF878">
            <v>12.83383888</v>
          </cell>
          <cell r="AG878">
            <v>12.94036655</v>
          </cell>
          <cell r="AH878">
            <v>13.048358049999999</v>
          </cell>
          <cell r="AI878">
            <v>13.157872490000001</v>
          </cell>
          <cell r="AJ878">
            <v>13.26895457</v>
          </cell>
          <cell r="AK878">
            <v>13.38163293</v>
          </cell>
          <cell r="AL878">
            <v>13.49060628</v>
          </cell>
          <cell r="AM878">
            <v>13.598473520000001</v>
          </cell>
          <cell r="AN878">
            <v>13.7066768</v>
          </cell>
          <cell r="AO878">
            <v>13.815870260000001</v>
          </cell>
          <cell r="AP878">
            <v>13.92634994</v>
          </cell>
          <cell r="AQ878">
            <v>14.038225560000001</v>
          </cell>
          <cell r="AR878">
            <v>14.151570980000001</v>
          </cell>
          <cell r="AS878">
            <v>14.26643307</v>
          </cell>
          <cell r="AT878">
            <v>14.382839260000001</v>
          </cell>
          <cell r="AU878">
            <v>14.50080374</v>
          </cell>
          <cell r="AV878">
            <v>14.619873439999999</v>
          </cell>
          <cell r="AW878">
            <v>14.73987107</v>
          </cell>
          <cell r="AX878">
            <v>14.8611228</v>
          </cell>
          <cell r="AY878">
            <v>14.98403995</v>
          </cell>
          <cell r="AZ878">
            <v>15.10893971</v>
          </cell>
          <cell r="BA878">
            <v>14.959048920000001</v>
          </cell>
          <cell r="BB878">
            <v>15.108809000000001</v>
          </cell>
          <cell r="BC878">
            <v>15.2610198</v>
          </cell>
          <cell r="BD878">
            <v>15.41566873</v>
          </cell>
          <cell r="BE878">
            <v>15.57277088</v>
          </cell>
        </row>
        <row r="880">
          <cell r="A880" t="str">
            <v>ems_ci_co2_seot_2</v>
          </cell>
          <cell r="B880">
            <v>1.324063242</v>
          </cell>
          <cell r="C880">
            <v>1.335869381</v>
          </cell>
          <cell r="D880">
            <v>1.345192545</v>
          </cell>
          <cell r="E880">
            <v>1.3540169120000001</v>
          </cell>
          <cell r="F880">
            <v>1.3633996820000001</v>
          </cell>
          <cell r="G880">
            <v>1.373721784</v>
          </cell>
          <cell r="H880">
            <v>1.384385816</v>
          </cell>
          <cell r="I880">
            <v>1.39557924</v>
          </cell>
          <cell r="J880">
            <v>1.4072861350000001</v>
          </cell>
          <cell r="K880">
            <v>1.4194353049999999</v>
          </cell>
          <cell r="L880">
            <v>1.4330511349999999</v>
          </cell>
          <cell r="M880">
            <v>1.4464433830000001</v>
          </cell>
          <cell r="N880">
            <v>1.459888179</v>
          </cell>
          <cell r="O880">
            <v>1.4735011259999999</v>
          </cell>
          <cell r="P880">
            <v>1.4873145130000001</v>
          </cell>
          <cell r="Q880">
            <v>1.5013355660000001</v>
          </cell>
          <cell r="R880">
            <v>1.515572433</v>
          </cell>
          <cell r="S880">
            <v>1.530024614</v>
          </cell>
          <cell r="T880">
            <v>1.544692918</v>
          </cell>
          <cell r="U880">
            <v>1.559580883</v>
          </cell>
          <cell r="V880">
            <v>1.5738952829999999</v>
          </cell>
          <cell r="W880">
            <v>1.588852908</v>
          </cell>
          <cell r="X880">
            <v>1.604233518</v>
          </cell>
          <cell r="Y880">
            <v>1.619945323</v>
          </cell>
          <cell r="Z880">
            <v>1.635962146</v>
          </cell>
          <cell r="AA880">
            <v>1.649984399</v>
          </cell>
          <cell r="AB880">
            <v>1.6643933099999999</v>
          </cell>
          <cell r="AC880">
            <v>1.6790795780000001</v>
          </cell>
          <cell r="AD880">
            <v>1.6940015980000001</v>
          </cell>
          <cell r="AE880">
            <v>1.7091728639999999</v>
          </cell>
          <cell r="AF880">
            <v>1.7246197860000001</v>
          </cell>
          <cell r="AG880">
            <v>1.7403656789999999</v>
          </cell>
          <cell r="AH880">
            <v>1.756431453</v>
          </cell>
          <cell r="AI880">
            <v>1.7728327880000001</v>
          </cell>
          <cell r="AJ880">
            <v>1.7895802089999999</v>
          </cell>
          <cell r="AK880">
            <v>1.80667986</v>
          </cell>
          <cell r="AL880">
            <v>1.8235692809999999</v>
          </cell>
          <cell r="AM880">
            <v>1.840529855</v>
          </cell>
          <cell r="AN880">
            <v>1.857686444</v>
          </cell>
          <cell r="AO880">
            <v>1.875094045</v>
          </cell>
          <cell r="AP880">
            <v>1.892782347</v>
          </cell>
          <cell r="AQ880">
            <v>1.9107674269999999</v>
          </cell>
          <cell r="AR880">
            <v>1.9290632400000001</v>
          </cell>
          <cell r="AS880">
            <v>1.94767997</v>
          </cell>
          <cell r="AT880">
            <v>1.966624478</v>
          </cell>
          <cell r="AU880">
            <v>1.9859009599999999</v>
          </cell>
          <cell r="AV880">
            <v>2.0054130809999999</v>
          </cell>
          <cell r="AW880">
            <v>2.025156001</v>
          </cell>
          <cell r="AX880">
            <v>2.0452025159999998</v>
          </cell>
          <cell r="AY880">
            <v>2.0656307420000002</v>
          </cell>
          <cell r="AZ880">
            <v>2.0864973660000001</v>
          </cell>
          <cell r="BA880">
            <v>2.1598708860000002</v>
          </cell>
          <cell r="BB880">
            <v>2.187238834</v>
          </cell>
          <cell r="BC880">
            <v>2.2150941770000001</v>
          </cell>
          <cell r="BD880">
            <v>2.2434400540000001</v>
          </cell>
          <cell r="BE880">
            <v>2.272280496</v>
          </cell>
        </row>
        <row r="882">
          <cell r="A882" t="str">
            <v>ems_y_co2_sagr_2</v>
          </cell>
          <cell r="B882">
            <v>2.7535943100000002E-2</v>
          </cell>
          <cell r="C882">
            <v>2.7813553500000001E-2</v>
          </cell>
          <cell r="D882">
            <v>2.8107394500000001E-2</v>
          </cell>
          <cell r="E882">
            <v>2.8409860299999999E-2</v>
          </cell>
          <cell r="F882">
            <v>2.8726071499999999E-2</v>
          </cell>
          <cell r="G882">
            <v>2.90579524E-2</v>
          </cell>
          <cell r="H882">
            <v>2.93806146E-2</v>
          </cell>
          <cell r="I882">
            <v>2.9715003600000001E-2</v>
          </cell>
          <cell r="J882">
            <v>3.00609859E-2</v>
          </cell>
          <cell r="K882">
            <v>3.04176684E-2</v>
          </cell>
          <cell r="L882">
            <v>3.0826415199999999E-2</v>
          </cell>
          <cell r="M882">
            <v>3.1204442999999998E-2</v>
          </cell>
          <cell r="N882">
            <v>3.1587563800000003E-2</v>
          </cell>
          <cell r="O882">
            <v>3.1975495200000002E-2</v>
          </cell>
          <cell r="P882">
            <v>3.2367706699999998E-2</v>
          </cell>
          <cell r="Q882">
            <v>3.2763725399999999E-2</v>
          </cell>
          <cell r="R882">
            <v>3.3161376700000002E-2</v>
          </cell>
          <cell r="S882">
            <v>3.3562443900000002E-2</v>
          </cell>
          <cell r="T882">
            <v>3.3966930899999997E-2</v>
          </cell>
          <cell r="U882">
            <v>3.4374993200000002E-2</v>
          </cell>
          <cell r="V882">
            <v>3.4756104400000001E-2</v>
          </cell>
          <cell r="W882">
            <v>3.5168629299999997E-2</v>
          </cell>
          <cell r="X882">
            <v>3.55871486E-2</v>
          </cell>
          <cell r="Y882">
            <v>3.6011576400000002E-2</v>
          </cell>
          <cell r="Z882">
            <v>3.6442122299999997E-2</v>
          </cell>
          <cell r="AA882">
            <v>3.6791251599999998E-2</v>
          </cell>
          <cell r="AB882">
            <v>3.7184055000000001E-2</v>
          </cell>
          <cell r="AC882">
            <v>3.7582216799999998E-2</v>
          </cell>
          <cell r="AD882">
            <v>3.7986248100000002E-2</v>
          </cell>
          <cell r="AE882">
            <v>3.83967219E-2</v>
          </cell>
          <cell r="AF882">
            <v>3.8814122700000002E-2</v>
          </cell>
          <cell r="AG882">
            <v>3.9239349799999997E-2</v>
          </cell>
          <cell r="AH882">
            <v>3.9672065999999999E-2</v>
          </cell>
          <cell r="AI882">
            <v>4.0112388200000001E-2</v>
          </cell>
          <cell r="AJ882">
            <v>4.0560339399999999E-2</v>
          </cell>
          <cell r="AK882">
            <v>4.10158724E-2</v>
          </cell>
          <cell r="AL882">
            <v>4.1463308599999998E-2</v>
          </cell>
          <cell r="AM882">
            <v>4.1915417699999999E-2</v>
          </cell>
          <cell r="AN882">
            <v>4.2372995699999999E-2</v>
          </cell>
          <cell r="AO882">
            <v>4.2836511899999999E-2</v>
          </cell>
          <cell r="AP882">
            <v>4.3306283299999998E-2</v>
          </cell>
          <cell r="AQ882">
            <v>4.3783406599999998E-2</v>
          </cell>
          <cell r="AR882">
            <v>4.42671569E-2</v>
          </cell>
          <cell r="AS882">
            <v>4.4757666299999999E-2</v>
          </cell>
          <cell r="AT882">
            <v>4.5255026599999998E-2</v>
          </cell>
          <cell r="AU882">
            <v>4.5759299000000003E-2</v>
          </cell>
          <cell r="AV882">
            <v>4.6302995399999998E-2</v>
          </cell>
          <cell r="AW882">
            <v>4.6876539299999999E-2</v>
          </cell>
          <cell r="AX882">
            <v>4.7475276599999998E-2</v>
          </cell>
          <cell r="AY882">
            <v>4.8095442299999999E-2</v>
          </cell>
          <cell r="AZ882">
            <v>4.8734300100000003E-2</v>
          </cell>
          <cell r="BA882">
            <v>6.0330790299999999E-2</v>
          </cell>
          <cell r="BB882">
            <v>6.1318025399999997E-2</v>
          </cell>
          <cell r="BC882">
            <v>6.2321753899999999E-2</v>
          </cell>
          <cell r="BD882">
            <v>6.3342322300000004E-2</v>
          </cell>
          <cell r="BE882">
            <v>6.4380092700000002E-2</v>
          </cell>
        </row>
        <row r="883">
          <cell r="A883" t="str">
            <v>ems_mat_co2_spub_2</v>
          </cell>
          <cell r="B883">
            <v>4.2858030300000003</v>
          </cell>
          <cell r="C883">
            <v>4.3485878309999997</v>
          </cell>
          <cell r="D883">
            <v>4.4166565130000004</v>
          </cell>
          <cell r="E883">
            <v>4.4871621839999998</v>
          </cell>
          <cell r="F883">
            <v>4.5597594639999999</v>
          </cell>
          <cell r="G883">
            <v>4.6343313889999997</v>
          </cell>
          <cell r="H883">
            <v>4.7070379170000001</v>
          </cell>
          <cell r="I883">
            <v>4.7807143669999999</v>
          </cell>
          <cell r="J883">
            <v>4.8556727090000003</v>
          </cell>
          <cell r="K883">
            <v>4.9319139380000001</v>
          </cell>
          <cell r="L883">
            <v>5.0159183580000004</v>
          </cell>
          <cell r="M883">
            <v>5.0959240440000002</v>
          </cell>
          <cell r="N883">
            <v>5.1764154160000002</v>
          </cell>
          <cell r="O883">
            <v>5.2579618589999999</v>
          </cell>
          <cell r="P883">
            <v>5.3406411189999998</v>
          </cell>
          <cell r="Q883">
            <v>5.4244774939999996</v>
          </cell>
          <cell r="R883">
            <v>5.5094956789999996</v>
          </cell>
          <cell r="S883">
            <v>5.5957252950000003</v>
          </cell>
          <cell r="T883">
            <v>5.6831978190000001</v>
          </cell>
          <cell r="U883">
            <v>5.771944381</v>
          </cell>
          <cell r="V883">
            <v>5.8571373449999999</v>
          </cell>
          <cell r="W883">
            <v>5.9475664840000002</v>
          </cell>
          <cell r="X883">
            <v>6.0399042710000002</v>
          </cell>
          <cell r="Y883">
            <v>6.1337488880000004</v>
          </cell>
          <cell r="Z883">
            <v>6.2290681550000002</v>
          </cell>
          <cell r="AA883">
            <v>6.3117946209999998</v>
          </cell>
          <cell r="AB883">
            <v>6.4006450910000003</v>
          </cell>
          <cell r="AC883">
            <v>6.491195533</v>
          </cell>
          <cell r="AD883">
            <v>6.5829621219999996</v>
          </cell>
          <cell r="AE883">
            <v>6.6759574260000001</v>
          </cell>
          <cell r="AF883">
            <v>6.770245386</v>
          </cell>
          <cell r="AG883">
            <v>6.8658816509999996</v>
          </cell>
          <cell r="AH883">
            <v>6.9629070620000002</v>
          </cell>
          <cell r="AI883">
            <v>7.0613504300000001</v>
          </cell>
          <cell r="AJ883">
            <v>7.1612324340000004</v>
          </cell>
          <cell r="AK883">
            <v>7.2625691249999997</v>
          </cell>
          <cell r="AL883">
            <v>7.3619490489999997</v>
          </cell>
          <cell r="AM883">
            <v>7.462098632</v>
          </cell>
          <cell r="AN883">
            <v>7.5634128790000004</v>
          </cell>
          <cell r="AO883">
            <v>7.6659914420000002</v>
          </cell>
          <cell r="AP883">
            <v>7.7698958999999999</v>
          </cell>
          <cell r="AQ883">
            <v>7.8751799550000001</v>
          </cell>
          <cell r="AR883">
            <v>7.981890355</v>
          </cell>
          <cell r="AS883">
            <v>8.0900666349999995</v>
          </cell>
          <cell r="AT883">
            <v>8.1997414880000008</v>
          </cell>
          <cell r="AU883">
            <v>8.3109419920000001</v>
          </cell>
          <cell r="AV883">
            <v>8.4240979970000005</v>
          </cell>
          <cell r="AW883">
            <v>8.5390006770000006</v>
          </cell>
          <cell r="AX883">
            <v>8.6556025250000008</v>
          </cell>
          <cell r="AY883">
            <v>8.7738730989999993</v>
          </cell>
          <cell r="AZ883">
            <v>8.8937983890000005</v>
          </cell>
          <cell r="BA883">
            <v>9.7775559039999997</v>
          </cell>
          <cell r="BB883">
            <v>9.9451361689999995</v>
          </cell>
          <cell r="BC883">
            <v>10.115565180000001</v>
          </cell>
          <cell r="BD883">
            <v>10.288894020000001</v>
          </cell>
          <cell r="BE883">
            <v>10.46517543</v>
          </cell>
        </row>
        <row r="884">
          <cell r="A884" t="str">
            <v>ems_mat_co2_sgla_2</v>
          </cell>
          <cell r="B884">
            <v>10.96669105</v>
          </cell>
          <cell r="C884">
            <v>11.10587802</v>
          </cell>
          <cell r="D884">
            <v>11.258699180000001</v>
          </cell>
          <cell r="E884">
            <v>11.42423434</v>
          </cell>
          <cell r="F884">
            <v>11.601376459999999</v>
          </cell>
          <cell r="G884">
            <v>11.789005120000001</v>
          </cell>
          <cell r="H884">
            <v>11.980403300000001</v>
          </cell>
          <cell r="I884">
            <v>12.17721802</v>
          </cell>
          <cell r="J884">
            <v>12.3796476</v>
          </cell>
          <cell r="K884">
            <v>12.58756415</v>
          </cell>
          <cell r="L884">
            <v>12.81078465</v>
          </cell>
          <cell r="M884">
            <v>13.03461959</v>
          </cell>
          <cell r="N884">
            <v>13.26170426</v>
          </cell>
          <cell r="O884">
            <v>13.49262697</v>
          </cell>
          <cell r="P884">
            <v>13.727515390000001</v>
          </cell>
          <cell r="Q884">
            <v>13.96641189</v>
          </cell>
          <cell r="R884">
            <v>14.209368059999999</v>
          </cell>
          <cell r="S884">
            <v>14.45645362</v>
          </cell>
          <cell r="T884">
            <v>14.70775875</v>
          </cell>
          <cell r="U884">
            <v>14.96338152</v>
          </cell>
          <cell r="V884">
            <v>15.21589578</v>
          </cell>
          <cell r="W884">
            <v>15.47622524</v>
          </cell>
          <cell r="X884">
            <v>15.742357589999999</v>
          </cell>
          <cell r="Y884">
            <v>16.01380662</v>
          </cell>
          <cell r="Z884">
            <v>16.29043343</v>
          </cell>
          <cell r="AA884">
            <v>16.550301170000001</v>
          </cell>
          <cell r="AB884">
            <v>16.814379859999999</v>
          </cell>
          <cell r="AC884">
            <v>17.080972630000002</v>
          </cell>
          <cell r="AD884">
            <v>17.350019490000001</v>
          </cell>
          <cell r="AE884">
            <v>17.621766260000001</v>
          </cell>
          <cell r="AF884">
            <v>17.896459310000001</v>
          </cell>
          <cell r="AG884">
            <v>18.1742685</v>
          </cell>
          <cell r="AH884">
            <v>18.455273439999999</v>
          </cell>
          <cell r="AI884">
            <v>18.73946905</v>
          </cell>
          <cell r="AJ884">
            <v>19.026784280000001</v>
          </cell>
          <cell r="AK884">
            <v>19.317103490000001</v>
          </cell>
          <cell r="AL884">
            <v>19.604914829999998</v>
          </cell>
          <cell r="AM884">
            <v>19.892345819999999</v>
          </cell>
          <cell r="AN884">
            <v>20.18009232</v>
          </cell>
          <cell r="AO884">
            <v>20.468494790000001</v>
          </cell>
          <cell r="AP884">
            <v>20.75778811</v>
          </cell>
          <cell r="AQ884">
            <v>21.048160020000001</v>
          </cell>
          <cell r="AR884">
            <v>21.339766900000001</v>
          </cell>
          <cell r="AS884">
            <v>21.632734060000001</v>
          </cell>
          <cell r="AT884">
            <v>21.927160529999998</v>
          </cell>
          <cell r="AU884">
            <v>22.223125320000001</v>
          </cell>
          <cell r="AV884">
            <v>22.52237792</v>
          </cell>
          <cell r="AW884">
            <v>22.82572261</v>
          </cell>
          <cell r="AX884">
            <v>23.133381350000001</v>
          </cell>
          <cell r="AY884">
            <v>23.445122229999999</v>
          </cell>
          <cell r="AZ884">
            <v>23.760560089999998</v>
          </cell>
          <cell r="BA884">
            <v>26.151007839999998</v>
          </cell>
          <cell r="BB884">
            <v>26.62064466</v>
          </cell>
          <cell r="BC884">
            <v>27.0963384</v>
          </cell>
          <cell r="BD884">
            <v>27.578048559999999</v>
          </cell>
          <cell r="BE884">
            <v>28.065744420000001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7145.2360580000004</v>
          </cell>
          <cell r="D18">
            <v>7246.3474109999997</v>
          </cell>
          <cell r="E18">
            <v>7382.2872020000004</v>
          </cell>
          <cell r="F18">
            <v>7541.831972</v>
          </cell>
          <cell r="G18">
            <v>7717.6019910000005</v>
          </cell>
          <cell r="H18">
            <v>7903.5991370000002</v>
          </cell>
          <cell r="I18">
            <v>8096.6039639999999</v>
          </cell>
          <cell r="J18">
            <v>8294.4529050000001</v>
          </cell>
          <cell r="K18">
            <v>8495.6728519999997</v>
          </cell>
          <cell r="L18">
            <v>8701.3381320000008</v>
          </cell>
          <cell r="M18">
            <v>8908.544269</v>
          </cell>
          <cell r="N18">
            <v>9116.7091459999992</v>
          </cell>
          <cell r="O18">
            <v>9325.3617979999999</v>
          </cell>
          <cell r="P18">
            <v>9534.1556340000006</v>
          </cell>
          <cell r="Q18">
            <v>9742.8542049999996</v>
          </cell>
          <cell r="R18">
            <v>9951.3051140000007</v>
          </cell>
          <cell r="S18">
            <v>10159.415870000001</v>
          </cell>
          <cell r="T18">
            <v>10367.13327</v>
          </cell>
          <cell r="U18">
            <v>10574.428610000001</v>
          </cell>
          <cell r="V18">
            <v>10779.65084</v>
          </cell>
          <cell r="W18">
            <v>10984.52097</v>
          </cell>
          <cell r="X18">
            <v>11189.07879</v>
          </cell>
          <cell r="Y18">
            <v>11393.38983</v>
          </cell>
          <cell r="Z18">
            <v>11597.50784</v>
          </cell>
          <cell r="AA18">
            <v>11796.677960000001</v>
          </cell>
          <cell r="AB18">
            <v>11993.70098</v>
          </cell>
          <cell r="AC18">
            <v>12188.79329</v>
          </cell>
          <cell r="AD18">
            <v>12382.27735</v>
          </cell>
          <cell r="AE18">
            <v>12574.50297</v>
          </cell>
          <cell r="AF18">
            <v>12765.80183</v>
          </cell>
          <cell r="AG18">
            <v>12956.46925</v>
          </cell>
          <cell r="AH18">
            <v>13146.761140000001</v>
          </cell>
          <cell r="AI18">
            <v>13336.89947</v>
          </cell>
          <cell r="AJ18">
            <v>13527.080679999999</v>
          </cell>
          <cell r="AK18">
            <v>13717.483679999999</v>
          </cell>
          <cell r="AL18">
            <v>13907.106879999999</v>
          </cell>
          <cell r="AM18">
            <v>14096.16661</v>
          </cell>
          <cell r="AN18">
            <v>14284.89854</v>
          </cell>
          <cell r="AO18">
            <v>14473.570229999999</v>
          </cell>
          <cell r="AP18">
            <v>14662.465620000001</v>
          </cell>
          <cell r="AQ18">
            <v>14851.865820000001</v>
          </cell>
          <cell r="AR18">
            <v>15042.03342</v>
          </cell>
          <cell r="AS18">
            <v>15233.2039</v>
          </cell>
          <cell r="AT18">
            <v>15425.58286</v>
          </cell>
          <cell r="AU18">
            <v>15619.346519999999</v>
          </cell>
          <cell r="AV18">
            <v>15814.747649999999</v>
          </cell>
          <cell r="AW18">
            <v>16011.831459999999</v>
          </cell>
          <cell r="AX18">
            <v>16210.40112</v>
          </cell>
          <cell r="AY18">
            <v>16410.251530000001</v>
          </cell>
          <cell r="AZ18">
            <v>16611.27317</v>
          </cell>
          <cell r="BA18">
            <v>18081.43362</v>
          </cell>
          <cell r="BB18">
            <v>18357.057929999999</v>
          </cell>
          <cell r="BC18">
            <v>18637.218840000001</v>
          </cell>
          <cell r="BD18">
            <v>18922.18578</v>
          </cell>
          <cell r="BE18">
            <v>19212.253079999999</v>
          </cell>
        </row>
        <row r="19">
          <cell r="A19" t="str">
            <v>auto_ca_cfut_0</v>
          </cell>
          <cell r="B19">
            <v>7095.7005250000002</v>
          </cell>
          <cell r="C19">
            <v>7145.2328539999999</v>
          </cell>
          <cell r="D19">
            <v>7246.2318699999996</v>
          </cell>
          <cell r="E19">
            <v>7381.9795000000004</v>
          </cell>
          <cell r="F19">
            <v>7541.2874229999998</v>
          </cell>
          <cell r="G19">
            <v>7716.7930809999998</v>
          </cell>
          <cell r="H19">
            <v>7902.4952409999996</v>
          </cell>
          <cell r="I19">
            <v>8095.1599649999998</v>
          </cell>
          <cell r="J19">
            <v>8292.6081830000003</v>
          </cell>
          <cell r="K19">
            <v>8493.3563209999993</v>
          </cell>
          <cell r="L19">
            <v>8698.4744850000006</v>
          </cell>
          <cell r="M19">
            <v>8905.0627600000007</v>
          </cell>
          <cell r="N19">
            <v>9112.5467480000007</v>
          </cell>
          <cell r="O19">
            <v>9320.4661250000008</v>
          </cell>
          <cell r="P19">
            <v>9528.4855370000005</v>
          </cell>
          <cell r="Q19">
            <v>9736.3786359999995</v>
          </cell>
          <cell r="R19">
            <v>9944.0018629999995</v>
          </cell>
          <cell r="S19">
            <v>10151.26892</v>
          </cell>
          <cell r="T19">
            <v>10358.13031</v>
          </cell>
          <cell r="U19">
            <v>10564.558870000001</v>
          </cell>
          <cell r="V19">
            <v>10768.90472</v>
          </cell>
          <cell r="W19">
            <v>10972.8843</v>
          </cell>
          <cell r="X19">
            <v>11176.53393</v>
          </cell>
          <cell r="Y19">
            <v>11379.914000000001</v>
          </cell>
          <cell r="Z19">
            <v>11583.072770000001</v>
          </cell>
          <cell r="AA19">
            <v>11781.25576</v>
          </cell>
          <cell r="AB19">
            <v>11977.253549999999</v>
          </cell>
          <cell r="AC19">
            <v>12171.278109999999</v>
          </cell>
          <cell r="AD19">
            <v>12363.64609</v>
          </cell>
          <cell r="AE19">
            <v>12554.70182</v>
          </cell>
          <cell r="AF19">
            <v>12744.772370000001</v>
          </cell>
          <cell r="AG19">
            <v>12934.148859999999</v>
          </cell>
          <cell r="AH19">
            <v>13123.08365</v>
          </cell>
          <cell r="AI19">
            <v>13311.79544</v>
          </cell>
          <cell r="AJ19">
            <v>13500.47733</v>
          </cell>
          <cell r="AK19">
            <v>13689.30474</v>
          </cell>
          <cell r="AL19">
            <v>13877.27241</v>
          </cell>
          <cell r="AM19">
            <v>14064.59168</v>
          </cell>
          <cell r="AN19">
            <v>14251.49381</v>
          </cell>
          <cell r="AO19">
            <v>14438.240250000001</v>
          </cell>
          <cell r="AP19">
            <v>14625.109109999999</v>
          </cell>
          <cell r="AQ19">
            <v>14812.3735</v>
          </cell>
          <cell r="AR19">
            <v>15000.242560000001</v>
          </cell>
          <cell r="AS19">
            <v>15188.749610000001</v>
          </cell>
          <cell r="AT19">
            <v>15377.904689999999</v>
          </cell>
          <cell r="AU19">
            <v>15567.762629999999</v>
          </cell>
          <cell r="AV19">
            <v>15758.537920000001</v>
          </cell>
          <cell r="AW19">
            <v>15950.37098</v>
          </cell>
          <cell r="AX19">
            <v>16143.413640000001</v>
          </cell>
          <cell r="AY19">
            <v>16337.80999</v>
          </cell>
          <cell r="AZ19">
            <v>16533.68634</v>
          </cell>
          <cell r="BA19">
            <v>18012.62011</v>
          </cell>
          <cell r="BB19">
            <v>18282.360379999998</v>
          </cell>
          <cell r="BC19">
            <v>18556.231739999999</v>
          </cell>
          <cell r="BD19">
            <v>18834.476409999999</v>
          </cell>
          <cell r="BE19">
            <v>19117.355759999999</v>
          </cell>
        </row>
        <row r="20">
          <cell r="A20" t="str">
            <v>auto_cb_cfut_2</v>
          </cell>
          <cell r="B20">
            <v>8251.256421</v>
          </cell>
          <cell r="C20">
            <v>8186.1751469999999</v>
          </cell>
          <cell r="D20">
            <v>8178.2327699999996</v>
          </cell>
          <cell r="E20">
            <v>8210.4163759999992</v>
          </cell>
          <cell r="F20">
            <v>8271.1828260000002</v>
          </cell>
          <cell r="G20">
            <v>8352.7921069999993</v>
          </cell>
          <cell r="H20">
            <v>8448.9247589999995</v>
          </cell>
          <cell r="I20">
            <v>8555.9828870000001</v>
          </cell>
          <cell r="J20">
            <v>8671.4302889999999</v>
          </cell>
          <cell r="K20">
            <v>8793.4326230000006</v>
          </cell>
          <cell r="L20">
            <v>8922.5864490000004</v>
          </cell>
          <cell r="M20">
            <v>9055.7840099999994</v>
          </cell>
          <cell r="N20">
            <v>9192.1360249999998</v>
          </cell>
          <cell r="O20">
            <v>9330.8865999999998</v>
          </cell>
          <cell r="P20">
            <v>9471.4215650000006</v>
          </cell>
          <cell r="Q20">
            <v>9613.2519950000005</v>
          </cell>
          <cell r="R20">
            <v>9755.9874359999994</v>
          </cell>
          <cell r="S20">
            <v>9899.3114339999993</v>
          </cell>
          <cell r="T20">
            <v>10042.9607</v>
          </cell>
          <cell r="U20">
            <v>10186.70989</v>
          </cell>
          <cell r="V20">
            <v>10328.874959999999</v>
          </cell>
          <cell r="W20">
            <v>10470.85641</v>
          </cell>
          <cell r="X20">
            <v>10612.52997</v>
          </cell>
          <cell r="Y20">
            <v>10753.80348</v>
          </cell>
          <cell r="Z20">
            <v>10894.58286</v>
          </cell>
          <cell r="AA20">
            <v>11030.495860000001</v>
          </cell>
          <cell r="AB20">
            <v>11163.95284</v>
          </cell>
          <cell r="AC20">
            <v>11295.0512</v>
          </cell>
          <cell r="AD20">
            <v>11423.98395</v>
          </cell>
          <cell r="AE20">
            <v>11550.96926</v>
          </cell>
          <cell r="AF20">
            <v>11676.21002</v>
          </cell>
          <cell r="AG20">
            <v>11799.87773</v>
          </cell>
          <cell r="AH20">
            <v>11922.109640000001</v>
          </cell>
          <cell r="AI20">
            <v>12043.01346</v>
          </cell>
          <cell r="AJ20">
            <v>12162.674559999999</v>
          </cell>
          <cell r="AK20">
            <v>12281.16274</v>
          </cell>
          <cell r="AL20">
            <v>12397.542530000001</v>
          </cell>
          <cell r="AM20">
            <v>12511.928110000001</v>
          </cell>
          <cell r="AN20">
            <v>12624.449699999999</v>
          </cell>
          <cell r="AO20">
            <v>12735.2626</v>
          </cell>
          <cell r="AP20">
            <v>12844.533170000001</v>
          </cell>
          <cell r="AQ20">
            <v>12952.422350000001</v>
          </cell>
          <cell r="AR20">
            <v>13059.072399999999</v>
          </cell>
          <cell r="AS20">
            <v>13164.599980000001</v>
          </cell>
          <cell r="AT20">
            <v>13269.0941</v>
          </cell>
          <cell r="AU20">
            <v>13372.61681</v>
          </cell>
          <cell r="AV20">
            <v>13475.299870000001</v>
          </cell>
          <cell r="AW20">
            <v>13577.12506</v>
          </cell>
          <cell r="AX20">
            <v>13677.87689</v>
          </cell>
          <cell r="AY20">
            <v>13777.324769999999</v>
          </cell>
          <cell r="AZ20">
            <v>13875.305609999999</v>
          </cell>
          <cell r="BA20">
            <v>14944.95203</v>
          </cell>
          <cell r="BB20">
            <v>15091.13233</v>
          </cell>
          <cell r="BC20">
            <v>15237.753839999999</v>
          </cell>
          <cell r="BD20">
            <v>15384.92359</v>
          </cell>
          <cell r="BE20">
            <v>15532.76332</v>
          </cell>
        </row>
        <row r="21">
          <cell r="A21" t="str">
            <v>auto_cb_cfut_0</v>
          </cell>
          <cell r="B21">
            <v>8251.256421</v>
          </cell>
          <cell r="C21">
            <v>8186.1759229999998</v>
          </cell>
          <cell r="D21">
            <v>8178.1333979999999</v>
          </cell>
          <cell r="E21">
            <v>8210.1432330000007</v>
          </cell>
          <cell r="F21">
            <v>8270.6958269999996</v>
          </cell>
          <cell r="G21">
            <v>8352.0683779999999</v>
          </cell>
          <cell r="H21">
            <v>8447.9397489999992</v>
          </cell>
          <cell r="I21">
            <v>8554.6996350000009</v>
          </cell>
          <cell r="J21">
            <v>8669.7982960000008</v>
          </cell>
          <cell r="K21">
            <v>8791.3923689999992</v>
          </cell>
          <cell r="L21">
            <v>8920.0751899999996</v>
          </cell>
          <cell r="M21">
            <v>9052.7436030000008</v>
          </cell>
          <cell r="N21">
            <v>9188.5158319999991</v>
          </cell>
          <cell r="O21">
            <v>9326.6461240000008</v>
          </cell>
          <cell r="P21">
            <v>9466.5309319999997</v>
          </cell>
          <cell r="Q21">
            <v>9607.6908540000004</v>
          </cell>
          <cell r="R21">
            <v>9749.7437439999994</v>
          </cell>
          <cell r="S21">
            <v>9892.3789870000001</v>
          </cell>
          <cell r="T21">
            <v>10035.33682</v>
          </cell>
          <cell r="U21">
            <v>10178.39352</v>
          </cell>
          <cell r="V21">
            <v>10319.86606</v>
          </cell>
          <cell r="W21">
            <v>10461.151330000001</v>
          </cell>
          <cell r="X21">
            <v>10602.122289999999</v>
          </cell>
          <cell r="Y21">
            <v>10742.682559999999</v>
          </cell>
          <cell r="Z21">
            <v>10882.733620000001</v>
          </cell>
          <cell r="AA21">
            <v>11017.903029999999</v>
          </cell>
          <cell r="AB21">
            <v>11150.59296</v>
          </cell>
          <cell r="AC21">
            <v>11280.89752</v>
          </cell>
          <cell r="AD21">
            <v>11409.0052</v>
          </cell>
          <cell r="AE21">
            <v>11535.130010000001</v>
          </cell>
          <cell r="AF21">
            <v>11659.47141</v>
          </cell>
          <cell r="AG21">
            <v>11782.19787</v>
          </cell>
          <cell r="AH21">
            <v>11903.444170000001</v>
          </cell>
          <cell r="AI21">
            <v>12023.315860000001</v>
          </cell>
          <cell r="AJ21">
            <v>12141.896059999999</v>
          </cell>
          <cell r="AK21">
            <v>12259.252259999999</v>
          </cell>
          <cell r="AL21">
            <v>12374.44613</v>
          </cell>
          <cell r="AM21">
            <v>12487.58822</v>
          </cell>
          <cell r="AN21">
            <v>12598.80565</v>
          </cell>
          <cell r="AO21">
            <v>12708.249239999999</v>
          </cell>
          <cell r="AP21">
            <v>12816.081099999999</v>
          </cell>
          <cell r="AQ21">
            <v>12922.46297</v>
          </cell>
          <cell r="AR21">
            <v>13027.51418</v>
          </cell>
          <cell r="AS21">
            <v>13131.205379999999</v>
          </cell>
          <cell r="AT21">
            <v>13233.4809</v>
          </cell>
          <cell r="AU21">
            <v>13334.31443</v>
          </cell>
          <cell r="AV21">
            <v>13433.80323</v>
          </cell>
          <cell r="AW21">
            <v>13531.97876</v>
          </cell>
          <cell r="AX21">
            <v>13628.87818</v>
          </cell>
          <cell r="AY21">
            <v>13724.529699999999</v>
          </cell>
          <cell r="AZ21">
            <v>13818.94492</v>
          </cell>
          <cell r="BA21">
            <v>14897.27658</v>
          </cell>
          <cell r="BB21">
            <v>15039.48724</v>
          </cell>
          <cell r="BC21">
            <v>15181.8681</v>
          </cell>
          <cell r="BD21">
            <v>15324.50747</v>
          </cell>
          <cell r="BE21">
            <v>15467.50431</v>
          </cell>
        </row>
        <row r="22">
          <cell r="A22" t="str">
            <v>auto_cc_cfut_2</v>
          </cell>
          <cell r="B22">
            <v>6777.6024520000001</v>
          </cell>
          <cell r="C22">
            <v>6649.1359400000001</v>
          </cell>
          <cell r="D22">
            <v>6565.9300229999999</v>
          </cell>
          <cell r="E22">
            <v>6515.535202</v>
          </cell>
          <cell r="F22">
            <v>6489.4067409999998</v>
          </cell>
          <cell r="G22">
            <v>6481.7133409999997</v>
          </cell>
          <cell r="H22">
            <v>6487.6743130000004</v>
          </cell>
          <cell r="I22">
            <v>6504.4322179999999</v>
          </cell>
          <cell r="J22">
            <v>6529.8996189999998</v>
          </cell>
          <cell r="K22">
            <v>6562.5037030000003</v>
          </cell>
          <cell r="L22">
            <v>6602.3469809999997</v>
          </cell>
          <cell r="M22">
            <v>6647.0477499999997</v>
          </cell>
          <cell r="N22">
            <v>6695.7546039999997</v>
          </cell>
          <cell r="O22">
            <v>6747.728435</v>
          </cell>
          <cell r="P22">
            <v>6802.3451869999999</v>
          </cell>
          <cell r="Q22">
            <v>6859.0824869999997</v>
          </cell>
          <cell r="R22">
            <v>6917.4998640000003</v>
          </cell>
          <cell r="S22">
            <v>6977.2208620000001</v>
          </cell>
          <cell r="T22">
            <v>7037.9178400000001</v>
          </cell>
          <cell r="U22">
            <v>7099.3006539999997</v>
          </cell>
          <cell r="V22">
            <v>7160.1352619999998</v>
          </cell>
          <cell r="W22">
            <v>7221.2250969999996</v>
          </cell>
          <cell r="X22">
            <v>7282.3779290000002</v>
          </cell>
          <cell r="Y22">
            <v>7343.4301999999998</v>
          </cell>
          <cell r="Z22">
            <v>7404.2246690000002</v>
          </cell>
          <cell r="AA22">
            <v>7461.859426</v>
          </cell>
          <cell r="AB22">
            <v>7517.8273470000004</v>
          </cell>
          <cell r="AC22">
            <v>7572.1291549999996</v>
          </cell>
          <cell r="AD22">
            <v>7624.8293480000002</v>
          </cell>
          <cell r="AE22">
            <v>7676.0105739999999</v>
          </cell>
          <cell r="AF22">
            <v>7725.7477580000004</v>
          </cell>
          <cell r="AG22">
            <v>7774.0977549999998</v>
          </cell>
          <cell r="AH22">
            <v>7821.0975120000003</v>
          </cell>
          <cell r="AI22">
            <v>7866.766928</v>
          </cell>
          <cell r="AJ22">
            <v>7911.1133280000004</v>
          </cell>
          <cell r="AK22">
            <v>7954.1356770000002</v>
          </cell>
          <cell r="AL22">
            <v>7995.2164659999999</v>
          </cell>
          <cell r="AM22">
            <v>8034.3926730000003</v>
          </cell>
          <cell r="AN22">
            <v>8071.71234</v>
          </cell>
          <cell r="AO22">
            <v>8107.2392019999998</v>
          </cell>
          <cell r="AP22">
            <v>8141.0436319999999</v>
          </cell>
          <cell r="AQ22">
            <v>8173.1924339999996</v>
          </cell>
          <cell r="AR22">
            <v>8203.740914</v>
          </cell>
          <cell r="AS22">
            <v>8232.7288559999997</v>
          </cell>
          <cell r="AT22">
            <v>8260.1795239999992</v>
          </cell>
          <cell r="AU22">
            <v>8286.1003400000009</v>
          </cell>
          <cell r="AV22">
            <v>8310.5457430000006</v>
          </cell>
          <cell r="AW22">
            <v>8333.4943760000006</v>
          </cell>
          <cell r="AX22">
            <v>8354.8101750000005</v>
          </cell>
          <cell r="AY22">
            <v>8374.3450670000002</v>
          </cell>
          <cell r="AZ22">
            <v>8391.9865929999996</v>
          </cell>
          <cell r="BA22">
            <v>8944.8946360000009</v>
          </cell>
          <cell r="BB22">
            <v>8984.7352420000007</v>
          </cell>
          <cell r="BC22">
            <v>9023.4650409999995</v>
          </cell>
          <cell r="BD22">
            <v>9061.1200069999995</v>
          </cell>
          <cell r="BE22">
            <v>9097.7437040000004</v>
          </cell>
        </row>
        <row r="23">
          <cell r="A23" t="str">
            <v>auto_cc_cfut_0</v>
          </cell>
          <cell r="B23">
            <v>6777.6024520000001</v>
          </cell>
          <cell r="C23">
            <v>6649.139107</v>
          </cell>
          <cell r="D23">
            <v>6565.8691159999998</v>
          </cell>
          <cell r="E23">
            <v>6515.3612899999998</v>
          </cell>
          <cell r="F23">
            <v>6489.0939550000003</v>
          </cell>
          <cell r="G23">
            <v>6481.248192</v>
          </cell>
          <cell r="H23">
            <v>6487.0430020000003</v>
          </cell>
          <cell r="I23">
            <v>6503.6133220000002</v>
          </cell>
          <cell r="J23">
            <v>6528.8631960000002</v>
          </cell>
          <cell r="K23">
            <v>6561.2141970000002</v>
          </cell>
          <cell r="L23">
            <v>6600.7670909999997</v>
          </cell>
          <cell r="M23">
            <v>6645.1434390000004</v>
          </cell>
          <cell r="N23">
            <v>6693.4970270000003</v>
          </cell>
          <cell r="O23">
            <v>6745.095636</v>
          </cell>
          <cell r="P23">
            <v>6799.3223840000001</v>
          </cell>
          <cell r="Q23">
            <v>6855.661298</v>
          </cell>
          <cell r="R23">
            <v>6913.6774590000005</v>
          </cell>
          <cell r="S23">
            <v>6972.9983030000003</v>
          </cell>
          <cell r="T23">
            <v>7033.2985349999999</v>
          </cell>
          <cell r="U23">
            <v>7094.2891170000003</v>
          </cell>
          <cell r="V23">
            <v>7154.7365719999998</v>
          </cell>
          <cell r="W23">
            <v>7215.4422269999995</v>
          </cell>
          <cell r="X23">
            <v>7276.2121950000001</v>
          </cell>
          <cell r="Y23">
            <v>7336.8803610000004</v>
          </cell>
          <cell r="Z23">
            <v>7397.2867740000002</v>
          </cell>
          <cell r="AA23">
            <v>7454.5289919999996</v>
          </cell>
          <cell r="AB23">
            <v>7510.0951029999997</v>
          </cell>
          <cell r="AC23">
            <v>7563.9840059999997</v>
          </cell>
          <cell r="AD23">
            <v>7616.257603</v>
          </cell>
          <cell r="AE23">
            <v>7666.9961869999997</v>
          </cell>
          <cell r="AF23">
            <v>7716.2727770000001</v>
          </cell>
          <cell r="AG23">
            <v>7764.1425879999997</v>
          </cell>
          <cell r="AH23">
            <v>7810.641275</v>
          </cell>
          <cell r="AI23">
            <v>7855.7876310000001</v>
          </cell>
          <cell r="AJ23">
            <v>7899.5878629999997</v>
          </cell>
          <cell r="AK23">
            <v>7942.0397519999997</v>
          </cell>
          <cell r="AL23">
            <v>7982.5240540000004</v>
          </cell>
          <cell r="AM23">
            <v>8021.0757149999999</v>
          </cell>
          <cell r="AN23">
            <v>8057.7411540000003</v>
          </cell>
          <cell r="AO23">
            <v>8092.581612</v>
          </cell>
          <cell r="AP23">
            <v>8125.6651000000002</v>
          </cell>
          <cell r="AQ23">
            <v>8157.0631780000003</v>
          </cell>
          <cell r="AR23">
            <v>8186.829729</v>
          </cell>
          <cell r="AS23">
            <v>8214.9292239999995</v>
          </cell>
          <cell r="AT23">
            <v>8241.3076820000006</v>
          </cell>
          <cell r="AU23">
            <v>8265.9257809999999</v>
          </cell>
          <cell r="AV23">
            <v>8288.8147680000002</v>
          </cell>
          <cell r="AW23">
            <v>8309.9658450000006</v>
          </cell>
          <cell r="AX23">
            <v>8329.3734120000008</v>
          </cell>
          <cell r="AY23">
            <v>8347.0270949999995</v>
          </cell>
          <cell r="AZ23">
            <v>8362.9076590000004</v>
          </cell>
          <cell r="BA23">
            <v>8921.7440729999998</v>
          </cell>
          <cell r="BB23">
            <v>8959.6840950000005</v>
          </cell>
          <cell r="BC23">
            <v>8996.3812340000004</v>
          </cell>
          <cell r="BD23">
            <v>9031.8619600000002</v>
          </cell>
          <cell r="BE23">
            <v>9066.1583840000003</v>
          </cell>
        </row>
        <row r="24">
          <cell r="A24" t="str">
            <v>auto_cd_cfut_2</v>
          </cell>
          <cell r="B24">
            <v>4159.6639080000004</v>
          </cell>
          <cell r="C24">
            <v>4055.9339909999999</v>
          </cell>
          <cell r="D24">
            <v>3977.832574</v>
          </cell>
          <cell r="E24">
            <v>3917.8616280000001</v>
          </cell>
          <cell r="F24">
            <v>3870.9169440000001</v>
          </cell>
          <cell r="G24">
            <v>3833.534416</v>
          </cell>
          <cell r="H24">
            <v>3802.9357030000001</v>
          </cell>
          <cell r="I24">
            <v>3777.4444370000001</v>
          </cell>
          <cell r="J24">
            <v>3755.839923</v>
          </cell>
          <cell r="K24">
            <v>3737.2038280000002</v>
          </cell>
          <cell r="L24">
            <v>3721.4809759999998</v>
          </cell>
          <cell r="M24">
            <v>3707.387252</v>
          </cell>
          <cell r="N24">
            <v>3694.432131</v>
          </cell>
          <cell r="O24">
            <v>3682.1971629999998</v>
          </cell>
          <cell r="P24">
            <v>3670.3334669999999</v>
          </cell>
          <cell r="Q24">
            <v>3658.5524999999998</v>
          </cell>
          <cell r="R24">
            <v>3646.6147059999998</v>
          </cell>
          <cell r="S24">
            <v>3634.3196950000001</v>
          </cell>
          <cell r="T24">
            <v>3621.4980740000001</v>
          </cell>
          <cell r="U24">
            <v>3608.0053079999998</v>
          </cell>
          <cell r="V24">
            <v>3593.2979679999999</v>
          </cell>
          <cell r="W24">
            <v>3577.730004</v>
          </cell>
          <cell r="X24">
            <v>3561.2197729999998</v>
          </cell>
          <cell r="Y24">
            <v>3543.7014979999999</v>
          </cell>
          <cell r="Z24">
            <v>3525.1164090000002</v>
          </cell>
          <cell r="AA24">
            <v>3504.320804</v>
          </cell>
          <cell r="AB24">
            <v>3481.9646590000002</v>
          </cell>
          <cell r="AC24">
            <v>3458.0896579999999</v>
          </cell>
          <cell r="AD24">
            <v>3432.7597049999999</v>
          </cell>
          <cell r="AE24">
            <v>3406.0431760000001</v>
          </cell>
          <cell r="AF24">
            <v>3378.003549</v>
          </cell>
          <cell r="AG24">
            <v>3348.6960760000002</v>
          </cell>
          <cell r="AH24">
            <v>3318.1675970000001</v>
          </cell>
          <cell r="AI24">
            <v>3286.458016</v>
          </cell>
          <cell r="AJ24">
            <v>3253.602316</v>
          </cell>
          <cell r="AK24">
            <v>3219.6324079999999</v>
          </cell>
          <cell r="AL24">
            <v>3184.3809839999999</v>
          </cell>
          <cell r="AM24">
            <v>3147.9045230000002</v>
          </cell>
          <cell r="AN24">
            <v>3110.2631999999999</v>
          </cell>
          <cell r="AO24">
            <v>3071.5213389999999</v>
          </cell>
          <cell r="AP24">
            <v>3031.744158</v>
          </cell>
          <cell r="AQ24">
            <v>2990.9947029999998</v>
          </cell>
          <cell r="AR24">
            <v>2949.3318089999998</v>
          </cell>
          <cell r="AS24">
            <v>2906.809358</v>
          </cell>
          <cell r="AT24">
            <v>2863.4764930000001</v>
          </cell>
          <cell r="AU24">
            <v>2819.3782769999998</v>
          </cell>
          <cell r="AV24">
            <v>2774.5795079999998</v>
          </cell>
          <cell r="AW24">
            <v>2729.1386200000002</v>
          </cell>
          <cell r="AX24">
            <v>2683.0835550000002</v>
          </cell>
          <cell r="AY24">
            <v>2636.434444</v>
          </cell>
          <cell r="AZ24">
            <v>2589.2159590000001</v>
          </cell>
          <cell r="BA24">
            <v>2593.1708560000002</v>
          </cell>
          <cell r="BB24">
            <v>2544.777732</v>
          </cell>
          <cell r="BC24">
            <v>2495.8074900000001</v>
          </cell>
          <cell r="BD24">
            <v>2446.3127749999999</v>
          </cell>
          <cell r="BE24">
            <v>2396.3466669999998</v>
          </cell>
        </row>
        <row r="25">
          <cell r="A25" t="str">
            <v>auto_cd_cfut_0</v>
          </cell>
          <cell r="B25">
            <v>4159.6639080000004</v>
          </cell>
          <cell r="C25">
            <v>4055.9427500000002</v>
          </cell>
          <cell r="D25">
            <v>3977.8197749999999</v>
          </cell>
          <cell r="E25">
            <v>3917.805695</v>
          </cell>
          <cell r="F25">
            <v>3870.808708</v>
          </cell>
          <cell r="G25">
            <v>3833.3726339999998</v>
          </cell>
          <cell r="H25">
            <v>3802.7208519999999</v>
          </cell>
          <cell r="I25">
            <v>3777.1748899999998</v>
          </cell>
          <cell r="J25">
            <v>3755.5111270000002</v>
          </cell>
          <cell r="K25">
            <v>3736.809358</v>
          </cell>
          <cell r="L25">
            <v>3721.0143429999998</v>
          </cell>
          <cell r="M25">
            <v>3706.8436809999998</v>
          </cell>
          <cell r="N25">
            <v>3693.8094540000002</v>
          </cell>
          <cell r="O25">
            <v>3681.4965040000002</v>
          </cell>
          <cell r="P25">
            <v>3669.5592830000001</v>
          </cell>
          <cell r="Q25">
            <v>3657.7121440000001</v>
          </cell>
          <cell r="R25">
            <v>3645.7179689999998</v>
          </cell>
          <cell r="S25">
            <v>3633.3779960000002</v>
          </cell>
          <cell r="T25">
            <v>3620.5237499999998</v>
          </cell>
          <cell r="U25">
            <v>3607.0110970000001</v>
          </cell>
          <cell r="V25">
            <v>3592.296417</v>
          </cell>
          <cell r="W25">
            <v>3576.7331800000002</v>
          </cell>
          <cell r="X25">
            <v>3560.2391809999999</v>
          </cell>
          <cell r="Y25">
            <v>3542.747746</v>
          </cell>
          <cell r="Z25">
            <v>3524.1991929999999</v>
          </cell>
          <cell r="AA25">
            <v>3503.4482739999999</v>
          </cell>
          <cell r="AB25">
            <v>3481.1440299999999</v>
          </cell>
          <cell r="AC25">
            <v>3457.3277979999998</v>
          </cell>
          <cell r="AD25">
            <v>3432.0628710000001</v>
          </cell>
          <cell r="AE25">
            <v>3405.4171110000002</v>
          </cell>
          <cell r="AF25">
            <v>3377.453638</v>
          </cell>
          <cell r="AG25">
            <v>3348.227441</v>
          </cell>
          <cell r="AH25">
            <v>3317.7852240000002</v>
          </cell>
          <cell r="AI25">
            <v>3286.166831</v>
          </cell>
          <cell r="AJ25">
            <v>3253.407189</v>
          </cell>
          <cell r="AK25">
            <v>3219.5381510000002</v>
          </cell>
          <cell r="AL25">
            <v>3184.3916020000001</v>
          </cell>
          <cell r="AM25">
            <v>3148.0236450000002</v>
          </cell>
          <cell r="AN25">
            <v>3110.4943090000002</v>
          </cell>
          <cell r="AO25">
            <v>3071.8675010000002</v>
          </cell>
          <cell r="AP25">
            <v>3032.208083</v>
          </cell>
          <cell r="AQ25">
            <v>2991.586182</v>
          </cell>
          <cell r="AR25">
            <v>2950.07593</v>
          </cell>
          <cell r="AS25">
            <v>2907.7236149999999</v>
          </cell>
          <cell r="AT25">
            <v>2864.5656279999998</v>
          </cell>
          <cell r="AU25">
            <v>2820.6383759999999</v>
          </cell>
          <cell r="AV25">
            <v>2775.9944799999998</v>
          </cell>
          <cell r="AW25">
            <v>2730.6745519999999</v>
          </cell>
          <cell r="AX25">
            <v>2684.7203850000001</v>
          </cell>
          <cell r="AY25">
            <v>2638.173632</v>
          </cell>
          <cell r="AZ25">
            <v>2591.0751599999999</v>
          </cell>
          <cell r="BA25">
            <v>2596.5519389999999</v>
          </cell>
          <cell r="BB25">
            <v>2548.3801870000002</v>
          </cell>
          <cell r="BC25">
            <v>2499.6340030000001</v>
          </cell>
          <cell r="BD25">
            <v>2450.3657029999999</v>
          </cell>
          <cell r="BE25">
            <v>2400.6280200000001</v>
          </cell>
        </row>
        <row r="26">
          <cell r="A26" t="str">
            <v>auto_ce_cfut_2</v>
          </cell>
          <cell r="B26">
            <v>2503.7292430000002</v>
          </cell>
          <cell r="C26">
            <v>2443.5728859999999</v>
          </cell>
          <cell r="D26">
            <v>2397.8151290000001</v>
          </cell>
          <cell r="E26">
            <v>2361.6686730000001</v>
          </cell>
          <cell r="F26">
            <v>2331.94076</v>
          </cell>
          <cell r="G26">
            <v>2306.5163090000001</v>
          </cell>
          <cell r="H26">
            <v>2283.751424</v>
          </cell>
          <cell r="I26">
            <v>2262.692571</v>
          </cell>
          <cell r="J26">
            <v>2242.6751020000002</v>
          </cell>
          <cell r="K26">
            <v>2223.222859</v>
          </cell>
          <cell r="L26">
            <v>2204.352065</v>
          </cell>
          <cell r="M26">
            <v>2185.3922600000001</v>
          </cell>
          <cell r="N26">
            <v>2166.127782</v>
          </cell>
          <cell r="O26">
            <v>2146.386947</v>
          </cell>
          <cell r="P26">
            <v>2126.0388069999999</v>
          </cell>
          <cell r="Q26">
            <v>2104.9868660000002</v>
          </cell>
          <cell r="R26">
            <v>2083.1621449999998</v>
          </cell>
          <cell r="S26">
            <v>2060.51737</v>
          </cell>
          <cell r="T26">
            <v>2037.022236</v>
          </cell>
          <cell r="U26">
            <v>2012.6598260000001</v>
          </cell>
          <cell r="V26">
            <v>1987.218566</v>
          </cell>
          <cell r="W26">
            <v>1960.9325140000001</v>
          </cell>
          <cell r="X26">
            <v>1933.8165959999999</v>
          </cell>
          <cell r="Y26">
            <v>1905.892507</v>
          </cell>
          <cell r="Z26">
            <v>1877.184757</v>
          </cell>
          <cell r="AA26">
            <v>1847.2240240000001</v>
          </cell>
          <cell r="AB26">
            <v>1816.374622</v>
          </cell>
          <cell r="AC26">
            <v>1784.714528</v>
          </cell>
          <cell r="AD26">
            <v>1752.3278399999999</v>
          </cell>
          <cell r="AE26">
            <v>1719.297053</v>
          </cell>
          <cell r="AF26">
            <v>1685.6993259999999</v>
          </cell>
          <cell r="AG26">
            <v>1651.6054180000001</v>
          </cell>
          <cell r="AH26">
            <v>1617.079943</v>
          </cell>
          <cell r="AI26">
            <v>1582.182282</v>
          </cell>
          <cell r="AJ26">
            <v>1546.9676810000001</v>
          </cell>
          <cell r="AK26">
            <v>1511.4882279999999</v>
          </cell>
          <cell r="AL26">
            <v>1475.719122</v>
          </cell>
          <cell r="AM26">
            <v>1439.722344</v>
          </cell>
          <cell r="AN26">
            <v>1403.5593200000001</v>
          </cell>
          <cell r="AO26">
            <v>1367.290786</v>
          </cell>
          <cell r="AP26">
            <v>1330.975518</v>
          </cell>
          <cell r="AQ26">
            <v>1294.6693150000001</v>
          </cell>
          <cell r="AR26">
            <v>1258.4244450000001</v>
          </cell>
          <cell r="AS26">
            <v>1222.2895679999999</v>
          </cell>
          <cell r="AT26">
            <v>1186.309992</v>
          </cell>
          <cell r="AU26">
            <v>1150.528047</v>
          </cell>
          <cell r="AV26">
            <v>1114.9924619999999</v>
          </cell>
          <cell r="AW26">
            <v>1079.7514430000001</v>
          </cell>
          <cell r="AX26">
            <v>1044.841269</v>
          </cell>
          <cell r="AY26">
            <v>1010.292422</v>
          </cell>
          <cell r="AZ26">
            <v>976.13361850000001</v>
          </cell>
          <cell r="BA26">
            <v>942.4006637</v>
          </cell>
          <cell r="BB26">
            <v>908.72411469999997</v>
          </cell>
          <cell r="BC26">
            <v>875.52158870000005</v>
          </cell>
          <cell r="BD26">
            <v>842.82576189999997</v>
          </cell>
          <cell r="BE26">
            <v>810.66726630000005</v>
          </cell>
        </row>
        <row r="27">
          <cell r="A27" t="str">
            <v>auto_ce_cfut_0</v>
          </cell>
          <cell r="B27">
            <v>2503.7292430000002</v>
          </cell>
          <cell r="C27">
            <v>2443.581983</v>
          </cell>
          <cell r="D27">
            <v>2397.8181450000002</v>
          </cell>
          <cell r="E27">
            <v>2361.6548349999998</v>
          </cell>
          <cell r="F27">
            <v>2331.9065540000001</v>
          </cell>
          <cell r="G27">
            <v>2306.4634780000001</v>
          </cell>
          <cell r="H27">
            <v>2283.6835460000002</v>
          </cell>
          <cell r="I27">
            <v>2262.612752</v>
          </cell>
          <cell r="J27">
            <v>2242.5852460000001</v>
          </cell>
          <cell r="K27">
            <v>2223.1239930000002</v>
          </cell>
          <cell r="L27">
            <v>2204.2452349999999</v>
          </cell>
          <cell r="M27">
            <v>2185.2791499999998</v>
          </cell>
          <cell r="N27">
            <v>2166.0111729999999</v>
          </cell>
          <cell r="O27">
            <v>2146.2710109999998</v>
          </cell>
          <cell r="P27">
            <v>2125.9290879999999</v>
          </cell>
          <cell r="Q27">
            <v>2104.8900170000002</v>
          </cell>
          <cell r="R27">
            <v>2083.0856570000001</v>
          </cell>
          <cell r="S27">
            <v>2060.4691419999999</v>
          </cell>
          <cell r="T27">
            <v>2037.0102010000001</v>
          </cell>
          <cell r="U27">
            <v>2012.6917189999999</v>
          </cell>
          <cell r="V27">
            <v>1987.301502</v>
          </cell>
          <cell r="W27">
            <v>1961.073183</v>
          </cell>
          <cell r="X27">
            <v>1934.021117</v>
          </cell>
          <cell r="Y27">
            <v>1906.1662759999999</v>
          </cell>
          <cell r="Z27">
            <v>1877.532451</v>
          </cell>
          <cell r="AA27">
            <v>1847.648811</v>
          </cell>
          <cell r="AB27">
            <v>1816.8792559999999</v>
          </cell>
          <cell r="AC27">
            <v>1785.3013989999999</v>
          </cell>
          <cell r="AD27">
            <v>1752.998865</v>
          </cell>
          <cell r="AE27">
            <v>1720.053701</v>
          </cell>
          <cell r="AF27">
            <v>1686.5426709999999</v>
          </cell>
          <cell r="AG27">
            <v>1652.536169</v>
          </cell>
          <cell r="AH27">
            <v>1618.098491</v>
          </cell>
          <cell r="AI27">
            <v>1583.2887330000001</v>
          </cell>
          <cell r="AJ27">
            <v>1548.161848</v>
          </cell>
          <cell r="AK27">
            <v>1512.769642</v>
          </cell>
          <cell r="AL27">
            <v>1477.0865980000001</v>
          </cell>
          <cell r="AM27">
            <v>1441.1742979999999</v>
          </cell>
          <cell r="AN27">
            <v>1405.093885</v>
          </cell>
          <cell r="AO27">
            <v>1368.905716</v>
          </cell>
          <cell r="AP27">
            <v>1332.668218</v>
          </cell>
          <cell r="AQ27">
            <v>1296.441024</v>
          </cell>
          <cell r="AR27">
            <v>1260.2857710000001</v>
          </cell>
          <cell r="AS27">
            <v>1224.2517459999999</v>
          </cell>
          <cell r="AT27">
            <v>1188.3814070000001</v>
          </cell>
          <cell r="AU27">
            <v>1152.714086</v>
          </cell>
          <cell r="AV27">
            <v>1117.291655</v>
          </cell>
          <cell r="AW27">
            <v>1082.150126</v>
          </cell>
          <cell r="AX27">
            <v>1047.324323</v>
          </cell>
          <cell r="AY27">
            <v>1012.847684</v>
          </cell>
          <cell r="AZ27">
            <v>978.75215219999995</v>
          </cell>
          <cell r="BA27">
            <v>945.27267259999996</v>
          </cell>
          <cell r="BB27">
            <v>911.68588090000003</v>
          </cell>
          <cell r="BC27">
            <v>878.5668349</v>
          </cell>
          <cell r="BD27">
            <v>845.94794160000004</v>
          </cell>
          <cell r="BE27">
            <v>813.85963189999995</v>
          </cell>
        </row>
        <row r="28">
          <cell r="A28" t="str">
            <v>auto_cf_cfut_2</v>
          </cell>
          <cell r="B28">
            <v>1243.6668460000001</v>
          </cell>
          <cell r="C28">
            <v>1210.938979</v>
          </cell>
          <cell r="D28">
            <v>1183.6685669999999</v>
          </cell>
          <cell r="E28">
            <v>1159.2648139999999</v>
          </cell>
          <cell r="F28">
            <v>1136.13545</v>
          </cell>
          <cell r="G28">
            <v>1113.336043</v>
          </cell>
          <cell r="H28">
            <v>1090.2349919999999</v>
          </cell>
          <cell r="I28">
            <v>1066.554809</v>
          </cell>
          <cell r="J28">
            <v>1042.1687159999999</v>
          </cell>
          <cell r="K28">
            <v>1017.040855</v>
          </cell>
          <cell r="L28">
            <v>991.31507369999997</v>
          </cell>
          <cell r="M28">
            <v>964.89595299999996</v>
          </cell>
          <cell r="N28">
            <v>937.85305779999999</v>
          </cell>
          <cell r="O28">
            <v>910.26925119999999</v>
          </cell>
          <cell r="P28">
            <v>882.23674200000005</v>
          </cell>
          <cell r="Q28">
            <v>853.8532007</v>
          </cell>
          <cell r="R28">
            <v>825.21843249999995</v>
          </cell>
          <cell r="S28">
            <v>796.43186089999995</v>
          </cell>
          <cell r="T28">
            <v>767.59062370000004</v>
          </cell>
          <cell r="U28">
            <v>738.78818879999994</v>
          </cell>
          <cell r="V28">
            <v>710.06928909999999</v>
          </cell>
          <cell r="W28">
            <v>681.571147</v>
          </cell>
          <cell r="X28">
            <v>653.37204259999999</v>
          </cell>
          <cell r="Y28">
            <v>625.54381409999996</v>
          </cell>
          <cell r="Z28">
            <v>598.15154989999996</v>
          </cell>
          <cell r="AA28">
            <v>571.17210590000002</v>
          </cell>
          <cell r="AB28">
            <v>544.72296449999999</v>
          </cell>
          <cell r="AC28">
            <v>518.86176469999998</v>
          </cell>
          <cell r="AD28">
            <v>493.6385727</v>
          </cell>
          <cell r="AE28">
            <v>469.09542479999999</v>
          </cell>
          <cell r="AF28">
            <v>445.26657740000002</v>
          </cell>
          <cell r="AG28">
            <v>422.1790977</v>
          </cell>
          <cell r="AH28">
            <v>399.85356519999999</v>
          </cell>
          <cell r="AI28">
            <v>378.3047871</v>
          </cell>
          <cell r="AJ28">
            <v>357.54247520000001</v>
          </cell>
          <cell r="AK28">
            <v>337.57184760000001</v>
          </cell>
          <cell r="AL28">
            <v>318.38787450000001</v>
          </cell>
          <cell r="AM28">
            <v>299.99059549999998</v>
          </cell>
          <cell r="AN28">
            <v>282.3766842</v>
          </cell>
          <cell r="AO28">
            <v>265.53969740000002</v>
          </cell>
          <cell r="AP28">
            <v>249.47029839999999</v>
          </cell>
          <cell r="AQ28">
            <v>234.15652779999999</v>
          </cell>
          <cell r="AR28">
            <v>219.58410409999999</v>
          </cell>
          <cell r="AS28">
            <v>205.73673640000001</v>
          </cell>
          <cell r="AT28">
            <v>192.59642980000001</v>
          </cell>
          <cell r="AU28">
            <v>180.14376920000001</v>
          </cell>
          <cell r="AV28">
            <v>168.3587905</v>
          </cell>
          <cell r="AW28">
            <v>157.22092900000001</v>
          </cell>
          <cell r="AX28">
            <v>146.70819560000001</v>
          </cell>
          <cell r="AY28">
            <v>136.7975835</v>
          </cell>
          <cell r="AZ28">
            <v>127.4655032</v>
          </cell>
          <cell r="BA28">
            <v>114.4251134</v>
          </cell>
          <cell r="BB28">
            <v>106.3615669</v>
          </cell>
          <cell r="BC28">
            <v>98.805041329999995</v>
          </cell>
          <cell r="BD28">
            <v>91.7312467</v>
          </cell>
          <cell r="BE28">
            <v>85.116179560000006</v>
          </cell>
        </row>
        <row r="29">
          <cell r="A29" t="str">
            <v>auto_cf_cfut_0</v>
          </cell>
          <cell r="B29">
            <v>1243.6668460000001</v>
          </cell>
          <cell r="C29">
            <v>1210.9495979999999</v>
          </cell>
          <cell r="D29">
            <v>1183.6879180000001</v>
          </cell>
          <cell r="E29">
            <v>1159.2912329999999</v>
          </cell>
          <cell r="F29">
            <v>1136.1698730000001</v>
          </cell>
          <cell r="G29">
            <v>1113.3821250000001</v>
          </cell>
          <cell r="H29">
            <v>1090.2979069999999</v>
          </cell>
          <cell r="I29">
            <v>1066.6400860000001</v>
          </cell>
          <cell r="J29">
            <v>1042.2815000000001</v>
          </cell>
          <cell r="K29">
            <v>1017.185604</v>
          </cell>
          <cell r="L29">
            <v>991.4956972</v>
          </cell>
          <cell r="M29">
            <v>965.11559509999995</v>
          </cell>
          <cell r="N29">
            <v>938.11427370000001</v>
          </cell>
          <cell r="O29">
            <v>910.57409840000003</v>
          </cell>
          <cell r="P29">
            <v>882.58681560000002</v>
          </cell>
          <cell r="Q29">
            <v>854.24961029999997</v>
          </cell>
          <cell r="R29">
            <v>825.661789</v>
          </cell>
          <cell r="S29">
            <v>796.92223209999997</v>
          </cell>
          <cell r="T29">
            <v>768.12751909999997</v>
          </cell>
          <cell r="U29">
            <v>739.37059629999999</v>
          </cell>
          <cell r="V29">
            <v>710.69554830000004</v>
          </cell>
          <cell r="W29">
            <v>682.23933550000004</v>
          </cell>
          <cell r="X29">
            <v>654.07988999999998</v>
          </cell>
          <cell r="Y29">
            <v>626.28872579999995</v>
          </cell>
          <cell r="Z29">
            <v>598.93065779999995</v>
          </cell>
          <cell r="AA29">
            <v>571.9818679</v>
          </cell>
          <cell r="AB29">
            <v>545.55993709999996</v>
          </cell>
          <cell r="AC29">
            <v>519.72248669999999</v>
          </cell>
          <cell r="AD29">
            <v>494.51956910000001</v>
          </cell>
          <cell r="AE29">
            <v>469.99322510000002</v>
          </cell>
          <cell r="AF29">
            <v>446.17773699999998</v>
          </cell>
          <cell r="AG29">
            <v>423.10021879999999</v>
          </cell>
          <cell r="AH29">
            <v>400.78131869999999</v>
          </cell>
          <cell r="AI29">
            <v>379.2359348</v>
          </cell>
          <cell r="AJ29">
            <v>358.47388539999997</v>
          </cell>
          <cell r="AK29">
            <v>338.50051180000003</v>
          </cell>
          <cell r="AL29">
            <v>319.31083760000001</v>
          </cell>
          <cell r="AM29">
            <v>300.90505519999999</v>
          </cell>
          <cell r="AN29">
            <v>283.28001870000003</v>
          </cell>
          <cell r="AO29">
            <v>266.42946410000002</v>
          </cell>
          <cell r="AP29">
            <v>250.3442422</v>
          </cell>
          <cell r="AQ29">
            <v>235.0131581</v>
          </cell>
          <cell r="AR29">
            <v>220.42343199999999</v>
          </cell>
          <cell r="AS29">
            <v>206.5593945</v>
          </cell>
          <cell r="AT29">
            <v>193.40305620000001</v>
          </cell>
          <cell r="AU29">
            <v>180.93471869999999</v>
          </cell>
          <cell r="AV29">
            <v>169.1336149</v>
          </cell>
          <cell r="AW29">
            <v>157.97785630000001</v>
          </cell>
          <cell r="AX29">
            <v>147.4449146</v>
          </cell>
          <cell r="AY29">
            <v>137.511809</v>
          </cell>
          <cell r="AZ29">
            <v>128.15526009999999</v>
          </cell>
          <cell r="BA29">
            <v>114.9074565</v>
          </cell>
          <cell r="BB29">
            <v>106.8293941</v>
          </cell>
          <cell r="BC29">
            <v>99.257369080000004</v>
          </cell>
          <cell r="BD29">
            <v>92.167277819999995</v>
          </cell>
          <cell r="BE29">
            <v>85.535296729999999</v>
          </cell>
        </row>
        <row r="30">
          <cell r="A30" t="str">
            <v>auto_cg_cfut_2</v>
          </cell>
          <cell r="B30">
            <v>2239.620606</v>
          </cell>
          <cell r="C30">
            <v>2183.8408880000002</v>
          </cell>
          <cell r="D30">
            <v>2135.0917559999998</v>
          </cell>
          <cell r="E30">
            <v>2088.315822</v>
          </cell>
          <cell r="F30">
            <v>2040.7131609999999</v>
          </cell>
          <cell r="G30">
            <v>1990.8943429999999</v>
          </cell>
          <cell r="H30">
            <v>1938.1652369999999</v>
          </cell>
          <cell r="I30">
            <v>1882.4973359999999</v>
          </cell>
          <cell r="J30">
            <v>1824.12779</v>
          </cell>
          <cell r="K30">
            <v>1763.4297349999999</v>
          </cell>
          <cell r="L30">
            <v>1701.0094630000001</v>
          </cell>
          <cell r="M30">
            <v>1637.1047940000001</v>
          </cell>
          <cell r="N30">
            <v>1572.1608880000001</v>
          </cell>
          <cell r="O30">
            <v>1506.606495</v>
          </cell>
          <cell r="P30">
            <v>1440.846438</v>
          </cell>
          <cell r="Q30">
            <v>1375.2560719999999</v>
          </cell>
          <cell r="R30">
            <v>1310.1777480000001</v>
          </cell>
          <cell r="S30">
            <v>1245.91905</v>
          </cell>
          <cell r="T30">
            <v>1182.7522650000001</v>
          </cell>
          <cell r="U30">
            <v>1120.9147700000001</v>
          </cell>
          <cell r="V30">
            <v>1060.569608</v>
          </cell>
          <cell r="W30">
            <v>1001.9403</v>
          </cell>
          <cell r="X30">
            <v>945.16730849999999</v>
          </cell>
          <cell r="Y30">
            <v>890.36207390000004</v>
          </cell>
          <cell r="Z30">
            <v>837.60943359999999</v>
          </cell>
          <cell r="AA30">
            <v>786.91085980000003</v>
          </cell>
          <cell r="AB30">
            <v>738.35889299999997</v>
          </cell>
          <cell r="AC30">
            <v>691.98310649999996</v>
          </cell>
          <cell r="AD30">
            <v>647.79309220000005</v>
          </cell>
          <cell r="AE30">
            <v>605.78064970000003</v>
          </cell>
          <cell r="AF30">
            <v>565.92226540000001</v>
          </cell>
          <cell r="AG30">
            <v>528.1815517</v>
          </cell>
          <cell r="AH30">
            <v>492.51149679999997</v>
          </cell>
          <cell r="AI30">
            <v>458.85648759999998</v>
          </cell>
          <cell r="AJ30">
            <v>427.15409749999998</v>
          </cell>
          <cell r="AK30">
            <v>397.33664060000001</v>
          </cell>
          <cell r="AL30">
            <v>369.32998309999999</v>
          </cell>
          <cell r="AM30">
            <v>343.0610403</v>
          </cell>
          <cell r="AN30">
            <v>318.4546689</v>
          </cell>
          <cell r="AO30">
            <v>295.43449579999998</v>
          </cell>
          <cell r="AP30">
            <v>273.92365819999998</v>
          </cell>
          <cell r="AQ30">
            <v>253.84547280000001</v>
          </cell>
          <cell r="AR30">
            <v>235.12402420000001</v>
          </cell>
          <cell r="AS30">
            <v>217.6846673</v>
          </cell>
          <cell r="AT30">
            <v>201.4544472</v>
          </cell>
          <cell r="AU30">
            <v>186.3624399</v>
          </cell>
          <cell r="AV30">
            <v>172.34018929999999</v>
          </cell>
          <cell r="AW30">
            <v>159.32182739999999</v>
          </cell>
          <cell r="AX30">
            <v>147.24392839999999</v>
          </cell>
          <cell r="AY30">
            <v>136.0456873</v>
          </cell>
          <cell r="AZ30">
            <v>125.6690747</v>
          </cell>
          <cell r="BA30">
            <v>112.4660597</v>
          </cell>
          <cell r="BB30">
            <v>103.8162528</v>
          </cell>
          <cell r="BC30">
            <v>95.817794160000005</v>
          </cell>
          <cell r="BD30">
            <v>88.424316970000007</v>
          </cell>
          <cell r="BE30">
            <v>81.592274309999993</v>
          </cell>
        </row>
        <row r="31">
          <cell r="A31" t="str">
            <v>auto_cg_cfut_0</v>
          </cell>
          <cell r="B31">
            <v>2239.620606</v>
          </cell>
          <cell r="C31">
            <v>2183.8705460000001</v>
          </cell>
          <cell r="D31">
            <v>2135.1551260000001</v>
          </cell>
          <cell r="E31">
            <v>2088.4137310000001</v>
          </cell>
          <cell r="F31">
            <v>2040.8493020000001</v>
          </cell>
          <cell r="G31">
            <v>1991.0769789999999</v>
          </cell>
          <cell r="H31">
            <v>1938.4054080000001</v>
          </cell>
          <cell r="I31">
            <v>1882.806525</v>
          </cell>
          <cell r="J31">
            <v>1824.516073</v>
          </cell>
          <cell r="K31">
            <v>1763.904804</v>
          </cell>
          <cell r="L31">
            <v>1701.576716</v>
          </cell>
          <cell r="M31">
            <v>1637.766689</v>
          </cell>
          <cell r="N31">
            <v>1572.9174869999999</v>
          </cell>
          <cell r="O31">
            <v>1507.455841</v>
          </cell>
          <cell r="P31">
            <v>1441.7848939999999</v>
          </cell>
          <cell r="Q31">
            <v>1376.278581</v>
          </cell>
          <cell r="R31">
            <v>1311.27809</v>
          </cell>
          <cell r="S31">
            <v>1247.0900449999999</v>
          </cell>
          <cell r="T31">
            <v>1183.985987</v>
          </cell>
          <cell r="U31">
            <v>1122.202794</v>
          </cell>
          <cell r="V31">
            <v>1061.9029820000001</v>
          </cell>
          <cell r="W31">
            <v>1003.310268</v>
          </cell>
          <cell r="X31">
            <v>946.5652225</v>
          </cell>
          <cell r="Y31">
            <v>891.77949239999998</v>
          </cell>
          <cell r="Z31">
            <v>839.03822330000003</v>
          </cell>
          <cell r="AA31">
            <v>788.34275560000003</v>
          </cell>
          <cell r="AB31">
            <v>739.78647839999996</v>
          </cell>
          <cell r="AC31">
            <v>693.39961100000005</v>
          </cell>
          <cell r="AD31">
            <v>649.19237880000003</v>
          </cell>
          <cell r="AE31">
            <v>607.15720369999997</v>
          </cell>
          <cell r="AF31">
            <v>567.27118359999997</v>
          </cell>
          <cell r="AG31">
            <v>529.49852799999996</v>
          </cell>
          <cell r="AH31">
            <v>493.79280690000002</v>
          </cell>
          <cell r="AI31">
            <v>460.09897059999997</v>
          </cell>
          <cell r="AJ31">
            <v>428.35513179999998</v>
          </cell>
          <cell r="AK31">
            <v>398.4941182</v>
          </cell>
          <cell r="AL31">
            <v>370.44223030000001</v>
          </cell>
          <cell r="AM31">
            <v>344.12684760000002</v>
          </cell>
          <cell r="AN31">
            <v>319.47326470000002</v>
          </cell>
          <cell r="AO31">
            <v>296.40550530000002</v>
          </cell>
          <cell r="AP31">
            <v>274.84706619999997</v>
          </cell>
          <cell r="AQ31">
            <v>254.72183010000001</v>
          </cell>
          <cell r="AR31">
            <v>235.9546737</v>
          </cell>
          <cell r="AS31">
            <v>218.47132089999999</v>
          </cell>
          <cell r="AT31">
            <v>202.19887919999999</v>
          </cell>
          <cell r="AU31">
            <v>187.06633959999999</v>
          </cell>
          <cell r="AV31">
            <v>173.00498959999999</v>
          </cell>
          <cell r="AW31">
            <v>159.94858429999999</v>
          </cell>
          <cell r="AX31">
            <v>147.83357459999999</v>
          </cell>
          <cell r="AY31">
            <v>136.59921069999999</v>
          </cell>
          <cell r="AZ31">
            <v>126.1875976</v>
          </cell>
          <cell r="BA31">
            <v>112.71163730000001</v>
          </cell>
          <cell r="BB31">
            <v>104.0471179</v>
          </cell>
          <cell r="BC31">
            <v>96.034357119999996</v>
          </cell>
          <cell r="BD31">
            <v>88.627060349999994</v>
          </cell>
          <cell r="BE31">
            <v>81.781736309999999</v>
          </cell>
        </row>
        <row r="32">
          <cell r="A32" t="str">
            <v>auto_ca_cele_2</v>
          </cell>
          <cell r="B32">
            <v>9.8427898650000003</v>
          </cell>
          <cell r="C32">
            <v>15.01139886</v>
          </cell>
          <cell r="D32">
            <v>20.490446309999999</v>
          </cell>
          <cell r="E32">
            <v>26.154494639999999</v>
          </cell>
          <cell r="F32">
            <v>31.922674359999998</v>
          </cell>
          <cell r="G32">
            <v>37.74459779</v>
          </cell>
          <cell r="H32">
            <v>43.578617469999998</v>
          </cell>
          <cell r="I32">
            <v>49.405478809999998</v>
          </cell>
          <cell r="J32">
            <v>55.21361323</v>
          </cell>
          <cell r="K32">
            <v>60.996418159999997</v>
          </cell>
          <cell r="L32">
            <v>66.770414200000005</v>
          </cell>
          <cell r="M32">
            <v>72.514494819999996</v>
          </cell>
          <cell r="N32">
            <v>78.228190720000001</v>
          </cell>
          <cell r="O32">
            <v>83.911809390000002</v>
          </cell>
          <cell r="P32">
            <v>89.566686540000006</v>
          </cell>
          <cell r="Q32">
            <v>95.195153149999996</v>
          </cell>
          <cell r="R32">
            <v>100.80037230000001</v>
          </cell>
          <cell r="S32">
            <v>106.3861821</v>
          </cell>
          <cell r="T32">
            <v>111.95696700000001</v>
          </cell>
          <cell r="U32">
            <v>117.5175778</v>
          </cell>
          <cell r="V32">
            <v>123.0569794</v>
          </cell>
          <cell r="W32">
            <v>128.59741639999999</v>
          </cell>
          <cell r="X32">
            <v>134.14561069999999</v>
          </cell>
          <cell r="Y32">
            <v>139.7090121</v>
          </cell>
          <cell r="Z32">
            <v>145.2954689</v>
          </cell>
          <cell r="AA32">
            <v>150.863697</v>
          </cell>
          <cell r="AB32">
            <v>156.448769</v>
          </cell>
          <cell r="AC32">
            <v>162.0613195</v>
          </cell>
          <cell r="AD32">
            <v>167.7140977</v>
          </cell>
          <cell r="AE32">
            <v>173.42124440000001</v>
          </cell>
          <cell r="AF32">
            <v>179.19788019999999</v>
          </cell>
          <cell r="AG32">
            <v>185.0599569</v>
          </cell>
          <cell r="AH32">
            <v>191.02426109999999</v>
          </cell>
          <cell r="AI32">
            <v>197.10850909999999</v>
          </cell>
          <cell r="AJ32">
            <v>203.33148890000001</v>
          </cell>
          <cell r="AK32">
            <v>209.71321620000001</v>
          </cell>
          <cell r="AL32">
            <v>216.26120510000001</v>
          </cell>
          <cell r="AM32">
            <v>222.99809260000001</v>
          </cell>
          <cell r="AN32">
            <v>229.94860840000001</v>
          </cell>
          <cell r="AO32">
            <v>237.13991669999999</v>
          </cell>
          <cell r="AP32">
            <v>244.60163850000001</v>
          </cell>
          <cell r="AQ32">
            <v>252.36582419999999</v>
          </cell>
          <cell r="AR32">
            <v>260.4669629</v>
          </cell>
          <cell r="AS32">
            <v>268.94207690000002</v>
          </cell>
          <cell r="AT32">
            <v>277.83089569999999</v>
          </cell>
          <cell r="AU32">
            <v>287.17608949999999</v>
          </cell>
          <cell r="AV32">
            <v>297.02519740000002</v>
          </cell>
          <cell r="AW32">
            <v>307.42718239999999</v>
          </cell>
          <cell r="AX32">
            <v>318.43164890000003</v>
          </cell>
          <cell r="AY32">
            <v>330.09226649999999</v>
          </cell>
          <cell r="AZ32">
            <v>342.46872589999998</v>
          </cell>
          <cell r="BA32">
            <v>99.339215170000003</v>
          </cell>
          <cell r="BB32">
            <v>86.987539580000004</v>
          </cell>
          <cell r="BC32">
            <v>73.015126519999995</v>
          </cell>
          <cell r="BD32">
            <v>57.267535199999998</v>
          </cell>
          <cell r="BE32">
            <v>39.574651529999997</v>
          </cell>
        </row>
        <row r="33">
          <cell r="A33" t="str">
            <v>auto_ca_cele_0</v>
          </cell>
          <cell r="B33">
            <v>9.8427898650000003</v>
          </cell>
          <cell r="C33">
            <v>15.01237952</v>
          </cell>
          <cell r="D33">
            <v>20.493055250000001</v>
          </cell>
          <cell r="E33">
            <v>26.160264640000001</v>
          </cell>
          <cell r="F33">
            <v>31.9338494</v>
          </cell>
          <cell r="G33">
            <v>37.763842539999999</v>
          </cell>
          <cell r="H33">
            <v>43.608806540000003</v>
          </cell>
          <cell r="I33">
            <v>49.449665420000002</v>
          </cell>
          <cell r="J33">
            <v>55.275097080000002</v>
          </cell>
          <cell r="K33">
            <v>61.078862639999997</v>
          </cell>
          <cell r="L33">
            <v>66.878049000000004</v>
          </cell>
          <cell r="M33">
            <v>72.652095209999999</v>
          </cell>
          <cell r="N33">
            <v>78.401231330000002</v>
          </cell>
          <cell r="O33">
            <v>84.126545070000006</v>
          </cell>
          <cell r="P33">
            <v>89.830216050000004</v>
          </cell>
          <cell r="Q33">
            <v>95.515469190000005</v>
          </cell>
          <cell r="R33">
            <v>101.186413</v>
          </cell>
          <cell r="S33">
            <v>106.8478731</v>
          </cell>
          <cell r="T33">
            <v>112.50526720000001</v>
          </cell>
          <cell r="U33">
            <v>118.1645327</v>
          </cell>
          <cell r="V33">
            <v>123.8155548</v>
          </cell>
          <cell r="W33">
            <v>129.48200170000001</v>
          </cell>
          <cell r="X33">
            <v>135.1719181</v>
          </cell>
          <cell r="Y33">
            <v>140.8941829</v>
          </cell>
          <cell r="Z33">
            <v>146.65819959999999</v>
          </cell>
          <cell r="AA33">
            <v>152.42325450000001</v>
          </cell>
          <cell r="AB33">
            <v>158.22669550000001</v>
          </cell>
          <cell r="AC33">
            <v>164.08109769999999</v>
          </cell>
          <cell r="AD33">
            <v>170.00134990000001</v>
          </cell>
          <cell r="AE33">
            <v>176.00395219999999</v>
          </cell>
          <cell r="AF33">
            <v>182.10661690000001</v>
          </cell>
          <cell r="AG33">
            <v>188.32812799999999</v>
          </cell>
          <cell r="AH33">
            <v>194.68836289999999</v>
          </cell>
          <cell r="AI33">
            <v>201.20840670000001</v>
          </cell>
          <cell r="AJ33">
            <v>207.91071650000001</v>
          </cell>
          <cell r="AK33">
            <v>214.8193062</v>
          </cell>
          <cell r="AL33">
            <v>221.94527059999999</v>
          </cell>
          <cell r="AM33">
            <v>229.31583560000001</v>
          </cell>
          <cell r="AN33">
            <v>236.96074680000001</v>
          </cell>
          <cell r="AO33">
            <v>244.91262470000001</v>
          </cell>
          <cell r="AP33">
            <v>253.20703829999999</v>
          </cell>
          <cell r="AQ33">
            <v>261.88253750000001</v>
          </cell>
          <cell r="AR33">
            <v>270.98040029999999</v>
          </cell>
          <cell r="AS33">
            <v>280.54311109999998</v>
          </cell>
          <cell r="AT33">
            <v>290.61654140000002</v>
          </cell>
          <cell r="AU33">
            <v>301.25119119999999</v>
          </cell>
          <cell r="AV33">
            <v>312.50447020000001</v>
          </cell>
          <cell r="AW33">
            <v>324.43747139999999</v>
          </cell>
          <cell r="AX33">
            <v>337.11668109999999</v>
          </cell>
          <cell r="AY33">
            <v>350.61413640000001</v>
          </cell>
          <cell r="AZ33">
            <v>365.00774030000002</v>
          </cell>
          <cell r="BA33">
            <v>124.0450032</v>
          </cell>
          <cell r="BB33">
            <v>114.81711970000001</v>
          </cell>
          <cell r="BC33">
            <v>104.3082737</v>
          </cell>
          <cell r="BD33">
            <v>92.398095470000001</v>
          </cell>
          <cell r="BE33">
            <v>78.954133470000002</v>
          </cell>
        </row>
        <row r="34">
          <cell r="A34" t="str">
            <v>auto_cb_cele_2</v>
          </cell>
          <cell r="B34">
            <v>11.44571741</v>
          </cell>
          <cell r="C34">
            <v>16.322206730000001</v>
          </cell>
          <cell r="D34">
            <v>21.49012896</v>
          </cell>
          <cell r="E34">
            <v>26.826603089999999</v>
          </cell>
          <cell r="F34">
            <v>32.252515180000003</v>
          </cell>
          <cell r="G34">
            <v>37.718506009999999</v>
          </cell>
          <cell r="H34">
            <v>43.183941500000003</v>
          </cell>
          <cell r="I34">
            <v>48.629718150000002</v>
          </cell>
          <cell r="J34">
            <v>54.044140769999998</v>
          </cell>
          <cell r="K34">
            <v>59.420281770000003</v>
          </cell>
          <cell r="L34">
            <v>64.772998700000002</v>
          </cell>
          <cell r="M34">
            <v>70.081712359999997</v>
          </cell>
          <cell r="N34">
            <v>75.345345030000004</v>
          </cell>
          <cell r="O34">
            <v>80.563580299999998</v>
          </cell>
          <cell r="P34">
            <v>85.737085250000007</v>
          </cell>
          <cell r="Q34">
            <v>90.86746857</v>
          </cell>
          <cell r="R34">
            <v>95.957120540000005</v>
          </cell>
          <cell r="S34">
            <v>101.0090612</v>
          </cell>
          <cell r="T34">
            <v>106.02681699999999</v>
          </cell>
          <cell r="U34">
            <v>111.0143422</v>
          </cell>
          <cell r="V34">
            <v>115.9610497</v>
          </cell>
          <cell r="W34">
            <v>120.88690389999999</v>
          </cell>
          <cell r="X34">
            <v>125.79756519999999</v>
          </cell>
          <cell r="Y34">
            <v>130.6993228</v>
          </cell>
          <cell r="Z34">
            <v>135.59879309999999</v>
          </cell>
          <cell r="AA34">
            <v>140.45824049999999</v>
          </cell>
          <cell r="AB34">
            <v>145.30914949999999</v>
          </cell>
          <cell r="AC34">
            <v>150.16080030000001</v>
          </cell>
          <cell r="AD34">
            <v>155.0242944</v>
          </cell>
          <cell r="AE34">
            <v>159.91188550000001</v>
          </cell>
          <cell r="AF34">
            <v>164.83659599999999</v>
          </cell>
          <cell r="AG34">
            <v>169.8120681</v>
          </cell>
          <cell r="AH34">
            <v>174.8525468</v>
          </cell>
          <cell r="AI34">
            <v>179.97294389999999</v>
          </cell>
          <cell r="AJ34">
            <v>185.188939</v>
          </cell>
          <cell r="AK34">
            <v>190.5170933</v>
          </cell>
          <cell r="AL34">
            <v>195.9628395</v>
          </cell>
          <cell r="AM34">
            <v>201.54470409999999</v>
          </cell>
          <cell r="AN34">
            <v>207.28278789999999</v>
          </cell>
          <cell r="AO34">
            <v>213.1990131</v>
          </cell>
          <cell r="AP34">
            <v>219.31709309999999</v>
          </cell>
          <cell r="AQ34">
            <v>225.66246000000001</v>
          </cell>
          <cell r="AR34">
            <v>232.26222139999999</v>
          </cell>
          <cell r="AS34">
            <v>239.14518609999999</v>
          </cell>
          <cell r="AT34">
            <v>246.3419518</v>
          </cell>
          <cell r="AU34">
            <v>253.8850363</v>
          </cell>
          <cell r="AV34">
            <v>261.8106118</v>
          </cell>
          <cell r="AW34">
            <v>270.15571019999999</v>
          </cell>
          <cell r="AX34">
            <v>278.95716540000001</v>
          </cell>
          <cell r="AY34">
            <v>288.2542679</v>
          </cell>
          <cell r="AZ34">
            <v>298.09025509999998</v>
          </cell>
          <cell r="BA34">
            <v>75.420396510000003</v>
          </cell>
          <cell r="BB34">
            <v>63.977383179999997</v>
          </cell>
          <cell r="BC34">
            <v>51.223632559999999</v>
          </cell>
          <cell r="BD34">
            <v>37.049375359999999</v>
          </cell>
          <cell r="BE34">
            <v>21.33479221</v>
          </cell>
        </row>
        <row r="35">
          <cell r="A35" t="str">
            <v>auto_cb_cele_0</v>
          </cell>
          <cell r="B35">
            <v>11.44571741</v>
          </cell>
          <cell r="C35">
            <v>16.323280220000001</v>
          </cell>
          <cell r="D35">
            <v>21.493085480000001</v>
          </cell>
          <cell r="E35">
            <v>26.833147990000001</v>
          </cell>
          <cell r="F35">
            <v>32.265062319999998</v>
          </cell>
          <cell r="G35">
            <v>37.739892089999998</v>
          </cell>
          <cell r="H35">
            <v>43.21722432</v>
          </cell>
          <cell r="I35">
            <v>48.678152449999999</v>
          </cell>
          <cell r="J35">
            <v>54.111245869999998</v>
          </cell>
          <cell r="K35">
            <v>59.509953299999999</v>
          </cell>
          <cell r="L35">
            <v>64.889707670000007</v>
          </cell>
          <cell r="M35">
            <v>70.23046617</v>
          </cell>
          <cell r="N35">
            <v>75.53183654</v>
          </cell>
          <cell r="O35">
            <v>80.794260019999996</v>
          </cell>
          <cell r="P35">
            <v>86.0192172</v>
          </cell>
          <cell r="Q35">
            <v>91.209172550000005</v>
          </cell>
          <cell r="R35">
            <v>96.367415230000006</v>
          </cell>
          <cell r="S35">
            <v>101.4978981</v>
          </cell>
          <cell r="T35">
            <v>106.6051166</v>
          </cell>
          <cell r="U35">
            <v>111.6940376</v>
          </cell>
          <cell r="V35">
            <v>116.75490360000001</v>
          </cell>
          <cell r="W35">
            <v>121.8090114</v>
          </cell>
          <cell r="X35">
            <v>126.8632319</v>
          </cell>
          <cell r="Y35">
            <v>131.9251539</v>
          </cell>
          <cell r="Z35">
            <v>137.00279929999999</v>
          </cell>
          <cell r="AA35">
            <v>142.0588286</v>
          </cell>
          <cell r="AB35">
            <v>147.1268154</v>
          </cell>
          <cell r="AC35">
            <v>152.2177614</v>
          </cell>
          <cell r="AD35">
            <v>157.34465650000001</v>
          </cell>
          <cell r="AE35">
            <v>162.52182479999999</v>
          </cell>
          <cell r="AF35">
            <v>167.76454770000001</v>
          </cell>
          <cell r="AG35">
            <v>173.08891790000001</v>
          </cell>
          <cell r="AH35">
            <v>178.5118353</v>
          </cell>
          <cell r="AI35">
            <v>184.05108240000001</v>
          </cell>
          <cell r="AJ35">
            <v>189.72544149999999</v>
          </cell>
          <cell r="AK35">
            <v>195.55482760000001</v>
          </cell>
          <cell r="AL35">
            <v>201.5475601</v>
          </cell>
          <cell r="AM35">
            <v>207.72594319999999</v>
          </cell>
          <cell r="AN35">
            <v>214.11417539999999</v>
          </cell>
          <cell r="AO35">
            <v>220.7385984</v>
          </cell>
          <cell r="AP35">
            <v>227.6277011</v>
          </cell>
          <cell r="AQ35">
            <v>234.8121964</v>
          </cell>
          <cell r="AR35">
            <v>242.324872</v>
          </cell>
          <cell r="AS35">
            <v>250.19901680000001</v>
          </cell>
          <cell r="AT35">
            <v>258.47014380000002</v>
          </cell>
          <cell r="AU35">
            <v>267.17694729999999</v>
          </cell>
          <cell r="AV35">
            <v>276.3631542</v>
          </cell>
          <cell r="AW35">
            <v>286.07466499999998</v>
          </cell>
          <cell r="AX35">
            <v>296.36091470000002</v>
          </cell>
          <cell r="AY35">
            <v>307.27487930000001</v>
          </cell>
          <cell r="AZ35">
            <v>318.8731962</v>
          </cell>
          <cell r="BA35">
            <v>97.441447859999997</v>
          </cell>
          <cell r="BB35">
            <v>88.643995919999995</v>
          </cell>
          <cell r="BC35">
            <v>78.802633589999999</v>
          </cell>
          <cell r="BD35">
            <v>67.831831030000004</v>
          </cell>
          <cell r="BE35">
            <v>55.638347830000001</v>
          </cell>
        </row>
        <row r="36">
          <cell r="A36" t="str">
            <v>auto_cc_cele_2</v>
          </cell>
          <cell r="B36">
            <v>9.4015406210000005</v>
          </cell>
          <cell r="C36">
            <v>12.71385293</v>
          </cell>
          <cell r="D36">
            <v>16.223530480000001</v>
          </cell>
          <cell r="E36">
            <v>19.84385103</v>
          </cell>
          <cell r="F36">
            <v>23.519069569999999</v>
          </cell>
          <cell r="G36">
            <v>27.214380120000001</v>
          </cell>
          <cell r="H36">
            <v>30.901250080000001</v>
          </cell>
          <cell r="I36">
            <v>34.566076379999998</v>
          </cell>
          <cell r="J36">
            <v>38.200407910000003</v>
          </cell>
          <cell r="K36">
            <v>41.799097269999997</v>
          </cell>
          <cell r="L36">
            <v>45.371800299999997</v>
          </cell>
          <cell r="M36">
            <v>48.90411366</v>
          </cell>
          <cell r="N36">
            <v>52.394925440000002</v>
          </cell>
          <cell r="O36">
            <v>55.843664879999999</v>
          </cell>
          <cell r="P36">
            <v>59.25044338</v>
          </cell>
          <cell r="Q36">
            <v>62.616018769999997</v>
          </cell>
          <cell r="R36">
            <v>65.941682439999994</v>
          </cell>
          <cell r="S36">
            <v>69.229153580000002</v>
          </cell>
          <cell r="T36">
            <v>72.48049374</v>
          </cell>
          <cell r="U36">
            <v>75.698051399999997</v>
          </cell>
          <cell r="V36">
            <v>78.87458144</v>
          </cell>
          <cell r="W36">
            <v>82.023063399999998</v>
          </cell>
          <cell r="X36">
            <v>85.146976129999999</v>
          </cell>
          <cell r="Y36">
            <v>88.250191009999995</v>
          </cell>
          <cell r="Z36">
            <v>91.336773559999997</v>
          </cell>
          <cell r="AA36">
            <v>94.381929130000003</v>
          </cell>
          <cell r="AB36">
            <v>97.406098259999993</v>
          </cell>
          <cell r="AC36">
            <v>100.415177</v>
          </cell>
          <cell r="AD36">
            <v>103.4161878</v>
          </cell>
          <cell r="AE36">
            <v>106.4168341</v>
          </cell>
          <cell r="AF36">
            <v>109.4252429</v>
          </cell>
          <cell r="AG36">
            <v>112.449859</v>
          </cell>
          <cell r="AH36">
            <v>115.499422</v>
          </cell>
          <cell r="AI36">
            <v>118.58299390000001</v>
          </cell>
          <cell r="AJ36">
            <v>121.71001</v>
          </cell>
          <cell r="AK36">
            <v>124.8903358</v>
          </cell>
          <cell r="AL36">
            <v>128.1267028</v>
          </cell>
          <cell r="AM36">
            <v>131.43000599999999</v>
          </cell>
          <cell r="AN36">
            <v>134.81197090000001</v>
          </cell>
          <cell r="AO36">
            <v>138.28527740000001</v>
          </cell>
          <cell r="AP36">
            <v>141.86351289999999</v>
          </cell>
          <cell r="AQ36">
            <v>145.56109889999999</v>
          </cell>
          <cell r="AR36">
            <v>149.3932365</v>
          </cell>
          <cell r="AS36">
            <v>153.37589120000001</v>
          </cell>
          <cell r="AT36">
            <v>157.52581459999999</v>
          </cell>
          <cell r="AU36">
            <v>161.86058890000001</v>
          </cell>
          <cell r="AV36">
            <v>166.39974860000001</v>
          </cell>
          <cell r="AW36">
            <v>171.1631548</v>
          </cell>
          <cell r="AX36">
            <v>176.1701224</v>
          </cell>
          <cell r="AY36">
            <v>181.44090130000001</v>
          </cell>
          <cell r="AZ36">
            <v>186.9974982</v>
          </cell>
          <cell r="BA36">
            <v>41.767990060000002</v>
          </cell>
          <cell r="BB36">
            <v>34.301015939999999</v>
          </cell>
          <cell r="BC36">
            <v>26.084829039999999</v>
          </cell>
          <cell r="BD36">
            <v>17.065230100000001</v>
          </cell>
          <cell r="BE36">
            <v>7.1835929309999997</v>
          </cell>
        </row>
        <row r="37">
          <cell r="A37" t="str">
            <v>auto_cc_cele_0</v>
          </cell>
          <cell r="B37">
            <v>9.4015406210000005</v>
          </cell>
          <cell r="C37">
            <v>12.714683969999999</v>
          </cell>
          <cell r="D37">
            <v>16.22587665</v>
          </cell>
          <cell r="E37">
            <v>19.84904512</v>
          </cell>
          <cell r="F37">
            <v>23.528949669999999</v>
          </cell>
          <cell r="G37">
            <v>27.231087280000001</v>
          </cell>
          <cell r="H37">
            <v>30.927088810000001</v>
          </cell>
          <cell r="I37">
            <v>34.60350141</v>
          </cell>
          <cell r="J37">
            <v>38.252071919999999</v>
          </cell>
          <cell r="K37">
            <v>41.86792707</v>
          </cell>
          <cell r="L37">
            <v>45.461136600000003</v>
          </cell>
          <cell r="M37">
            <v>49.017671010000001</v>
          </cell>
          <cell r="N37">
            <v>52.536895459999997</v>
          </cell>
          <cell r="O37">
            <v>56.018761849999997</v>
          </cell>
          <cell r="P37">
            <v>59.463938480000003</v>
          </cell>
          <cell r="Q37">
            <v>62.873764790000003</v>
          </cell>
          <cell r="R37">
            <v>66.250138449999994</v>
          </cell>
          <cell r="S37">
            <v>69.595403219999994</v>
          </cell>
          <cell r="T37">
            <v>72.912264359999995</v>
          </cell>
          <cell r="U37">
            <v>76.203738040000005</v>
          </cell>
          <cell r="V37">
            <v>79.463105720000001</v>
          </cell>
          <cell r="W37">
            <v>82.704230300000006</v>
          </cell>
          <cell r="X37">
            <v>85.931373109999996</v>
          </cell>
          <cell r="Y37">
            <v>89.149240469999995</v>
          </cell>
          <cell r="Z37">
            <v>92.362794710000003</v>
          </cell>
          <cell r="AA37">
            <v>95.547404670000006</v>
          </cell>
          <cell r="AB37">
            <v>98.724871059999998</v>
          </cell>
          <cell r="AC37">
            <v>101.9021678</v>
          </cell>
          <cell r="AD37">
            <v>105.0874938</v>
          </cell>
          <cell r="AE37">
            <v>108.28983460000001</v>
          </cell>
          <cell r="AF37">
            <v>111.5187068</v>
          </cell>
          <cell r="AG37">
            <v>114.78405100000001</v>
          </cell>
          <cell r="AH37">
            <v>118.0962145</v>
          </cell>
          <cell r="AI37">
            <v>121.46598400000001</v>
          </cell>
          <cell r="AJ37">
            <v>124.90464299999999</v>
          </cell>
          <cell r="AK37">
            <v>128.4240379</v>
          </cell>
          <cell r="AL37">
            <v>132.02852279999999</v>
          </cell>
          <cell r="AM37">
            <v>135.73117869999999</v>
          </cell>
          <cell r="AN37">
            <v>139.5460836</v>
          </cell>
          <cell r="AO37">
            <v>143.48843099999999</v>
          </cell>
          <cell r="AP37">
            <v>147.57449890000001</v>
          </cell>
          <cell r="AQ37">
            <v>151.82172919999999</v>
          </cell>
          <cell r="AR37">
            <v>156.24867850000001</v>
          </cell>
          <cell r="AS37">
            <v>160.8738855</v>
          </cell>
          <cell r="AT37">
            <v>165.71684909999999</v>
          </cell>
          <cell r="AU37">
            <v>170.79856050000001</v>
          </cell>
          <cell r="AV37">
            <v>176.1425888</v>
          </cell>
          <cell r="AW37">
            <v>181.77327399999999</v>
          </cell>
          <cell r="AX37">
            <v>187.7165139</v>
          </cell>
          <cell r="AY37">
            <v>193.99970669999999</v>
          </cell>
          <cell r="AZ37">
            <v>200.65175120000001</v>
          </cell>
          <cell r="BA37">
            <v>55.764968279999998</v>
          </cell>
          <cell r="BB37">
            <v>49.894204240000001</v>
          </cell>
          <cell r="BC37">
            <v>43.422705530000002</v>
          </cell>
          <cell r="BD37">
            <v>36.308326579999999</v>
          </cell>
          <cell r="BE37">
            <v>28.50554975</v>
          </cell>
        </row>
        <row r="38">
          <cell r="A38" t="str">
            <v>auto_cd_cele_2</v>
          </cell>
          <cell r="B38">
            <v>5.770071272</v>
          </cell>
          <cell r="C38">
            <v>7.5723296830000004</v>
          </cell>
          <cell r="D38">
            <v>9.4655786640000006</v>
          </cell>
          <cell r="E38">
            <v>11.396130940000001</v>
          </cell>
          <cell r="F38">
            <v>13.329240390000001</v>
          </cell>
          <cell r="G38">
            <v>15.2429557</v>
          </cell>
          <cell r="H38">
            <v>17.11987246</v>
          </cell>
          <cell r="I38">
            <v>18.951313639999999</v>
          </cell>
          <cell r="J38">
            <v>20.731828400000001</v>
          </cell>
          <cell r="K38">
            <v>22.458015750000001</v>
          </cell>
          <cell r="L38">
            <v>24.133962319999998</v>
          </cell>
          <cell r="M38">
            <v>25.752015449999998</v>
          </cell>
          <cell r="N38">
            <v>27.311281749999999</v>
          </cell>
          <cell r="O38">
            <v>28.811216229999999</v>
          </cell>
          <cell r="P38">
            <v>30.251647510000002</v>
          </cell>
          <cell r="Q38">
            <v>31.632732359999999</v>
          </cell>
          <cell r="R38">
            <v>32.954883340000002</v>
          </cell>
          <cell r="S38">
            <v>34.218704719999998</v>
          </cell>
          <cell r="T38">
            <v>35.424939879999997</v>
          </cell>
          <cell r="U38">
            <v>36.574433470000002</v>
          </cell>
          <cell r="V38">
            <v>37.664079479999998</v>
          </cell>
          <cell r="W38">
            <v>38.699121839999997</v>
          </cell>
          <cell r="X38">
            <v>39.680726499999999</v>
          </cell>
          <cell r="Y38">
            <v>40.610133740000002</v>
          </cell>
          <cell r="Z38">
            <v>41.488580679999998</v>
          </cell>
          <cell r="AA38">
            <v>42.30662615</v>
          </cell>
          <cell r="AB38">
            <v>43.071847810000001</v>
          </cell>
          <cell r="AC38">
            <v>43.786149139999999</v>
          </cell>
          <cell r="AD38">
            <v>44.45165669</v>
          </cell>
          <cell r="AE38">
            <v>45.070551129999998</v>
          </cell>
          <cell r="AF38">
            <v>45.644973450000002</v>
          </cell>
          <cell r="AG38">
            <v>46.176986139999997</v>
          </cell>
          <cell r="AH38">
            <v>46.668563689999999</v>
          </cell>
          <cell r="AI38">
            <v>47.12159939</v>
          </cell>
          <cell r="AJ38">
            <v>47.5379188</v>
          </cell>
          <cell r="AK38">
            <v>47.919293240000002</v>
          </cell>
          <cell r="AL38">
            <v>48.265373330000003</v>
          </cell>
          <cell r="AM38">
            <v>48.578019789999999</v>
          </cell>
          <cell r="AN38">
            <v>48.859125849999998</v>
          </cell>
          <cell r="AO38">
            <v>49.110624510000001</v>
          </cell>
          <cell r="AP38">
            <v>49.33445571</v>
          </cell>
          <cell r="AQ38">
            <v>49.532532830000001</v>
          </cell>
          <cell r="AR38">
            <v>49.706717730000001</v>
          </cell>
          <cell r="AS38">
            <v>49.858807740000003</v>
          </cell>
          <cell r="AT38">
            <v>49.990532250000001</v>
          </cell>
          <cell r="AU38">
            <v>50.103554189999997</v>
          </cell>
          <cell r="AV38">
            <v>50.199751560000003</v>
          </cell>
          <cell r="AW38">
            <v>50.280951450000003</v>
          </cell>
          <cell r="AX38">
            <v>50.348612510000002</v>
          </cell>
          <cell r="AY38">
            <v>50.40405647</v>
          </cell>
          <cell r="AZ38">
            <v>50.448602960000002</v>
          </cell>
          <cell r="BA38">
            <v>33.875114490000001</v>
          </cell>
          <cell r="BB38">
            <v>32.826666979999999</v>
          </cell>
          <cell r="BC38">
            <v>31.723283139999999</v>
          </cell>
          <cell r="BD38">
            <v>30.565733399999999</v>
          </cell>
          <cell r="BE38">
            <v>29.35484288</v>
          </cell>
        </row>
        <row r="39">
          <cell r="A39" t="str">
            <v>auto_cd_cele_0</v>
          </cell>
          <cell r="B39">
            <v>5.770071272</v>
          </cell>
          <cell r="C39">
            <v>7.5726007409999996</v>
          </cell>
          <cell r="D39">
            <v>9.4661553850000004</v>
          </cell>
          <cell r="E39">
            <v>11.397230690000001</v>
          </cell>
          <cell r="F39">
            <v>13.331247879999999</v>
          </cell>
          <cell r="G39">
            <v>15.24635512</v>
          </cell>
          <cell r="H39">
            <v>17.12518386</v>
          </cell>
          <cell r="I39">
            <v>18.95906823</v>
          </cell>
          <cell r="J39">
            <v>20.742570839999999</v>
          </cell>
          <cell r="K39">
            <v>22.472321409999999</v>
          </cell>
          <cell r="L39">
            <v>24.152472499999998</v>
          </cell>
          <cell r="M39">
            <v>25.775431300000001</v>
          </cell>
          <cell r="N39">
            <v>27.340387020000001</v>
          </cell>
          <cell r="O39">
            <v>28.84688573</v>
          </cell>
          <cell r="P39">
            <v>30.294849790000001</v>
          </cell>
          <cell r="Q39">
            <v>31.684527509999999</v>
          </cell>
          <cell r="R39">
            <v>33.01642021</v>
          </cell>
          <cell r="S39">
            <v>34.291214680000003</v>
          </cell>
          <cell r="T39">
            <v>35.509730759999997</v>
          </cell>
          <cell r="U39">
            <v>36.672885209999997</v>
          </cell>
          <cell r="V39">
            <v>37.7776079</v>
          </cell>
          <cell r="W39">
            <v>38.829238089999997</v>
          </cell>
          <cell r="X39">
            <v>39.829009249999999</v>
          </cell>
          <cell r="Y39">
            <v>40.778228550000001</v>
          </cell>
          <cell r="Z39">
            <v>41.678202149999997</v>
          </cell>
          <cell r="AA39">
            <v>42.519420740000001</v>
          </cell>
          <cell r="AB39">
            <v>43.309597070000002</v>
          </cell>
          <cell r="AC39">
            <v>44.050713479999999</v>
          </cell>
          <cell r="AD39">
            <v>44.74497925</v>
          </cell>
          <cell r="AE39">
            <v>45.394663520000002</v>
          </cell>
          <cell r="AF39">
            <v>46.002000799999998</v>
          </cell>
          <cell r="AG39">
            <v>46.569150829999998</v>
          </cell>
          <cell r="AH39">
            <v>47.09818877</v>
          </cell>
          <cell r="AI39">
            <v>47.591111480000002</v>
          </cell>
          <cell r="AJ39">
            <v>48.049850120000002</v>
          </cell>
          <cell r="AK39">
            <v>48.476283770000002</v>
          </cell>
          <cell r="AL39">
            <v>48.870100970000003</v>
          </cell>
          <cell r="AM39">
            <v>49.233264120000001</v>
          </cell>
          <cell r="AN39">
            <v>49.567772949999998</v>
          </cell>
          <cell r="AO39">
            <v>49.875666150000001</v>
          </cell>
          <cell r="AP39">
            <v>50.15899057</v>
          </cell>
          <cell r="AQ39">
            <v>50.41985365</v>
          </cell>
          <cell r="AR39">
            <v>50.660440919999999</v>
          </cell>
          <cell r="AS39">
            <v>50.882637170000002</v>
          </cell>
          <cell r="AT39">
            <v>51.088202379999998</v>
          </cell>
          <cell r="AU39">
            <v>51.278871709999997</v>
          </cell>
          <cell r="AV39">
            <v>51.456552430000002</v>
          </cell>
          <cell r="AW39">
            <v>51.62297487</v>
          </cell>
          <cell r="AX39">
            <v>51.779844330000003</v>
          </cell>
          <cell r="AY39">
            <v>51.928821769999999</v>
          </cell>
          <cell r="AZ39">
            <v>52.071512259999999</v>
          </cell>
          <cell r="BA39">
            <v>35.485589879999999</v>
          </cell>
          <cell r="BB39">
            <v>34.573697099999997</v>
          </cell>
          <cell r="BC39">
            <v>33.613691600000003</v>
          </cell>
          <cell r="BD39">
            <v>32.606383600000001</v>
          </cell>
          <cell r="BE39">
            <v>31.552621970000001</v>
          </cell>
        </row>
        <row r="40">
          <cell r="A40" t="str">
            <v>auto_ce_cele_2</v>
          </cell>
          <cell r="B40">
            <v>3.4730440960000002</v>
          </cell>
          <cell r="C40">
            <v>4.5789460909999997</v>
          </cell>
          <cell r="D40">
            <v>5.7310365990000003</v>
          </cell>
          <cell r="E40">
            <v>6.894167822</v>
          </cell>
          <cell r="F40">
            <v>8.0459189789999996</v>
          </cell>
          <cell r="G40">
            <v>9.1723505519999993</v>
          </cell>
          <cell r="H40">
            <v>10.262769090000001</v>
          </cell>
          <cell r="I40">
            <v>11.31198318</v>
          </cell>
          <cell r="J40">
            <v>12.31689366</v>
          </cell>
          <cell r="K40">
            <v>13.275722350000001</v>
          </cell>
          <cell r="L40">
            <v>14.19098668</v>
          </cell>
          <cell r="M40">
            <v>15.058640240000001</v>
          </cell>
          <cell r="N40">
            <v>15.87854439</v>
          </cell>
          <cell r="O40">
            <v>16.65081224</v>
          </cell>
          <cell r="P40">
            <v>17.37580702</v>
          </cell>
          <cell r="Q40">
            <v>18.054106019999999</v>
          </cell>
          <cell r="R40">
            <v>18.686453719999999</v>
          </cell>
          <cell r="S40">
            <v>19.273721779999999</v>
          </cell>
          <cell r="T40">
            <v>19.816876690000001</v>
          </cell>
          <cell r="U40">
            <v>20.316955790000002</v>
          </cell>
          <cell r="V40">
            <v>20.773061420000001</v>
          </cell>
          <cell r="W40">
            <v>21.18848616</v>
          </cell>
          <cell r="X40">
            <v>21.564464860000001</v>
          </cell>
          <cell r="Y40">
            <v>21.902265549999999</v>
          </cell>
          <cell r="Z40">
            <v>22.20315321</v>
          </cell>
          <cell r="AA40">
            <v>22.463474389999998</v>
          </cell>
          <cell r="AB40">
            <v>22.687582299999999</v>
          </cell>
          <cell r="AC40">
            <v>22.877134649999999</v>
          </cell>
          <cell r="AD40">
            <v>23.033855559999999</v>
          </cell>
          <cell r="AE40">
            <v>23.159457509999999</v>
          </cell>
          <cell r="AF40">
            <v>23.255600189999999</v>
          </cell>
          <cell r="AG40">
            <v>23.323874329999999</v>
          </cell>
          <cell r="AH40">
            <v>23.365798359999999</v>
          </cell>
          <cell r="AI40">
            <v>23.382821960000001</v>
          </cell>
          <cell r="AJ40">
            <v>23.376332439999999</v>
          </cell>
          <cell r="AK40">
            <v>23.34766119</v>
          </cell>
          <cell r="AL40">
            <v>23.29728437</v>
          </cell>
          <cell r="AM40">
            <v>23.226541910000002</v>
          </cell>
          <cell r="AN40">
            <v>23.136752399999999</v>
          </cell>
          <cell r="AO40">
            <v>23.029211669999999</v>
          </cell>
          <cell r="AP40">
            <v>22.90517856</v>
          </cell>
          <cell r="AQ40">
            <v>22.765862380000002</v>
          </cell>
          <cell r="AR40">
            <v>22.612414680000001</v>
          </cell>
          <cell r="AS40">
            <v>22.445925890000002</v>
          </cell>
          <cell r="AT40">
            <v>22.267425589999998</v>
          </cell>
          <cell r="AU40">
            <v>22.077884539999999</v>
          </cell>
          <cell r="AV40">
            <v>21.878331750000001</v>
          </cell>
          <cell r="AW40">
            <v>21.66978731</v>
          </cell>
          <cell r="AX40">
            <v>21.45311104</v>
          </cell>
          <cell r="AY40">
            <v>21.22906386</v>
          </cell>
          <cell r="AZ40">
            <v>20.998352310000001</v>
          </cell>
          <cell r="BA40">
            <v>13.85018971</v>
          </cell>
          <cell r="BB40">
            <v>13.3144727</v>
          </cell>
          <cell r="BC40">
            <v>12.772281039999999</v>
          </cell>
          <cell r="BD40">
            <v>12.22493592</v>
          </cell>
          <cell r="BE40">
            <v>11.673745009999999</v>
          </cell>
        </row>
        <row r="41">
          <cell r="A41" t="str">
            <v>auto_ce_cele_0</v>
          </cell>
          <cell r="B41">
            <v>3.4730440960000002</v>
          </cell>
          <cell r="C41">
            <v>4.5791700359999998</v>
          </cell>
          <cell r="D41">
            <v>5.7315739920000004</v>
          </cell>
          <cell r="E41">
            <v>6.8952212639999999</v>
          </cell>
          <cell r="F41">
            <v>8.0477916950000008</v>
          </cell>
          <cell r="G41">
            <v>9.1754068669999995</v>
          </cell>
          <cell r="H41">
            <v>10.26739734</v>
          </cell>
          <cell r="I41">
            <v>11.31858141</v>
          </cell>
          <cell r="J41">
            <v>12.325869129999999</v>
          </cell>
          <cell r="K41">
            <v>13.28749878</v>
          </cell>
          <cell r="L41">
            <v>14.20602364</v>
          </cell>
          <cell r="M41">
            <v>15.077421879999999</v>
          </cell>
          <cell r="N41">
            <v>15.901591570000001</v>
          </cell>
          <cell r="O41">
            <v>16.678684669999999</v>
          </cell>
          <cell r="P41">
            <v>17.409102409999999</v>
          </cell>
          <cell r="Q41">
            <v>18.093456620000001</v>
          </cell>
          <cell r="R41">
            <v>18.732522530000001</v>
          </cell>
          <cell r="S41">
            <v>19.327197080000001</v>
          </cell>
          <cell r="T41">
            <v>19.878466790000001</v>
          </cell>
          <cell r="U41">
            <v>20.38738489</v>
          </cell>
          <cell r="V41">
            <v>20.8530452</v>
          </cell>
          <cell r="W41">
            <v>21.27876904</v>
          </cell>
          <cell r="X41">
            <v>21.6657999</v>
          </cell>
          <cell r="Y41">
            <v>22.0154122</v>
          </cell>
          <cell r="Z41">
            <v>22.328876340000001</v>
          </cell>
          <cell r="AA41">
            <v>22.60246167</v>
          </cell>
          <cell r="AB41">
            <v>22.840564220000001</v>
          </cell>
          <cell r="AC41">
            <v>23.044847780000001</v>
          </cell>
          <cell r="AD41">
            <v>23.21704227</v>
          </cell>
          <cell r="AE41">
            <v>23.358865999999999</v>
          </cell>
          <cell r="AF41">
            <v>23.471984030000002</v>
          </cell>
          <cell r="AG41">
            <v>23.557991189999999</v>
          </cell>
          <cell r="AH41">
            <v>23.61840845</v>
          </cell>
          <cell r="AI41">
            <v>23.654686179999999</v>
          </cell>
          <cell r="AJ41">
            <v>23.668210089999999</v>
          </cell>
          <cell r="AK41">
            <v>23.660307599999999</v>
          </cell>
          <cell r="AL41">
            <v>23.63141439</v>
          </cell>
          <cell r="AM41">
            <v>23.582858640000001</v>
          </cell>
          <cell r="AN41">
            <v>23.515946400000001</v>
          </cell>
          <cell r="AO41">
            <v>23.43195746</v>
          </cell>
          <cell r="AP41">
            <v>23.332131830000002</v>
          </cell>
          <cell r="AQ41">
            <v>23.217707870000002</v>
          </cell>
          <cell r="AR41">
            <v>23.089946210000001</v>
          </cell>
          <cell r="AS41">
            <v>22.949952920000001</v>
          </cell>
          <cell r="AT41">
            <v>22.798731549999999</v>
          </cell>
          <cell r="AU41">
            <v>22.637219649999999</v>
          </cell>
          <cell r="AV41">
            <v>22.466359319999999</v>
          </cell>
          <cell r="AW41">
            <v>22.286986049999999</v>
          </cell>
          <cell r="AX41">
            <v>22.099885969999999</v>
          </cell>
          <cell r="AY41">
            <v>21.90579322</v>
          </cell>
          <cell r="AZ41">
            <v>21.705388670000001</v>
          </cell>
          <cell r="BA41">
            <v>14.46660228</v>
          </cell>
          <cell r="BB41">
            <v>13.96919132</v>
          </cell>
          <cell r="BC41">
            <v>13.465731549999999</v>
          </cell>
          <cell r="BD41">
            <v>12.95742368</v>
          </cell>
          <cell r="BE41">
            <v>12.44545143</v>
          </cell>
        </row>
        <row r="42">
          <cell r="A42" t="str">
            <v>auto_cf_cele_2</v>
          </cell>
          <cell r="B42">
            <v>1.7251505170000001</v>
          </cell>
          <cell r="C42">
            <v>2.2481103130000002</v>
          </cell>
          <cell r="D42">
            <v>2.7772110890000001</v>
          </cell>
          <cell r="E42">
            <v>3.2923454940000001</v>
          </cell>
          <cell r="F42">
            <v>3.7815678589999999</v>
          </cell>
          <cell r="G42">
            <v>4.2382129940000004</v>
          </cell>
          <cell r="H42">
            <v>4.6580398020000002</v>
          </cell>
          <cell r="I42">
            <v>5.0397521410000001</v>
          </cell>
          <cell r="J42">
            <v>5.3832678960000004</v>
          </cell>
          <cell r="K42">
            <v>5.6892386239999997</v>
          </cell>
          <cell r="L42">
            <v>5.959928015</v>
          </cell>
          <cell r="M42">
            <v>6.1953744029999998</v>
          </cell>
          <cell r="N42">
            <v>6.3970780600000001</v>
          </cell>
          <cell r="O42">
            <v>6.5666534810000003</v>
          </cell>
          <cell r="P42">
            <v>6.705799292</v>
          </cell>
          <cell r="Q42">
            <v>6.8162660959999997</v>
          </cell>
          <cell r="R42">
            <v>6.8998275729999996</v>
          </cell>
          <cell r="S42">
            <v>6.9582577329999999</v>
          </cell>
          <cell r="T42">
            <v>6.9933129889999996</v>
          </cell>
          <cell r="U42">
            <v>7.0067183139999996</v>
          </cell>
          <cell r="V42">
            <v>6.9997372960000002</v>
          </cell>
          <cell r="W42">
            <v>6.9744967420000004</v>
          </cell>
          <cell r="X42">
            <v>6.9325837870000004</v>
          </cell>
          <cell r="Y42">
            <v>6.8755208630000002</v>
          </cell>
          <cell r="Z42">
            <v>6.804760312</v>
          </cell>
          <cell r="AA42">
            <v>6.7208967289999997</v>
          </cell>
          <cell r="AB42">
            <v>6.6258368860000001</v>
          </cell>
          <cell r="AC42">
            <v>6.5209286190000002</v>
          </cell>
          <cell r="AD42">
            <v>6.407439246</v>
          </cell>
          <cell r="AE42">
            <v>6.286548195</v>
          </cell>
          <cell r="AF42">
            <v>6.1593465119999999</v>
          </cell>
          <cell r="AG42">
            <v>6.0268399639999997</v>
          </cell>
          <cell r="AH42">
            <v>5.8899535810000003</v>
          </cell>
          <cell r="AI42">
            <v>5.7495367630000001</v>
          </cell>
          <cell r="AJ42">
            <v>5.6063684269999996</v>
          </cell>
          <cell r="AK42">
            <v>5.4611618100000001</v>
          </cell>
          <cell r="AL42">
            <v>5.3145051580000002</v>
          </cell>
          <cell r="AM42">
            <v>5.167013259</v>
          </cell>
          <cell r="AN42">
            <v>5.0192460649999999</v>
          </cell>
          <cell r="AO42">
            <v>4.8717107750000004</v>
          </cell>
          <cell r="AP42">
            <v>4.7248637029999996</v>
          </cell>
          <cell r="AQ42">
            <v>4.5791127100000004</v>
          </cell>
          <cell r="AR42">
            <v>4.4348200459999996</v>
          </cell>
          <cell r="AS42">
            <v>4.2923054199999999</v>
          </cell>
          <cell r="AT42">
            <v>4.1518491339999999</v>
          </cell>
          <cell r="AU42">
            <v>4.0136951029999999</v>
          </cell>
          <cell r="AV42">
            <v>3.8780605270000001</v>
          </cell>
          <cell r="AW42">
            <v>3.7451362760000002</v>
          </cell>
          <cell r="AX42">
            <v>3.6150778469999998</v>
          </cell>
          <cell r="AY42">
            <v>3.488009452</v>
          </cell>
          <cell r="AZ42">
            <v>3.3640287660000001</v>
          </cell>
          <cell r="BA42">
            <v>2.8822763779999998</v>
          </cell>
          <cell r="BB42">
            <v>2.7701985680000001</v>
          </cell>
          <cell r="BC42">
            <v>2.6618247959999999</v>
          </cell>
          <cell r="BD42">
            <v>2.5571370870000001</v>
          </cell>
          <cell r="BE42">
            <v>2.456102048</v>
          </cell>
        </row>
        <row r="43">
          <cell r="A43" t="str">
            <v>auto_cf_cele_0</v>
          </cell>
          <cell r="B43">
            <v>1.7251505170000001</v>
          </cell>
          <cell r="C43">
            <v>2.2482503220000001</v>
          </cell>
          <cell r="D43">
            <v>2.7775446549999998</v>
          </cell>
          <cell r="E43">
            <v>3.2929461039999999</v>
          </cell>
          <cell r="F43">
            <v>3.782536114</v>
          </cell>
          <cell r="G43">
            <v>4.2396704249999999</v>
          </cell>
          <cell r="H43">
            <v>4.6601162389999997</v>
          </cell>
          <cell r="I43">
            <v>5.0425770500000002</v>
          </cell>
          <cell r="J43">
            <v>5.3869650770000002</v>
          </cell>
          <cell r="K43">
            <v>5.6939240160000004</v>
          </cell>
          <cell r="L43">
            <v>5.9657128080000001</v>
          </cell>
          <cell r="M43">
            <v>6.2023584769999998</v>
          </cell>
          <cell r="N43">
            <v>6.4053527170000004</v>
          </cell>
          <cell r="O43">
            <v>6.5763015280000001</v>
          </cell>
          <cell r="P43">
            <v>6.7168946800000002</v>
          </cell>
          <cell r="Q43">
            <v>6.8288730690000001</v>
          </cell>
          <cell r="R43">
            <v>6.9139999630000002</v>
          </cell>
          <cell r="S43">
            <v>6.9740380569999996</v>
          </cell>
          <cell r="T43">
            <v>7.0107318550000004</v>
          </cell>
          <cell r="U43">
            <v>7.0257944190000003</v>
          </cell>
          <cell r="V43">
            <v>7.0204735789999999</v>
          </cell>
          <cell r="W43">
            <v>6.9968889509999999</v>
          </cell>
          <cell r="X43">
            <v>6.9566172679999996</v>
          </cell>
          <cell r="Y43">
            <v>6.901170896</v>
          </cell>
          <cell r="Z43">
            <v>6.8319927470000001</v>
          </cell>
          <cell r="AA43">
            <v>6.7496570690000004</v>
          </cell>
          <cell r="AB43">
            <v>6.6560696669999997</v>
          </cell>
          <cell r="AC43">
            <v>6.5525727409999996</v>
          </cell>
          <cell r="AD43">
            <v>6.4404284279999997</v>
          </cell>
          <cell r="AE43">
            <v>6.320811473</v>
          </cell>
          <cell r="AF43">
            <v>6.1948087239999996</v>
          </cell>
          <cell r="AG43">
            <v>6.0634222009999998</v>
          </cell>
          <cell r="AH43">
            <v>5.9275736569999999</v>
          </cell>
          <cell r="AI43">
            <v>5.7881096919999999</v>
          </cell>
          <cell r="AJ43">
            <v>5.6458068690000003</v>
          </cell>
          <cell r="AK43">
            <v>5.5013765460000004</v>
          </cell>
          <cell r="AL43">
            <v>5.3554032610000002</v>
          </cell>
          <cell r="AM43">
            <v>5.2085010760000001</v>
          </cell>
          <cell r="AN43">
            <v>5.0612299060000003</v>
          </cell>
          <cell r="AO43">
            <v>4.9140972850000004</v>
          </cell>
          <cell r="AP43">
            <v>4.7675603049999999</v>
          </cell>
          <cell r="AQ43">
            <v>4.6220341810000001</v>
          </cell>
          <cell r="AR43">
            <v>4.4778978030000003</v>
          </cell>
          <cell r="AS43">
            <v>4.335479393</v>
          </cell>
          <cell r="AT43">
            <v>4.1950616600000004</v>
          </cell>
          <cell r="AU43">
            <v>4.0568878030000004</v>
          </cell>
          <cell r="AV43">
            <v>3.9211684400000002</v>
          </cell>
          <cell r="AW43">
            <v>3.7880809790000001</v>
          </cell>
          <cell r="AX43">
            <v>3.6577751780000001</v>
          </cell>
          <cell r="AY43">
            <v>3.5303755940000001</v>
          </cell>
          <cell r="AZ43">
            <v>3.4059837279999998</v>
          </cell>
          <cell r="BA43">
            <v>2.9073723610000002</v>
          </cell>
          <cell r="BB43">
            <v>2.7952765500000001</v>
          </cell>
          <cell r="BC43">
            <v>2.686812464</v>
          </cell>
          <cell r="BD43">
            <v>2.581966531</v>
          </cell>
          <cell r="BE43">
            <v>2.480710094</v>
          </cell>
        </row>
        <row r="44">
          <cell r="A44" t="str">
            <v>auto_cg_cele_2</v>
          </cell>
          <cell r="B44">
            <v>3.1066862139999998</v>
          </cell>
          <cell r="C44">
            <v>4.0776446540000002</v>
          </cell>
          <cell r="D44">
            <v>5.034980998</v>
          </cell>
          <cell r="E44">
            <v>5.9378734289999997</v>
          </cell>
          <cell r="F44">
            <v>6.7643122660000001</v>
          </cell>
          <cell r="G44">
            <v>7.5040809340000001</v>
          </cell>
          <cell r="H44">
            <v>8.1526707550000008</v>
          </cell>
          <cell r="I44">
            <v>8.7113149700000001</v>
          </cell>
          <cell r="J44">
            <v>9.1835746599999997</v>
          </cell>
          <cell r="K44">
            <v>9.5742682030000008</v>
          </cell>
          <cell r="L44">
            <v>9.8904581870000001</v>
          </cell>
          <cell r="M44">
            <v>10.13591903</v>
          </cell>
          <cell r="N44">
            <v>10.31638616</v>
          </cell>
          <cell r="O44">
            <v>10.43754751</v>
          </cell>
          <cell r="P44">
            <v>10.504965500000001</v>
          </cell>
          <cell r="Q44">
            <v>10.52401334</v>
          </cell>
          <cell r="R44">
            <v>10.499827659999999</v>
          </cell>
          <cell r="S44">
            <v>10.43727689</v>
          </cell>
          <cell r="T44">
            <v>10.340941089999999</v>
          </cell>
          <cell r="U44">
            <v>10.215100570000001</v>
          </cell>
          <cell r="V44">
            <v>10.063344150000001</v>
          </cell>
          <cell r="W44">
            <v>9.8898297020000001</v>
          </cell>
          <cell r="X44">
            <v>9.6979357729999993</v>
          </cell>
          <cell r="Y44">
            <v>9.49074448</v>
          </cell>
          <cell r="Z44">
            <v>9.2710538469999992</v>
          </cell>
          <cell r="AA44">
            <v>9.0408162030000003</v>
          </cell>
          <cell r="AB44">
            <v>8.802801058</v>
          </cell>
          <cell r="AC44">
            <v>8.5591398430000005</v>
          </cell>
          <cell r="AD44">
            <v>8.3117180790000003</v>
          </cell>
          <cell r="AE44">
            <v>8.0621900069999999</v>
          </cell>
          <cell r="AF44">
            <v>7.8119973639999998</v>
          </cell>
          <cell r="AG44">
            <v>7.562389069</v>
          </cell>
          <cell r="AH44">
            <v>7.3144402680000002</v>
          </cell>
          <cell r="AI44">
            <v>7.069070226</v>
          </cell>
          <cell r="AJ44">
            <v>6.8270588500000002</v>
          </cell>
          <cell r="AK44">
            <v>6.5890617300000001</v>
          </cell>
          <cell r="AL44">
            <v>6.355597564</v>
          </cell>
          <cell r="AM44">
            <v>6.1271247029999998</v>
          </cell>
          <cell r="AN44">
            <v>5.9040120140000001</v>
          </cell>
          <cell r="AO44">
            <v>5.6865484940000002</v>
          </cell>
          <cell r="AP44">
            <v>5.4749522519999996</v>
          </cell>
          <cell r="AQ44">
            <v>5.2693790690000002</v>
          </cell>
          <cell r="AR44">
            <v>5.0699303599999999</v>
          </cell>
          <cell r="AS44">
            <v>4.8766604720000002</v>
          </cell>
          <cell r="AT44">
            <v>4.6895832950000003</v>
          </cell>
          <cell r="AU44">
            <v>4.5086781790000003</v>
          </cell>
          <cell r="AV44">
            <v>4.3338971449999999</v>
          </cell>
          <cell r="AW44">
            <v>4.1651688089999999</v>
          </cell>
          <cell r="AX44">
            <v>4.0023990339999997</v>
          </cell>
          <cell r="AY44">
            <v>3.8454751909999998</v>
          </cell>
          <cell r="AZ44">
            <v>3.6942702920000001</v>
          </cell>
          <cell r="BA44">
            <v>3.284762427</v>
          </cell>
          <cell r="BB44">
            <v>3.1536470840000002</v>
          </cell>
          <cell r="BC44">
            <v>3.0276746650000002</v>
          </cell>
          <cell r="BD44">
            <v>2.9066671610000001</v>
          </cell>
          <cell r="BE44">
            <v>2.790447458</v>
          </cell>
        </row>
        <row r="45">
          <cell r="A45" t="str">
            <v>auto_cg_cele_0</v>
          </cell>
          <cell r="B45">
            <v>3.1066862139999998</v>
          </cell>
          <cell r="C45">
            <v>4.0780111479999999</v>
          </cell>
          <cell r="D45">
            <v>5.035904951</v>
          </cell>
          <cell r="E45">
            <v>5.9395484429999996</v>
          </cell>
          <cell r="F45">
            <v>6.7669551969999997</v>
          </cell>
          <cell r="G45">
            <v>7.5079311210000004</v>
          </cell>
          <cell r="H45">
            <v>8.1579709810000001</v>
          </cell>
          <cell r="I45">
            <v>8.7182950370000007</v>
          </cell>
          <cell r="J45">
            <v>9.1924381020000006</v>
          </cell>
          <cell r="K45">
            <v>9.5851848040000007</v>
          </cell>
          <cell r="L45">
            <v>9.9035679870000006</v>
          </cell>
          <cell r="M45">
            <v>10.151318720000001</v>
          </cell>
          <cell r="N45">
            <v>10.334136300000001</v>
          </cell>
          <cell r="O45">
            <v>10.457675180000001</v>
          </cell>
          <cell r="P45">
            <v>10.527466990000001</v>
          </cell>
          <cell r="Q45">
            <v>10.548856410000001</v>
          </cell>
          <cell r="R45">
            <v>10.526954</v>
          </cell>
          <cell r="S45">
            <v>10.46660449</v>
          </cell>
          <cell r="T45">
            <v>10.372366789999999</v>
          </cell>
          <cell r="U45">
            <v>10.24850333</v>
          </cell>
          <cell r="V45">
            <v>10.09858307</v>
          </cell>
          <cell r="W45">
            <v>9.92675792</v>
          </cell>
          <cell r="X45">
            <v>9.7363981059999993</v>
          </cell>
          <cell r="Y45">
            <v>9.5305797040000009</v>
          </cell>
          <cell r="Z45">
            <v>9.3120970169999993</v>
          </cell>
          <cell r="AA45">
            <v>9.0828892910000008</v>
          </cell>
          <cell r="AB45">
            <v>8.8457346860000001</v>
          </cell>
          <cell r="AC45">
            <v>8.6027688510000004</v>
          </cell>
          <cell r="AD45">
            <v>8.3558824979999997</v>
          </cell>
          <cell r="AE45">
            <v>8.1067358790000004</v>
          </cell>
          <cell r="AF45">
            <v>7.8567774379999999</v>
          </cell>
          <cell r="AG45">
            <v>7.6072633710000002</v>
          </cell>
          <cell r="AH45">
            <v>7.3592765809999996</v>
          </cell>
          <cell r="AI45">
            <v>7.1137444790000002</v>
          </cell>
          <cell r="AJ45">
            <v>6.8714554019999996</v>
          </cell>
          <cell r="AK45">
            <v>6.6330735709999997</v>
          </cell>
          <cell r="AL45">
            <v>6.3991252049999998</v>
          </cell>
          <cell r="AM45">
            <v>6.1700777430000002</v>
          </cell>
          <cell r="AN45">
            <v>5.9463091849999996</v>
          </cell>
          <cell r="AO45">
            <v>5.7281174510000001</v>
          </cell>
          <cell r="AP45">
            <v>5.5157293459999996</v>
          </cell>
          <cell r="AQ45">
            <v>5.3093117750000003</v>
          </cell>
          <cell r="AR45">
            <v>5.1089802850000003</v>
          </cell>
          <cell r="AS45">
            <v>4.9147990400000001</v>
          </cell>
          <cell r="AT45">
            <v>4.72678829</v>
          </cell>
          <cell r="AU45">
            <v>4.544931783</v>
          </cell>
          <cell r="AV45">
            <v>4.3691835860000001</v>
          </cell>
          <cell r="AW45">
            <v>4.1994722979999999</v>
          </cell>
          <cell r="AX45">
            <v>4.0357061029999999</v>
          </cell>
          <cell r="AY45">
            <v>3.877776457</v>
          </cell>
          <cell r="AZ45">
            <v>3.725561248</v>
          </cell>
          <cell r="BA45">
            <v>3.2957326619999998</v>
          </cell>
          <cell r="BB45">
            <v>3.16432365</v>
          </cell>
          <cell r="BC45">
            <v>3.0380470530000001</v>
          </cell>
          <cell r="BD45">
            <v>2.9167280400000002</v>
          </cell>
          <cell r="BE45">
            <v>2.8001923290000001</v>
          </cell>
        </row>
        <row r="46">
          <cell r="A46" t="str">
            <v>auto_ca_cgas_2</v>
          </cell>
          <cell r="B46">
            <v>0.42568169729999999</v>
          </cell>
          <cell r="C46">
            <v>0.44962853800000002</v>
          </cell>
          <cell r="D46">
            <v>0.47673549160000001</v>
          </cell>
          <cell r="E46">
            <v>0.50573528020000003</v>
          </cell>
          <cell r="F46">
            <v>0.53579440970000003</v>
          </cell>
          <cell r="G46">
            <v>0.56638101819999997</v>
          </cell>
          <cell r="H46">
            <v>0.59706430749999995</v>
          </cell>
          <cell r="I46">
            <v>0.62763462950000004</v>
          </cell>
          <cell r="J46">
            <v>0.65796309610000003</v>
          </cell>
          <cell r="K46">
            <v>0.68797273609999998</v>
          </cell>
          <cell r="L46">
            <v>0.71779577019999996</v>
          </cell>
          <cell r="M46">
            <v>0.74722891650000001</v>
          </cell>
          <cell r="N46">
            <v>0.77625771229999996</v>
          </cell>
          <cell r="O46">
            <v>0.80487413149999998</v>
          </cell>
          <cell r="P46">
            <v>0.83307801910000001</v>
          </cell>
          <cell r="Q46">
            <v>0.86087621709999995</v>
          </cell>
          <cell r="R46">
            <v>0.8882806553</v>
          </cell>
          <cell r="S46">
            <v>0.91530655409999995</v>
          </cell>
          <cell r="T46">
            <v>0.94197087889999997</v>
          </cell>
          <cell r="U46">
            <v>0.96829124430000002</v>
          </cell>
          <cell r="V46">
            <v>0.99414768320000002</v>
          </cell>
          <cell r="W46">
            <v>1.01970022</v>
          </cell>
          <cell r="X46">
            <v>1.0449688909999999</v>
          </cell>
          <cell r="Y46">
            <v>1.069974899</v>
          </cell>
          <cell r="Z46">
            <v>1.094737565</v>
          </cell>
          <cell r="AA46">
            <v>1.1188713720000001</v>
          </cell>
          <cell r="AB46">
            <v>1.1426185760000001</v>
          </cell>
          <cell r="AC46">
            <v>1.16600748</v>
          </cell>
          <cell r="AD46">
            <v>1.1890749460000001</v>
          </cell>
          <cell r="AE46">
            <v>1.211859936</v>
          </cell>
          <cell r="AF46">
            <v>1.2343997419999999</v>
          </cell>
          <cell r="AG46">
            <v>1.2567284409999999</v>
          </cell>
          <cell r="AH46">
            <v>1.278876597</v>
          </cell>
          <cell r="AI46">
            <v>1.300871686</v>
          </cell>
          <cell r="AJ46">
            <v>1.3227387749999999</v>
          </cell>
          <cell r="AK46">
            <v>1.3445011739999999</v>
          </cell>
          <cell r="AL46">
            <v>1.366082733</v>
          </cell>
          <cell r="AM46">
            <v>1.3875078279999999</v>
          </cell>
          <cell r="AN46">
            <v>1.408802356</v>
          </cell>
          <cell r="AO46">
            <v>1.4299948099999999</v>
          </cell>
          <cell r="AP46">
            <v>1.45111503</v>
          </cell>
          <cell r="AQ46">
            <v>1.4721926110000001</v>
          </cell>
          <cell r="AR46">
            <v>1.493255577</v>
          </cell>
          <cell r="AS46">
            <v>1.5143296420000001</v>
          </cell>
          <cell r="AT46">
            <v>1.5354379419999999</v>
          </cell>
          <cell r="AU46">
            <v>1.5566010429999999</v>
          </cell>
          <cell r="AV46">
            <v>1.5778458070000001</v>
          </cell>
          <cell r="AW46">
            <v>1.599181634</v>
          </cell>
          <cell r="AX46">
            <v>1.6205973</v>
          </cell>
          <cell r="AY46">
            <v>1.642080295</v>
          </cell>
          <cell r="AZ46">
            <v>1.663625586</v>
          </cell>
          <cell r="BA46">
            <v>1.8039206699999999</v>
          </cell>
          <cell r="BB46">
            <v>1.8325442700000001</v>
          </cell>
          <cell r="BC46">
            <v>1.861562003</v>
          </cell>
          <cell r="BD46">
            <v>1.8910015280000001</v>
          </cell>
          <cell r="BE46">
            <v>1.9208926319999999</v>
          </cell>
        </row>
        <row r="47">
          <cell r="A47" t="str">
            <v>auto_ca_cgas_0</v>
          </cell>
          <cell r="B47">
            <v>0.42568169729999999</v>
          </cell>
          <cell r="C47">
            <v>0.44962826880000001</v>
          </cell>
          <cell r="D47">
            <v>0.47672578069999999</v>
          </cell>
          <cell r="E47">
            <v>0.50570927720000003</v>
          </cell>
          <cell r="F47">
            <v>0.53574812260000004</v>
          </cell>
          <cell r="G47">
            <v>0.56631185449999999</v>
          </cell>
          <cell r="H47">
            <v>0.59696939599999999</v>
          </cell>
          <cell r="I47">
            <v>0.62750986040000001</v>
          </cell>
          <cell r="J47">
            <v>0.65780301939999997</v>
          </cell>
          <cell r="K47">
            <v>0.68777096660000003</v>
          </cell>
          <cell r="L47">
            <v>0.71754550260000005</v>
          </cell>
          <cell r="M47">
            <v>0.74692366129999999</v>
          </cell>
          <cell r="N47">
            <v>0.77589157190000002</v>
          </cell>
          <cell r="O47">
            <v>0.80444205879999997</v>
          </cell>
          <cell r="P47">
            <v>0.83257588380000003</v>
          </cell>
          <cell r="Q47">
            <v>0.86030072660000001</v>
          </cell>
          <cell r="R47">
            <v>0.88762926239999995</v>
          </cell>
          <cell r="S47">
            <v>0.91457724620000003</v>
          </cell>
          <cell r="T47">
            <v>0.94116197450000005</v>
          </cell>
          <cell r="U47">
            <v>0.96740121830000003</v>
          </cell>
          <cell r="V47">
            <v>0.99317513140000002</v>
          </cell>
          <cell r="W47">
            <v>1.018643381</v>
          </cell>
          <cell r="X47">
            <v>1.0438257280000001</v>
          </cell>
          <cell r="Y47">
            <v>1.0687429559999999</v>
          </cell>
          <cell r="Z47">
            <v>1.0934139279999999</v>
          </cell>
          <cell r="AA47">
            <v>1.1174531599999999</v>
          </cell>
          <cell r="AB47">
            <v>1.1411020439999999</v>
          </cell>
          <cell r="AC47">
            <v>1.164388499</v>
          </cell>
          <cell r="AD47">
            <v>1.1873488759999999</v>
          </cell>
          <cell r="AE47">
            <v>1.2100216539999999</v>
          </cell>
          <cell r="AF47">
            <v>1.2324437049999999</v>
          </cell>
          <cell r="AG47">
            <v>1.254648717</v>
          </cell>
          <cell r="AH47">
            <v>1.2766669180000001</v>
          </cell>
          <cell r="AI47">
            <v>1.2985254669999999</v>
          </cell>
          <cell r="AJ47">
            <v>1.32024911</v>
          </cell>
          <cell r="AK47">
            <v>1.3418608190000001</v>
          </cell>
          <cell r="AL47">
            <v>1.3632840879999999</v>
          </cell>
          <cell r="AM47">
            <v>1.3845428289999999</v>
          </cell>
          <cell r="AN47">
            <v>1.405662513</v>
          </cell>
          <cell r="AO47">
            <v>1.4266710709999999</v>
          </cell>
          <cell r="AP47">
            <v>1.4475977929999999</v>
          </cell>
          <cell r="AQ47">
            <v>1.468471539</v>
          </cell>
          <cell r="AR47">
            <v>1.489315776</v>
          </cell>
          <cell r="AS47">
            <v>1.5101391</v>
          </cell>
          <cell r="AT47">
            <v>1.530947834</v>
          </cell>
          <cell r="AU47">
            <v>1.551751731</v>
          </cell>
          <cell r="AV47">
            <v>1.5725737099999999</v>
          </cell>
          <cell r="AW47">
            <v>1.5934304349999999</v>
          </cell>
          <cell r="AX47">
            <v>1.614339403</v>
          </cell>
          <cell r="AY47">
            <v>1.6353173640000001</v>
          </cell>
          <cell r="AZ47">
            <v>1.656379467</v>
          </cell>
          <cell r="BA47">
            <v>1.797599926</v>
          </cell>
          <cell r="BB47">
            <v>1.825674359</v>
          </cell>
          <cell r="BC47">
            <v>1.8541047100000001</v>
          </cell>
          <cell r="BD47">
            <v>1.8829160920000001</v>
          </cell>
          <cell r="BE47">
            <v>1.9121352410000001</v>
          </cell>
        </row>
        <row r="48">
          <cell r="A48" t="str">
            <v>auto_cb_cgas_2</v>
          </cell>
          <cell r="B48">
            <v>0.49500522540000003</v>
          </cell>
          <cell r="C48">
            <v>0.51254509079999999</v>
          </cell>
          <cell r="D48">
            <v>0.53336352050000002</v>
          </cell>
          <cell r="E48">
            <v>0.55619989619999999</v>
          </cell>
          <cell r="F48">
            <v>0.58022068240000002</v>
          </cell>
          <cell r="G48">
            <v>0.60488847649999999</v>
          </cell>
          <cell r="H48">
            <v>0.62976820310000003</v>
          </cell>
          <cell r="I48">
            <v>0.654639305</v>
          </cell>
          <cell r="J48">
            <v>0.67936068120000004</v>
          </cell>
          <cell r="K48">
            <v>0.70384243199999996</v>
          </cell>
          <cell r="L48">
            <v>0.72819250680000003</v>
          </cell>
          <cell r="M48">
            <v>0.75220480469999995</v>
          </cell>
          <cell r="N48">
            <v>0.77585216450000005</v>
          </cell>
          <cell r="O48">
            <v>0.79911451479999995</v>
          </cell>
          <cell r="P48">
            <v>0.82198000289999995</v>
          </cell>
          <cell r="Q48">
            <v>0.84444402380000005</v>
          </cell>
          <cell r="R48">
            <v>0.86650733619999998</v>
          </cell>
          <cell r="S48">
            <v>0.88817431540000003</v>
          </cell>
          <cell r="T48">
            <v>0.90945146139999999</v>
          </cell>
          <cell r="U48">
            <v>0.93034633330000005</v>
          </cell>
          <cell r="V48">
            <v>0.95074199879999999</v>
          </cell>
          <cell r="W48">
            <v>0.97077695880000003</v>
          </cell>
          <cell r="X48">
            <v>0.99046211689999997</v>
          </cell>
          <cell r="Y48">
            <v>1.00980958</v>
          </cell>
          <cell r="Z48">
            <v>1.0288299359999999</v>
          </cell>
          <cell r="AA48">
            <v>1.0471730800000001</v>
          </cell>
          <cell r="AB48">
            <v>1.06505202</v>
          </cell>
          <cell r="AC48">
            <v>1.0824878929999999</v>
          </cell>
          <cell r="AD48">
            <v>1.0995091880000001</v>
          </cell>
          <cell r="AE48">
            <v>1.116145983</v>
          </cell>
          <cell r="AF48">
            <v>1.132426626</v>
          </cell>
          <cell r="AG48">
            <v>1.1483763760000001</v>
          </cell>
          <cell r="AH48">
            <v>1.1640171610000001</v>
          </cell>
          <cell r="AI48">
            <v>1.1793679539999999</v>
          </cell>
          <cell r="AJ48">
            <v>1.1944453660000001</v>
          </cell>
          <cell r="AK48">
            <v>1.2092642250000001</v>
          </cell>
          <cell r="AL48">
            <v>1.2237544330000001</v>
          </cell>
          <cell r="AM48">
            <v>1.2379323369999999</v>
          </cell>
          <cell r="AN48">
            <v>1.2518153590000001</v>
          </cell>
          <cell r="AO48">
            <v>1.265422788</v>
          </cell>
          <cell r="AP48">
            <v>1.278774656</v>
          </cell>
          <cell r="AQ48">
            <v>1.2918903719999999</v>
          </cell>
          <cell r="AR48">
            <v>1.3047876140000001</v>
          </cell>
          <cell r="AS48">
            <v>1.317481739</v>
          </cell>
          <cell r="AT48">
            <v>1.3299855789999999</v>
          </cell>
          <cell r="AU48">
            <v>1.342309483</v>
          </cell>
          <cell r="AV48">
            <v>1.354469417</v>
          </cell>
          <cell r="AW48">
            <v>1.3664686079999999</v>
          </cell>
          <cell r="AX48">
            <v>1.378293389</v>
          </cell>
          <cell r="AY48">
            <v>1.3899282740000001</v>
          </cell>
          <cell r="AZ48">
            <v>1.4013629030000001</v>
          </cell>
          <cell r="BA48">
            <v>1.5039197900000001</v>
          </cell>
          <cell r="BB48">
            <v>1.519912972</v>
          </cell>
          <cell r="BC48">
            <v>1.5358993460000001</v>
          </cell>
          <cell r="BD48">
            <v>1.551891216</v>
          </cell>
          <cell r="BE48">
            <v>1.567902049</v>
          </cell>
        </row>
        <row r="49">
          <cell r="A49" t="str">
            <v>auto_cb_cgas_0</v>
          </cell>
          <cell r="B49">
            <v>0.49500522540000003</v>
          </cell>
          <cell r="C49">
            <v>0.51254515599999995</v>
          </cell>
          <cell r="D49">
            <v>0.53335517320000003</v>
          </cell>
          <cell r="E49">
            <v>0.55617682229999998</v>
          </cell>
          <cell r="F49">
            <v>0.58017929850000005</v>
          </cell>
          <cell r="G49">
            <v>0.60482660730000004</v>
          </cell>
          <cell r="H49">
            <v>0.62968351869999994</v>
          </cell>
          <cell r="I49">
            <v>0.65452841790000005</v>
          </cell>
          <cell r="J49">
            <v>0.67921903679999995</v>
          </cell>
          <cell r="K49">
            <v>0.70366467229999996</v>
          </cell>
          <cell r="L49">
            <v>0.72797294869999996</v>
          </cell>
          <cell r="M49">
            <v>0.75193809649999999</v>
          </cell>
          <cell r="N49">
            <v>0.77553353960000004</v>
          </cell>
          <cell r="O49">
            <v>0.79874002519999998</v>
          </cell>
          <cell r="P49">
            <v>0.82154657509999995</v>
          </cell>
          <cell r="Q49">
            <v>0.84394938109999995</v>
          </cell>
          <cell r="R49">
            <v>0.86594990900000002</v>
          </cell>
          <cell r="S49">
            <v>0.88755304430000004</v>
          </cell>
          <cell r="T49">
            <v>0.90876560880000001</v>
          </cell>
          <cell r="U49">
            <v>0.92959532619999996</v>
          </cell>
          <cell r="V49">
            <v>0.94992537840000002</v>
          </cell>
          <cell r="W49">
            <v>0.96989399180000002</v>
          </cell>
          <cell r="X49">
            <v>0.98951185880000003</v>
          </cell>
          <cell r="Y49">
            <v>1.00879075</v>
          </cell>
          <cell r="Z49">
            <v>1.0277408889999999</v>
          </cell>
          <cell r="AA49">
            <v>1.0460121600000001</v>
          </cell>
          <cell r="AB49">
            <v>1.0638168880000001</v>
          </cell>
          <cell r="AC49">
            <v>1.0811759240000001</v>
          </cell>
          <cell r="AD49">
            <v>1.098117367</v>
          </cell>
          <cell r="AE49">
            <v>1.114670933</v>
          </cell>
          <cell r="AF49">
            <v>1.1308646550000001</v>
          </cell>
          <cell r="AG49">
            <v>1.146723519</v>
          </cell>
          <cell r="AH49">
            <v>1.162269218</v>
          </cell>
          <cell r="AI49">
            <v>1.1775205150000001</v>
          </cell>
          <cell r="AJ49">
            <v>1.1924938060000001</v>
          </cell>
          <cell r="AK49">
            <v>1.2072036930000001</v>
          </cell>
          <cell r="AL49">
            <v>1.2215798069999999</v>
          </cell>
          <cell r="AM49">
            <v>1.2356381569999999</v>
          </cell>
          <cell r="AN49">
            <v>1.249395872</v>
          </cell>
          <cell r="AO49">
            <v>1.2628718269999999</v>
          </cell>
          <cell r="AP49">
            <v>1.276085653</v>
          </cell>
          <cell r="AQ49">
            <v>1.289056786</v>
          </cell>
          <cell r="AR49">
            <v>1.301800939</v>
          </cell>
          <cell r="AS49">
            <v>1.3143211319999999</v>
          </cell>
          <cell r="AT49">
            <v>1.326617795</v>
          </cell>
          <cell r="AU49">
            <v>1.338693433</v>
          </cell>
          <cell r="AV49">
            <v>1.3505606029999999</v>
          </cell>
          <cell r="AW49">
            <v>1.3622261849999999</v>
          </cell>
          <cell r="AX49">
            <v>1.3736973159999999</v>
          </cell>
          <cell r="AY49">
            <v>1.3849801740000001</v>
          </cell>
          <cell r="AZ49">
            <v>1.396079343</v>
          </cell>
          <cell r="BA49">
            <v>1.49953493</v>
          </cell>
          <cell r="BB49">
            <v>1.515156978</v>
          </cell>
          <cell r="BC49">
            <v>1.5307466949999999</v>
          </cell>
          <cell r="BD49">
            <v>1.5463146320000001</v>
          </cell>
          <cell r="BE49">
            <v>1.561872156</v>
          </cell>
        </row>
        <row r="50">
          <cell r="A50" t="str">
            <v>auto_cc_cgas_2</v>
          </cell>
          <cell r="B50">
            <v>0.40659851759999999</v>
          </cell>
          <cell r="C50">
            <v>0.41470425999999999</v>
          </cell>
          <cell r="D50">
            <v>0.42526589009999999</v>
          </cell>
          <cell r="E50">
            <v>0.43737992570000001</v>
          </cell>
          <cell r="F50">
            <v>0.45044600289999998</v>
          </cell>
          <cell r="G50">
            <v>0.4640733749</v>
          </cell>
          <cell r="H50">
            <v>0.47794585550000002</v>
          </cell>
          <cell r="I50">
            <v>0.49189733879999997</v>
          </cell>
          <cell r="J50">
            <v>0.50581810810000005</v>
          </cell>
          <cell r="K50">
            <v>0.51963489039999999</v>
          </cell>
          <cell r="L50">
            <v>0.53340945539999995</v>
          </cell>
          <cell r="M50">
            <v>0.54699168080000005</v>
          </cell>
          <cell r="N50">
            <v>0.56035381809999996</v>
          </cell>
          <cell r="O50">
            <v>0.5734737204</v>
          </cell>
          <cell r="P50">
            <v>0.58633545880000004</v>
          </cell>
          <cell r="Q50">
            <v>0.59892856250000004</v>
          </cell>
          <cell r="R50">
            <v>0.61124668039999996</v>
          </cell>
          <cell r="S50">
            <v>0.6232863568</v>
          </cell>
          <cell r="T50">
            <v>0.63504599159999997</v>
          </cell>
          <cell r="U50">
            <v>0.64652509300000005</v>
          </cell>
          <cell r="V50">
            <v>0.65764200500000003</v>
          </cell>
          <cell r="W50">
            <v>0.66848327770000004</v>
          </cell>
          <cell r="X50">
            <v>0.67905165759999997</v>
          </cell>
          <cell r="Y50">
            <v>0.68935087179999999</v>
          </cell>
          <cell r="Z50">
            <v>0.69938387570000005</v>
          </cell>
          <cell r="AA50">
            <v>0.70892182969999995</v>
          </cell>
          <cell r="AB50">
            <v>0.71810043469999996</v>
          </cell>
          <cell r="AC50">
            <v>0.72693131330000005</v>
          </cell>
          <cell r="AD50">
            <v>0.7354307242</v>
          </cell>
          <cell r="AE50">
            <v>0.74361585630000004</v>
          </cell>
          <cell r="AF50">
            <v>0.75150271609999997</v>
          </cell>
          <cell r="AG50">
            <v>0.75910528089999996</v>
          </cell>
          <cell r="AH50">
            <v>0.76643535399999996</v>
          </cell>
          <cell r="AI50">
            <v>0.7735028102</v>
          </cell>
          <cell r="AJ50">
            <v>0.78031598099999999</v>
          </cell>
          <cell r="AK50">
            <v>0.78688202259999995</v>
          </cell>
          <cell r="AL50">
            <v>0.79315584660000005</v>
          </cell>
          <cell r="AM50">
            <v>0.79914612959999998</v>
          </cell>
          <cell r="AN50">
            <v>0.80486217709999996</v>
          </cell>
          <cell r="AO50">
            <v>0.81031434560000004</v>
          </cell>
          <cell r="AP50">
            <v>0.81551331869999999</v>
          </cell>
          <cell r="AQ50">
            <v>0.82046927219999999</v>
          </cell>
          <cell r="AR50">
            <v>0.82519121709999999</v>
          </cell>
          <cell r="AS50">
            <v>0.82968665870000002</v>
          </cell>
          <cell r="AT50">
            <v>0.8339615051</v>
          </cell>
          <cell r="AU50">
            <v>0.83802011679999999</v>
          </cell>
          <cell r="AV50">
            <v>0.84187057990000003</v>
          </cell>
          <cell r="AW50">
            <v>0.84551446370000005</v>
          </cell>
          <cell r="AX50">
            <v>0.84894346279999999</v>
          </cell>
          <cell r="AY50">
            <v>0.85214789260000001</v>
          </cell>
          <cell r="AZ50">
            <v>0.85512069739999996</v>
          </cell>
          <cell r="BA50">
            <v>0.90839681500000002</v>
          </cell>
          <cell r="BB50">
            <v>0.91344917969999995</v>
          </cell>
          <cell r="BC50">
            <v>0.9183529225</v>
          </cell>
          <cell r="BD50">
            <v>0.92311309210000003</v>
          </cell>
          <cell r="BE50">
            <v>0.92773529450000003</v>
          </cell>
        </row>
        <row r="51">
          <cell r="A51" t="str">
            <v>auto_cc_cgas_0</v>
          </cell>
          <cell r="B51">
            <v>0.40659851759999999</v>
          </cell>
          <cell r="C51">
            <v>0.41470452610000003</v>
          </cell>
          <cell r="D51">
            <v>0.4252607773</v>
          </cell>
          <cell r="E51">
            <v>0.43736524069999999</v>
          </cell>
          <cell r="F51">
            <v>0.45041943159999998</v>
          </cell>
          <cell r="G51">
            <v>0.46403361920000002</v>
          </cell>
          <cell r="H51">
            <v>0.47789158409999999</v>
          </cell>
          <cell r="I51">
            <v>0.49182657279999997</v>
          </cell>
          <cell r="J51">
            <v>0.50572813650000004</v>
          </cell>
          <cell r="K51">
            <v>0.51952250430000002</v>
          </cell>
          <cell r="L51">
            <v>0.53327126739999997</v>
          </cell>
          <cell r="M51">
            <v>0.54682454570000005</v>
          </cell>
          <cell r="N51">
            <v>0.56015500060000001</v>
          </cell>
          <cell r="O51">
            <v>0.57324104659999997</v>
          </cell>
          <cell r="P51">
            <v>0.58606734979999997</v>
          </cell>
          <cell r="Q51">
            <v>0.59862397889999996</v>
          </cell>
          <cell r="R51">
            <v>0.61090505959999997</v>
          </cell>
          <cell r="S51">
            <v>0.62290747980000005</v>
          </cell>
          <cell r="T51">
            <v>0.63462985699999996</v>
          </cell>
          <cell r="U51">
            <v>0.64607181479999998</v>
          </cell>
          <cell r="V51">
            <v>0.65715176710000001</v>
          </cell>
          <cell r="W51">
            <v>0.66795610859999999</v>
          </cell>
          <cell r="X51">
            <v>0.67848746439999996</v>
          </cell>
          <cell r="Y51">
            <v>0.68874936119999997</v>
          </cell>
          <cell r="Z51">
            <v>0.69874453690000005</v>
          </cell>
          <cell r="AA51">
            <v>0.70824411320000003</v>
          </cell>
          <cell r="AB51">
            <v>0.71738339399999995</v>
          </cell>
          <cell r="AC51">
            <v>0.72617384699999998</v>
          </cell>
          <cell r="AD51">
            <v>0.73463150929999999</v>
          </cell>
          <cell r="AE51">
            <v>0.74277336510000003</v>
          </cell>
          <cell r="AF51">
            <v>0.75061525110000005</v>
          </cell>
          <cell r="AG51">
            <v>0.75817099580000002</v>
          </cell>
          <cell r="AH51">
            <v>0.76545228119999997</v>
          </cell>
          <cell r="AI51">
            <v>0.77246887580000001</v>
          </cell>
          <cell r="AJ51">
            <v>0.77922900269999995</v>
          </cell>
          <cell r="AK51">
            <v>0.78573970400000004</v>
          </cell>
          <cell r="AL51">
            <v>0.79195573050000001</v>
          </cell>
          <cell r="AM51">
            <v>0.79788557130000004</v>
          </cell>
          <cell r="AN51">
            <v>0.80353837750000001</v>
          </cell>
          <cell r="AO51">
            <v>0.80892427690000002</v>
          </cell>
          <cell r="AP51">
            <v>0.81405373349999999</v>
          </cell>
          <cell r="AQ51">
            <v>0.81893729999999998</v>
          </cell>
          <cell r="AR51">
            <v>0.82358385229999997</v>
          </cell>
          <cell r="AS51">
            <v>0.82799455249999998</v>
          </cell>
          <cell r="AT51">
            <v>0.83216870740000004</v>
          </cell>
          <cell r="AU51">
            <v>0.83610654559999997</v>
          </cell>
          <cell r="AV51">
            <v>0.83981395329999997</v>
          </cell>
          <cell r="AW51">
            <v>0.84329328859999997</v>
          </cell>
          <cell r="AX51">
            <v>0.84654697329999995</v>
          </cell>
          <cell r="AY51">
            <v>0.84957684040000003</v>
          </cell>
          <cell r="AZ51">
            <v>0.85238379590000002</v>
          </cell>
          <cell r="BA51">
            <v>0.90626562889999995</v>
          </cell>
          <cell r="BB51">
            <v>0.91114016870000003</v>
          </cell>
          <cell r="BC51">
            <v>0.91585367900000003</v>
          </cell>
          <cell r="BD51">
            <v>0.92041032209999996</v>
          </cell>
          <cell r="BE51">
            <v>0.92481464719999995</v>
          </cell>
        </row>
        <row r="52">
          <cell r="A52" t="str">
            <v>auto_cd_cgas_2</v>
          </cell>
          <cell r="B52">
            <v>0.2495444651</v>
          </cell>
          <cell r="C52">
            <v>0.25242861909999997</v>
          </cell>
          <cell r="D52">
            <v>0.2566074216</v>
          </cell>
          <cell r="E52">
            <v>0.2615375948</v>
          </cell>
          <cell r="F52">
            <v>0.26686190209999999</v>
          </cell>
          <cell r="G52">
            <v>0.2723498506</v>
          </cell>
          <cell r="H52">
            <v>0.27782031709999999</v>
          </cell>
          <cell r="I52">
            <v>0.28317791219999999</v>
          </cell>
          <cell r="J52">
            <v>0.28836053010000001</v>
          </cell>
          <cell r="K52">
            <v>0.29332736790000002</v>
          </cell>
          <cell r="L52">
            <v>0.29810668330000001</v>
          </cell>
          <cell r="M52">
            <v>0.30262136299999998</v>
          </cell>
          <cell r="N52">
            <v>0.30685738800000001</v>
          </cell>
          <cell r="O52">
            <v>0.31080446410000001</v>
          </cell>
          <cell r="P52">
            <v>0.3144560488</v>
          </cell>
          <cell r="Q52">
            <v>0.31780879690000002</v>
          </cell>
          <cell r="R52">
            <v>0.32086180120000002</v>
          </cell>
          <cell r="S52">
            <v>0.3236159354</v>
          </cell>
          <cell r="T52">
            <v>0.3260733126</v>
          </cell>
          <cell r="U52">
            <v>0.32823689480000001</v>
          </cell>
          <cell r="V52">
            <v>0.33007500220000002</v>
          </cell>
          <cell r="W52">
            <v>0.3316297721</v>
          </cell>
          <cell r="X52">
            <v>0.33290642739999998</v>
          </cell>
          <cell r="Y52">
            <v>0.33391066409999998</v>
          </cell>
          <cell r="Z52">
            <v>0.33464798060000001</v>
          </cell>
          <cell r="AA52">
            <v>0.33503200119999998</v>
          </cell>
          <cell r="AB52">
            <v>0.33512496000000003</v>
          </cell>
          <cell r="AC52">
            <v>0.33493834779999998</v>
          </cell>
          <cell r="AD52">
            <v>0.33448507649999998</v>
          </cell>
          <cell r="AE52">
            <v>0.33377804430000002</v>
          </cell>
          <cell r="AF52">
            <v>0.33282937899999998</v>
          </cell>
          <cell r="AG52">
            <v>0.33165017409999997</v>
          </cell>
          <cell r="AH52">
            <v>0.3302504846</v>
          </cell>
          <cell r="AI52">
            <v>0.32863946049999998</v>
          </cell>
          <cell r="AJ52">
            <v>0.32682552720000002</v>
          </cell>
          <cell r="AK52">
            <v>0.32481655440000001</v>
          </cell>
          <cell r="AL52">
            <v>0.32260339179999997</v>
          </cell>
          <cell r="AM52">
            <v>0.32019516770000001</v>
          </cell>
          <cell r="AN52">
            <v>0.31760111990000001</v>
          </cell>
          <cell r="AO52">
            <v>0.31483065059999998</v>
          </cell>
          <cell r="AP52">
            <v>0.31189306989999999</v>
          </cell>
          <cell r="AQ52">
            <v>0.3087973503</v>
          </cell>
          <cell r="AR52">
            <v>0.30555196159999998</v>
          </cell>
          <cell r="AS52">
            <v>0.30216481299999998</v>
          </cell>
          <cell r="AT52">
            <v>0.29864327330000001</v>
          </cell>
          <cell r="AU52">
            <v>0.29499422939999997</v>
          </cell>
          <cell r="AV52">
            <v>0.29122609040000003</v>
          </cell>
          <cell r="AW52">
            <v>0.2873466288</v>
          </cell>
          <cell r="AX52">
            <v>0.28336095140000001</v>
          </cell>
          <cell r="AY52">
            <v>0.27927337279999997</v>
          </cell>
          <cell r="AZ52">
            <v>0.27508845059999998</v>
          </cell>
          <cell r="BA52">
            <v>0.27581100089999999</v>
          </cell>
          <cell r="BB52">
            <v>0.27146094479999999</v>
          </cell>
          <cell r="BC52">
            <v>0.26701789739999998</v>
          </cell>
          <cell r="BD52">
            <v>0.26248832030000002</v>
          </cell>
          <cell r="BE52">
            <v>0.25787865199999999</v>
          </cell>
        </row>
        <row r="53">
          <cell r="A53" t="str">
            <v>auto_cd_cgas_0</v>
          </cell>
          <cell r="B53">
            <v>0.2495444651</v>
          </cell>
          <cell r="C53">
            <v>0.25242935500000002</v>
          </cell>
          <cell r="D53">
            <v>0.2566063576</v>
          </cell>
          <cell r="E53">
            <v>0.26153288990000001</v>
          </cell>
          <cell r="F53">
            <v>0.2668527316</v>
          </cell>
          <cell r="G53">
            <v>0.27233604709999998</v>
          </cell>
          <cell r="H53">
            <v>0.27780186019999997</v>
          </cell>
          <cell r="I53">
            <v>0.28315460920000002</v>
          </cell>
          <cell r="J53">
            <v>0.28833194379999999</v>
          </cell>
          <cell r="K53">
            <v>0.29329290120000001</v>
          </cell>
          <cell r="L53">
            <v>0.29806572930000003</v>
          </cell>
          <cell r="M53">
            <v>0.30257345419999998</v>
          </cell>
          <cell r="N53">
            <v>0.30680227409999999</v>
          </cell>
          <cell r="O53">
            <v>0.31074217240000002</v>
          </cell>
          <cell r="P53">
            <v>0.31438689269999998</v>
          </cell>
          <cell r="Q53">
            <v>0.31773334240000001</v>
          </cell>
          <cell r="R53">
            <v>0.32078083190000001</v>
          </cell>
          <cell r="S53">
            <v>0.32353038670000001</v>
          </cell>
          <cell r="T53">
            <v>0.32598421319999998</v>
          </cell>
          <cell r="U53">
            <v>0.32814532340000002</v>
          </cell>
          <cell r="V53">
            <v>0.32998203739999998</v>
          </cell>
          <cell r="W53">
            <v>0.33153646669999998</v>
          </cell>
          <cell r="X53">
            <v>0.33281380020000001</v>
          </cell>
          <cell r="Y53">
            <v>0.33381967010000002</v>
          </cell>
          <cell r="Z53">
            <v>0.33455950769999998</v>
          </cell>
          <cell r="AA53">
            <v>0.33494681529999998</v>
          </cell>
          <cell r="AB53">
            <v>0.33504375409999998</v>
          </cell>
          <cell r="AC53">
            <v>0.33486178929999999</v>
          </cell>
          <cell r="AD53">
            <v>0.33441378500000002</v>
          </cell>
          <cell r="AE53">
            <v>0.33371259809999998</v>
          </cell>
          <cell r="AF53">
            <v>0.33277032779999999</v>
          </cell>
          <cell r="AG53">
            <v>0.33159804650000002</v>
          </cell>
          <cell r="AH53">
            <v>0.3302057981</v>
          </cell>
          <cell r="AI53">
            <v>0.32860272779999999</v>
          </cell>
          <cell r="AJ53">
            <v>0.32679725659999997</v>
          </cell>
          <cell r="AK53">
            <v>0.32479724910000002</v>
          </cell>
          <cell r="AL53">
            <v>0.3225934875</v>
          </cell>
          <cell r="AM53">
            <v>0.32019506739999998</v>
          </cell>
          <cell r="AN53">
            <v>0.31761121279999999</v>
          </cell>
          <cell r="AO53">
            <v>0.3148512893</v>
          </cell>
          <cell r="AP53">
            <v>0.31192457530000001</v>
          </cell>
          <cell r="AQ53">
            <v>0.30884063560000002</v>
          </cell>
          <cell r="AR53">
            <v>0.30560923220000002</v>
          </cell>
          <cell r="AS53">
            <v>0.3022376624</v>
          </cell>
          <cell r="AT53">
            <v>0.29873223850000002</v>
          </cell>
          <cell r="AU53">
            <v>0.29509911770000002</v>
          </cell>
          <cell r="AV53">
            <v>0.29134567259999999</v>
          </cell>
          <cell r="AW53">
            <v>0.28747814980000003</v>
          </cell>
          <cell r="AX53">
            <v>0.28350277060000001</v>
          </cell>
          <cell r="AY53">
            <v>0.27942562869999998</v>
          </cell>
          <cell r="AZ53">
            <v>0.2752526434</v>
          </cell>
          <cell r="BA53">
            <v>0.27612346450000003</v>
          </cell>
          <cell r="BB53">
            <v>0.2717945819</v>
          </cell>
          <cell r="BC53">
            <v>0.26737305779999998</v>
          </cell>
          <cell r="BD53">
            <v>0.26286532150000003</v>
          </cell>
          <cell r="BE53">
            <v>0.25827777819999997</v>
          </cell>
        </row>
        <row r="54">
          <cell r="A54" t="str">
            <v>auto_ce_cgas_2</v>
          </cell>
          <cell r="B54">
            <v>0.15020246549999999</v>
          </cell>
          <cell r="C54">
            <v>0.1521299488</v>
          </cell>
          <cell r="D54">
            <v>0.15475331349999999</v>
          </cell>
          <cell r="E54">
            <v>0.15772101690000001</v>
          </cell>
          <cell r="F54">
            <v>0.16080614800000001</v>
          </cell>
          <cell r="G54">
            <v>0.16386564079999999</v>
          </cell>
          <cell r="H54">
            <v>0.1667911275</v>
          </cell>
          <cell r="I54">
            <v>0.16952826409999999</v>
          </cell>
          <cell r="J54">
            <v>0.1720441382</v>
          </cell>
          <cell r="K54">
            <v>0.17431938490000001</v>
          </cell>
          <cell r="L54">
            <v>0.17637410149999999</v>
          </cell>
          <cell r="M54">
            <v>0.1781695465</v>
          </cell>
          <cell r="N54">
            <v>0.17970322450000001</v>
          </cell>
          <cell r="O54">
            <v>0.18097508070000001</v>
          </cell>
          <cell r="P54">
            <v>0.1819873635</v>
          </cell>
          <cell r="Q54">
            <v>0.1827442192</v>
          </cell>
          <cell r="R54">
            <v>0.18325121559999999</v>
          </cell>
          <cell r="S54">
            <v>0.18351494500000001</v>
          </cell>
          <cell r="T54">
            <v>0.18354270440000001</v>
          </cell>
          <cell r="U54">
            <v>0.18334226100000001</v>
          </cell>
          <cell r="V54">
            <v>0.18290443310000001</v>
          </cell>
          <cell r="W54">
            <v>0.1822566672</v>
          </cell>
          <cell r="X54">
            <v>0.1814078153</v>
          </cell>
          <cell r="Y54">
            <v>0.1803668424</v>
          </cell>
          <cell r="Z54">
            <v>0.17914253150000001</v>
          </cell>
          <cell r="AA54">
            <v>0.17770178950000001</v>
          </cell>
          <cell r="AB54">
            <v>0.17608055810000001</v>
          </cell>
          <cell r="AC54">
            <v>0.1742908587</v>
          </cell>
          <cell r="AD54">
            <v>0.1723449856</v>
          </cell>
          <cell r="AE54">
            <v>0.17025487989999999</v>
          </cell>
          <cell r="AF54">
            <v>0.16803182720000001</v>
          </cell>
          <cell r="AG54">
            <v>0.1656863747</v>
          </cell>
          <cell r="AH54">
            <v>0.16322835669999999</v>
          </cell>
          <cell r="AI54">
            <v>0.16066697590000001</v>
          </cell>
          <cell r="AJ54">
            <v>0.15801090009999999</v>
          </cell>
          <cell r="AK54">
            <v>0.155268352</v>
          </cell>
          <cell r="AL54">
            <v>0.15244092070000001</v>
          </cell>
          <cell r="AM54">
            <v>0.149537225</v>
          </cell>
          <cell r="AN54">
            <v>0.14656570329999999</v>
          </cell>
          <cell r="AO54">
            <v>0.1435346103</v>
          </cell>
          <cell r="AP54">
            <v>0.1404519172</v>
          </cell>
          <cell r="AQ54">
            <v>0.1373252314</v>
          </cell>
          <cell r="AR54">
            <v>0.13416175259999999</v>
          </cell>
          <cell r="AS54">
            <v>0.1309682694</v>
          </cell>
          <cell r="AT54">
            <v>0.1277511825</v>
          </cell>
          <cell r="AU54">
            <v>0.1245165387</v>
          </cell>
          <cell r="AV54">
            <v>0.1212708212</v>
          </cell>
          <cell r="AW54">
            <v>0.1180203826</v>
          </cell>
          <cell r="AX54">
            <v>0.1147704915</v>
          </cell>
          <cell r="AY54">
            <v>0.1115258375</v>
          </cell>
          <cell r="AZ54">
            <v>0.1082908683</v>
          </cell>
          <cell r="BA54">
            <v>0.1050646423</v>
          </cell>
          <cell r="BB54">
            <v>0.1018301482</v>
          </cell>
          <cell r="BC54">
            <v>9.8617462000000003E-2</v>
          </cell>
          <cell r="BD54">
            <v>9.5431064800000007E-2</v>
          </cell>
          <cell r="BE54">
            <v>9.2275199700000005E-2</v>
          </cell>
        </row>
        <row r="55">
          <cell r="A55" t="str">
            <v>auto_ce_cgas_0</v>
          </cell>
          <cell r="B55">
            <v>0.15020246549999999</v>
          </cell>
          <cell r="C55">
            <v>0.152130713</v>
          </cell>
          <cell r="D55">
            <v>0.1547535786</v>
          </cell>
          <cell r="E55">
            <v>0.1577198692</v>
          </cell>
          <cell r="F55">
            <v>0.1608032704</v>
          </cell>
          <cell r="G55">
            <v>0.16386115479999999</v>
          </cell>
          <cell r="H55">
            <v>0.16678531229999999</v>
          </cell>
          <cell r="I55">
            <v>0.16952136540000001</v>
          </cell>
          <cell r="J55">
            <v>0.1720363057</v>
          </cell>
          <cell r="K55">
            <v>0.1743106975</v>
          </cell>
          <cell r="L55">
            <v>0.1763646415</v>
          </cell>
          <cell r="M55">
            <v>0.17815945180000001</v>
          </cell>
          <cell r="N55">
            <v>0.17969272729999999</v>
          </cell>
          <cell r="O55">
            <v>0.18096453370000001</v>
          </cell>
          <cell r="P55">
            <v>0.18197724009999999</v>
          </cell>
          <cell r="Q55">
            <v>0.18273509239999999</v>
          </cell>
          <cell r="R55">
            <v>0.1832437365</v>
          </cell>
          <cell r="S55">
            <v>0.1835098074</v>
          </cell>
          <cell r="T55">
            <v>0.18354061320000001</v>
          </cell>
          <cell r="U55">
            <v>0.18334391229999999</v>
          </cell>
          <cell r="V55">
            <v>0.1829104778</v>
          </cell>
          <cell r="W55">
            <v>0.18226772660000001</v>
          </cell>
          <cell r="X55">
            <v>0.18142446749999999</v>
          </cell>
          <cell r="Y55">
            <v>0.18038960849999999</v>
          </cell>
          <cell r="Z55">
            <v>0.17917187509999999</v>
          </cell>
          <cell r="AA55">
            <v>0.17773804900000001</v>
          </cell>
          <cell r="AB55">
            <v>0.1761240365</v>
          </cell>
          <cell r="AC55">
            <v>0.17434182770000001</v>
          </cell>
          <cell r="AD55">
            <v>0.17240367579999999</v>
          </cell>
          <cell r="AE55">
            <v>0.17032148220000001</v>
          </cell>
          <cell r="AF55">
            <v>0.16810649720000001</v>
          </cell>
          <cell r="AG55">
            <v>0.1657692345</v>
          </cell>
          <cell r="AH55">
            <v>0.1633194989</v>
          </cell>
          <cell r="AI55">
            <v>0.1607664654</v>
          </cell>
          <cell r="AJ55">
            <v>0.15811877460000001</v>
          </cell>
          <cell r="AK55">
            <v>0.15538462119999999</v>
          </cell>
          <cell r="AL55">
            <v>0.1525655309</v>
          </cell>
          <cell r="AM55">
            <v>0.14967008439999999</v>
          </cell>
          <cell r="AN55">
            <v>0.14670669180000001</v>
          </cell>
          <cell r="AO55">
            <v>0.14368357130000001</v>
          </cell>
          <cell r="AP55">
            <v>0.14060865989999999</v>
          </cell>
          <cell r="AQ55">
            <v>0.13748988179999999</v>
          </cell>
          <cell r="AR55">
            <v>0.1343352243</v>
          </cell>
          <cell r="AS55">
            <v>0.13115154079999999</v>
          </cell>
          <cell r="AT55">
            <v>0.12794500489999999</v>
          </cell>
          <cell r="AU55">
            <v>0.1247214195</v>
          </cell>
          <cell r="AV55">
            <v>0.12148669500000001</v>
          </cell>
          <cell r="AW55">
            <v>0.11824615419999999</v>
          </cell>
          <cell r="AX55">
            <v>0.1150049227</v>
          </cell>
          <cell r="AY55">
            <v>0.11176791680000001</v>
          </cell>
          <cell r="AZ55">
            <v>0.1085398389</v>
          </cell>
          <cell r="BA55">
            <v>0.1053358968</v>
          </cell>
          <cell r="BB55">
            <v>0.1021107666</v>
          </cell>
          <cell r="BC55">
            <v>9.8906918499999996E-2</v>
          </cell>
          <cell r="BD55">
            <v>9.5728802700000004E-2</v>
          </cell>
          <cell r="BE55">
            <v>9.2580637699999996E-2</v>
          </cell>
        </row>
        <row r="56">
          <cell r="A56" t="str">
            <v>auto_cf_cgas_2</v>
          </cell>
          <cell r="B56">
            <v>7.4609436000000001E-2</v>
          </cell>
          <cell r="C56">
            <v>7.53277163E-2</v>
          </cell>
          <cell r="D56">
            <v>7.6245621400000005E-2</v>
          </cell>
          <cell r="E56">
            <v>7.7168699300000004E-2</v>
          </cell>
          <cell r="F56">
            <v>7.7981600100000006E-2</v>
          </cell>
          <cell r="G56">
            <v>7.8620199000000002E-2</v>
          </cell>
          <cell r="H56">
            <v>7.90444857E-2</v>
          </cell>
          <cell r="I56">
            <v>7.9242570499999998E-2</v>
          </cell>
          <cell r="J56">
            <v>7.9214153900000001E-2</v>
          </cell>
          <cell r="K56">
            <v>7.8965764800000005E-2</v>
          </cell>
          <cell r="L56">
            <v>7.8518386699999998E-2</v>
          </cell>
          <cell r="M56">
            <v>7.7872531100000003E-2</v>
          </cell>
          <cell r="N56">
            <v>7.7041914000000003E-2</v>
          </cell>
          <cell r="O56">
            <v>7.6040966400000007E-2</v>
          </cell>
          <cell r="P56">
            <v>7.4884544100000006E-2</v>
          </cell>
          <cell r="Q56">
            <v>7.3587636100000006E-2</v>
          </cell>
          <cell r="R56">
            <v>7.2165112599999998E-2</v>
          </cell>
          <cell r="S56">
            <v>7.0631534600000004E-2</v>
          </cell>
          <cell r="T56">
            <v>6.9001011299999998E-2</v>
          </cell>
          <cell r="U56">
            <v>6.7287096699999993E-2</v>
          </cell>
          <cell r="V56">
            <v>6.5499014499999994E-2</v>
          </cell>
          <cell r="W56">
            <v>6.3653474500000001E-2</v>
          </cell>
          <cell r="X56">
            <v>6.1762087399999999E-2</v>
          </cell>
          <cell r="Y56">
            <v>5.9835709000000001E-2</v>
          </cell>
          <cell r="Z56">
            <v>5.7884419100000001E-2</v>
          </cell>
          <cell r="AA56">
            <v>5.5910680499999997E-2</v>
          </cell>
          <cell r="AB56">
            <v>5.3928465100000003E-2</v>
          </cell>
          <cell r="AC56">
            <v>5.1946611900000002E-2</v>
          </cell>
          <cell r="AD56">
            <v>4.9973148299999999E-2</v>
          </cell>
          <cell r="AE56">
            <v>4.8015252699999997E-2</v>
          </cell>
          <cell r="AF56">
            <v>4.6079276000000002E-2</v>
          </cell>
          <cell r="AG56">
            <v>4.4170792100000002E-2</v>
          </cell>
          <cell r="AH56">
            <v>4.22946586E-2</v>
          </cell>
          <cell r="AI56">
            <v>4.0455079099999999E-2</v>
          </cell>
          <cell r="AJ56">
            <v>3.8655663E-2</v>
          </cell>
          <cell r="AK56">
            <v>3.6899480300000002E-2</v>
          </cell>
          <cell r="AL56">
            <v>3.51885823E-2</v>
          </cell>
          <cell r="AM56">
            <v>3.3525285000000002E-2</v>
          </cell>
          <cell r="AN56">
            <v>3.1911477200000003E-2</v>
          </cell>
          <cell r="AO56">
            <v>3.0348646E-2</v>
          </cell>
          <cell r="AP56">
            <v>2.88379003E-2</v>
          </cell>
          <cell r="AQ56">
            <v>2.7379998499999999E-2</v>
          </cell>
          <cell r="AR56">
            <v>2.59753782E-2</v>
          </cell>
          <cell r="AS56">
            <v>2.4624187400000001E-2</v>
          </cell>
          <cell r="AT56">
            <v>2.3326315300000001E-2</v>
          </cell>
          <cell r="AU56">
            <v>2.2081421100000002E-2</v>
          </cell>
          <cell r="AV56">
            <v>2.08890121E-2</v>
          </cell>
          <cell r="AW56">
            <v>1.9748445600000001E-2</v>
          </cell>
          <cell r="AX56">
            <v>1.8658864800000001E-2</v>
          </cell>
          <cell r="AY56">
            <v>1.76192373E-2</v>
          </cell>
          <cell r="AZ56">
            <v>1.6628395599999998E-2</v>
          </cell>
          <cell r="BA56">
            <v>1.5214498E-2</v>
          </cell>
          <cell r="BB56">
            <v>1.4334256199999999E-2</v>
          </cell>
          <cell r="BC56">
            <v>1.34989068E-2</v>
          </cell>
          <cell r="BD56">
            <v>1.27069182E-2</v>
          </cell>
          <cell r="BE56">
            <v>1.1956719899999999E-2</v>
          </cell>
        </row>
        <row r="57">
          <cell r="A57" t="str">
            <v>auto_cf_cgas_0</v>
          </cell>
          <cell r="B57">
            <v>7.4609436000000001E-2</v>
          </cell>
          <cell r="C57">
            <v>7.5328608399999997E-2</v>
          </cell>
          <cell r="D57">
            <v>7.6247260799999994E-2</v>
          </cell>
          <cell r="E57">
            <v>7.7170956499999999E-2</v>
          </cell>
          <cell r="F57">
            <v>7.7984561399999999E-2</v>
          </cell>
          <cell r="G57">
            <v>7.8624179799999999E-2</v>
          </cell>
          <cell r="H57">
            <v>7.9049933000000003E-2</v>
          </cell>
          <cell r="I57">
            <v>7.9249967300000002E-2</v>
          </cell>
          <cell r="J57">
            <v>7.9223956900000003E-2</v>
          </cell>
          <cell r="K57">
            <v>7.8978377899999994E-2</v>
          </cell>
          <cell r="L57">
            <v>7.8534171700000002E-2</v>
          </cell>
          <cell r="M57">
            <v>7.7891788300000001E-2</v>
          </cell>
          <cell r="N57">
            <v>7.7064896399999999E-2</v>
          </cell>
          <cell r="O57">
            <v>7.6067885700000004E-2</v>
          </cell>
          <cell r="P57">
            <v>7.4915573499999999E-2</v>
          </cell>
          <cell r="Q57">
            <v>7.3622907599999995E-2</v>
          </cell>
          <cell r="R57">
            <v>7.22047153E-2</v>
          </cell>
          <cell r="S57">
            <v>7.0675510499999997E-2</v>
          </cell>
          <cell r="T57">
            <v>6.9049353199999997E-2</v>
          </cell>
          <cell r="U57">
            <v>6.7339750899999995E-2</v>
          </cell>
          <cell r="V57">
            <v>6.5555869500000002E-2</v>
          </cell>
          <cell r="W57">
            <v>6.37143929E-2</v>
          </cell>
          <cell r="X57">
            <v>6.1826898700000001E-2</v>
          </cell>
          <cell r="Y57">
            <v>5.9904211200000002E-2</v>
          </cell>
          <cell r="Z57">
            <v>5.7956382799999998E-2</v>
          </cell>
          <cell r="AA57">
            <v>5.5985815500000001E-2</v>
          </cell>
          <cell r="AB57">
            <v>5.4006484200000003E-2</v>
          </cell>
          <cell r="AC57">
            <v>5.2027221999999998E-2</v>
          </cell>
          <cell r="AD57">
            <v>5.0056050800000002E-2</v>
          </cell>
          <cell r="AE57">
            <v>4.8100145300000001E-2</v>
          </cell>
          <cell r="AF57">
            <v>4.6165854800000003E-2</v>
          </cell>
          <cell r="AG57">
            <v>4.4258753599999999E-2</v>
          </cell>
          <cell r="AH57">
            <v>4.2383701900000001E-2</v>
          </cell>
          <cell r="AI57">
            <v>4.05449077E-2</v>
          </cell>
          <cell r="AJ57">
            <v>3.8745987099999997E-2</v>
          </cell>
          <cell r="AK57">
            <v>3.6990017899999998E-2</v>
          </cell>
          <cell r="AL57">
            <v>3.52790537E-2</v>
          </cell>
          <cell r="AM57">
            <v>3.3615421800000003E-2</v>
          </cell>
          <cell r="AN57">
            <v>3.20010243E-2</v>
          </cell>
          <cell r="AO57">
            <v>3.0437362400000001E-2</v>
          </cell>
          <cell r="AP57">
            <v>2.89255598E-2</v>
          </cell>
          <cell r="AQ57">
            <v>2.7466438400000001E-2</v>
          </cell>
          <cell r="AR57">
            <v>2.6060562499999999E-2</v>
          </cell>
          <cell r="AS57">
            <v>2.4708134600000001E-2</v>
          </cell>
          <cell r="AT57">
            <v>2.3409047400000001E-2</v>
          </cell>
          <cell r="AU57">
            <v>2.2162939E-2</v>
          </cell>
          <cell r="AV57">
            <v>2.0969251599999999E-2</v>
          </cell>
          <cell r="AW57">
            <v>1.9827232199999999E-2</v>
          </cell>
          <cell r="AX57">
            <v>1.87359782E-2</v>
          </cell>
          <cell r="AY57">
            <v>1.7694457800000001E-2</v>
          </cell>
          <cell r="AZ57">
            <v>1.67015288E-2</v>
          </cell>
          <cell r="BA57">
            <v>1.52630786E-2</v>
          </cell>
          <cell r="BB57">
            <v>1.43817345E-2</v>
          </cell>
          <cell r="BC57">
            <v>1.35451741E-2</v>
          </cell>
          <cell r="BD57">
            <v>1.2751882000000001E-2</v>
          </cell>
          <cell r="BE57">
            <v>1.20003032E-2</v>
          </cell>
        </row>
        <row r="58">
          <cell r="A58" t="str">
            <v>auto_cg_cgas_2</v>
          </cell>
          <cell r="B58">
            <v>0.13435819299999999</v>
          </cell>
          <cell r="C58">
            <v>0.13591693420000001</v>
          </cell>
          <cell r="D58">
            <v>0.1376042227</v>
          </cell>
          <cell r="E58">
            <v>0.13903311300000001</v>
          </cell>
          <cell r="F58">
            <v>0.13999743079999999</v>
          </cell>
          <cell r="G58">
            <v>0.14040407960000001</v>
          </cell>
          <cell r="H58">
            <v>0.14021511</v>
          </cell>
          <cell r="I58">
            <v>0.1394463266</v>
          </cell>
          <cell r="J58">
            <v>0.13813467739999999</v>
          </cell>
          <cell r="K58">
            <v>0.13632777639999999</v>
          </cell>
          <cell r="L58">
            <v>0.13409228849999999</v>
          </cell>
          <cell r="M58">
            <v>0.13146372049999999</v>
          </cell>
          <cell r="N58">
            <v>0.1284943332</v>
          </cell>
          <cell r="O58">
            <v>0.1252346536</v>
          </cell>
          <cell r="P58">
            <v>0.1217328429</v>
          </cell>
          <cell r="Q58">
            <v>0.1180342239</v>
          </cell>
          <cell r="R58">
            <v>0.1141809677</v>
          </cell>
          <cell r="S58">
            <v>0.1102119271</v>
          </cell>
          <cell r="T58">
            <v>0.1061625725</v>
          </cell>
          <cell r="U58">
            <v>0.10206500440000001</v>
          </cell>
          <cell r="V58">
            <v>9.7944624199999997E-2</v>
          </cell>
          <cell r="W58">
            <v>9.3831392499999999E-2</v>
          </cell>
          <cell r="X58">
            <v>8.9747881000000002E-2</v>
          </cell>
          <cell r="Y58">
            <v>8.5713730500000002E-2</v>
          </cell>
          <cell r="Z58">
            <v>8.1745847999999996E-2</v>
          </cell>
          <cell r="AA58">
            <v>7.7853635099999999E-2</v>
          </cell>
          <cell r="AB58">
            <v>7.4053566000000001E-2</v>
          </cell>
          <cell r="AC58">
            <v>7.0356400099999994E-2</v>
          </cell>
          <cell r="AD58">
            <v>6.6770739499999995E-2</v>
          </cell>
          <cell r="AE58">
            <v>6.3303216199999998E-2</v>
          </cell>
          <cell r="AF58">
            <v>5.9958707899999998E-2</v>
          </cell>
          <cell r="AG58">
            <v>5.6740552E-2</v>
          </cell>
          <cell r="AH58">
            <v>5.3650746899999997E-2</v>
          </cell>
          <cell r="AI58">
            <v>5.0690136300000001E-2</v>
          </cell>
          <cell r="AJ58">
            <v>4.7858574799999998E-2</v>
          </cell>
          <cell r="AK58">
            <v>4.5155076500000002E-2</v>
          </cell>
          <cell r="AL58">
            <v>4.2577732799999997E-2</v>
          </cell>
          <cell r="AM58">
            <v>4.01243576E-2</v>
          </cell>
          <cell r="AN58">
            <v>3.77922511E-2</v>
          </cell>
          <cell r="AO58">
            <v>3.5578287200000003E-2</v>
          </cell>
          <cell r="AP58">
            <v>3.34789952E-2</v>
          </cell>
          <cell r="AQ58">
            <v>3.1490633400000002E-2</v>
          </cell>
          <cell r="AR58">
            <v>2.9609257399999998E-2</v>
          </cell>
          <cell r="AS58">
            <v>2.78307798E-2</v>
          </cell>
          <cell r="AT58">
            <v>2.6151022400000001E-2</v>
          </cell>
          <cell r="AU58">
            <v>2.4565762000000001E-2</v>
          </cell>
          <cell r="AV58">
            <v>2.30707829E-2</v>
          </cell>
          <cell r="AW58">
            <v>2.1661902699999999E-2</v>
          </cell>
          <cell r="AX58">
            <v>2.0334975000000002E-2</v>
          </cell>
          <cell r="AY58">
            <v>1.9085918E-2</v>
          </cell>
          <cell r="AZ58">
            <v>1.79107409E-2</v>
          </cell>
          <cell r="BA58">
            <v>1.63579495E-2</v>
          </cell>
          <cell r="BB58">
            <v>1.5344181700000001E-2</v>
          </cell>
          <cell r="BC58">
            <v>1.4391943900000001E-2</v>
          </cell>
          <cell r="BD58">
            <v>1.3497753600000001E-2</v>
          </cell>
          <cell r="BE58">
            <v>1.2658279600000001E-2</v>
          </cell>
        </row>
        <row r="59">
          <cell r="A59" t="str">
            <v>auto_cg_cgas_0</v>
          </cell>
          <cell r="B59">
            <v>0.13435819299999999</v>
          </cell>
          <cell r="C59">
            <v>0.13591942570000001</v>
          </cell>
          <cell r="D59">
            <v>0.13760958470000001</v>
          </cell>
          <cell r="E59">
            <v>0.13904145579999999</v>
          </cell>
          <cell r="F59">
            <v>0.1400091041</v>
          </cell>
          <cell r="G59">
            <v>0.14041981949999999</v>
          </cell>
          <cell r="H59">
            <v>0.14023589380000001</v>
          </cell>
          <cell r="I59">
            <v>0.13947317980000001</v>
          </cell>
          <cell r="J59">
            <v>0.13816851860000001</v>
          </cell>
          <cell r="K59">
            <v>0.13636933200000001</v>
          </cell>
          <cell r="L59">
            <v>0.13414209730000001</v>
          </cell>
          <cell r="M59">
            <v>0.13152207569999999</v>
          </cell>
          <cell r="N59">
            <v>0.12856132479999999</v>
          </cell>
          <cell r="O59">
            <v>0.1253101965</v>
          </cell>
          <cell r="P59">
            <v>0.1218167034</v>
          </cell>
          <cell r="Q59">
            <v>0.11812604</v>
          </cell>
          <cell r="R59">
            <v>0.1142802691</v>
          </cell>
          <cell r="S59">
            <v>0.11031815170000001</v>
          </cell>
          <cell r="T59">
            <v>0.10627508350000001</v>
          </cell>
          <cell r="U59">
            <v>0.1021831113</v>
          </cell>
          <cell r="V59">
            <v>9.8067580200000004E-2</v>
          </cell>
          <cell r="W59">
            <v>9.3958455400000002E-2</v>
          </cell>
          <cell r="X59">
            <v>8.9878306800000002E-2</v>
          </cell>
          <cell r="Y59">
            <v>8.5846782600000004E-2</v>
          </cell>
          <cell r="Z59">
            <v>8.18808065E-2</v>
          </cell>
          <cell r="AA59">
            <v>7.7989760800000002E-2</v>
          </cell>
          <cell r="AB59">
            <v>7.4190183199999996E-2</v>
          </cell>
          <cell r="AC59">
            <v>7.0492881100000002E-2</v>
          </cell>
          <cell r="AD59">
            <v>6.6906504800000002E-2</v>
          </cell>
          <cell r="AE59">
            <v>6.3437734699999998E-2</v>
          </cell>
          <cell r="AF59">
            <v>6.0091496899999999E-2</v>
          </cell>
          <cell r="AG59">
            <v>5.6871177199999998E-2</v>
          </cell>
          <cell r="AH59">
            <v>5.3778821900000003E-2</v>
          </cell>
          <cell r="AI59">
            <v>5.0815321599999998E-2</v>
          </cell>
          <cell r="AJ59">
            <v>4.7980577099999998E-2</v>
          </cell>
          <cell r="AK59">
            <v>4.52736465E-2</v>
          </cell>
          <cell r="AL59">
            <v>4.2692659700000003E-2</v>
          </cell>
          <cell r="AM59">
            <v>4.0235471799999999E-2</v>
          </cell>
          <cell r="AN59">
            <v>3.78994224E-2</v>
          </cell>
          <cell r="AO59">
            <v>3.5681421999999997E-2</v>
          </cell>
          <cell r="AP59">
            <v>3.3578033200000003E-2</v>
          </cell>
          <cell r="AQ59">
            <v>3.15855658E-2</v>
          </cell>
          <cell r="AR59">
            <v>2.9700146100000002E-2</v>
          </cell>
          <cell r="AS59">
            <v>2.7917722499999999E-2</v>
          </cell>
          <cell r="AT59">
            <v>2.6234127100000001E-2</v>
          </cell>
          <cell r="AU59">
            <v>2.4645134499999999E-2</v>
          </cell>
          <cell r="AV59">
            <v>2.31465117E-2</v>
          </cell>
          <cell r="AW59">
            <v>2.1734048700000001E-2</v>
          </cell>
          <cell r="AX59">
            <v>2.0403591799999999E-2</v>
          </cell>
          <cell r="AY59">
            <v>1.9151066599999999E-2</v>
          </cell>
          <cell r="AZ59">
            <v>1.7972496099999999E-2</v>
          </cell>
          <cell r="BA59">
            <v>1.6384401199999999E-2</v>
          </cell>
          <cell r="BB59">
            <v>1.53693497E-2</v>
          </cell>
          <cell r="BC59">
            <v>1.44158467E-2</v>
          </cell>
          <cell r="BD59">
            <v>1.35204174E-2</v>
          </cell>
          <cell r="BE59">
            <v>1.26797366E-2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139.61109250000001</v>
          </cell>
          <cell r="C100">
            <v>140.77736390000001</v>
          </cell>
          <cell r="D100">
            <v>141.8533267</v>
          </cell>
          <cell r="E100">
            <v>142.9930067</v>
          </cell>
          <cell r="F100">
            <v>144.25361169999999</v>
          </cell>
          <cell r="G100">
            <v>145.6395339</v>
          </cell>
          <cell r="H100">
            <v>147.0533978</v>
          </cell>
          <cell r="I100">
            <v>148.5303845</v>
          </cell>
          <cell r="J100">
            <v>150.06275099999999</v>
          </cell>
          <cell r="K100">
            <v>151.64136869999999</v>
          </cell>
          <cell r="L100">
            <v>153.40057100000001</v>
          </cell>
          <cell r="M100">
            <v>155.09563019999999</v>
          </cell>
          <cell r="N100">
            <v>156.8037563</v>
          </cell>
          <cell r="O100">
            <v>158.5326215</v>
          </cell>
          <cell r="P100">
            <v>160.28383199999999</v>
          </cell>
          <cell r="Q100">
            <v>162.0576513</v>
          </cell>
          <cell r="R100">
            <v>163.85441660000001</v>
          </cell>
          <cell r="S100">
            <v>165.6741859</v>
          </cell>
          <cell r="T100">
            <v>167.51729599999999</v>
          </cell>
          <cell r="U100">
            <v>169.38429410000001</v>
          </cell>
          <cell r="V100">
            <v>171.1722819</v>
          </cell>
          <cell r="W100">
            <v>173.05820299999999</v>
          </cell>
          <cell r="X100">
            <v>174.98328190000001</v>
          </cell>
          <cell r="Y100">
            <v>176.94122150000001</v>
          </cell>
          <cell r="Z100">
            <v>178.93057089999999</v>
          </cell>
          <cell r="AA100">
            <v>180.6537074</v>
          </cell>
          <cell r="AB100">
            <v>182.47580629999999</v>
          </cell>
          <cell r="AC100">
            <v>184.32281699999999</v>
          </cell>
          <cell r="AD100">
            <v>186.19211300000001</v>
          </cell>
          <cell r="AE100">
            <v>188.08563720000001</v>
          </cell>
          <cell r="AF100">
            <v>190.00595949999999</v>
          </cell>
          <cell r="AG100">
            <v>191.95528329999999</v>
          </cell>
          <cell r="AH100">
            <v>193.93543109999999</v>
          </cell>
          <cell r="AI100">
            <v>195.9476971</v>
          </cell>
          <cell r="AJ100">
            <v>197.9929199</v>
          </cell>
          <cell r="AK100">
            <v>200.07157810000001</v>
          </cell>
          <cell r="AL100">
            <v>202.1121325</v>
          </cell>
          <cell r="AM100">
            <v>204.16448940000001</v>
          </cell>
          <cell r="AN100">
            <v>206.23729700000001</v>
          </cell>
          <cell r="AO100">
            <v>208.33437720000001</v>
          </cell>
          <cell r="AP100">
            <v>210.45804999999999</v>
          </cell>
          <cell r="AQ100">
            <v>212.60987420000001</v>
          </cell>
          <cell r="AR100">
            <v>214.7911934</v>
          </cell>
          <cell r="AS100">
            <v>217.0029998</v>
          </cell>
          <cell r="AT100">
            <v>219.24599670000001</v>
          </cell>
          <cell r="AU100">
            <v>221.52065350000001</v>
          </cell>
          <cell r="AV100">
            <v>223.8253598</v>
          </cell>
          <cell r="AW100">
            <v>226.15922810000001</v>
          </cell>
          <cell r="AX100">
            <v>228.5270836</v>
          </cell>
          <cell r="AY100">
            <v>230.93310049999999</v>
          </cell>
          <cell r="AZ100">
            <v>233.37994499999999</v>
          </cell>
          <cell r="BA100">
            <v>246.2616218</v>
          </cell>
          <cell r="BB100">
            <v>249.59194579999999</v>
          </cell>
          <cell r="BC100">
            <v>252.97991350000001</v>
          </cell>
          <cell r="BD100">
            <v>256.42639680000002</v>
          </cell>
          <cell r="BE100">
            <v>259.93237049999999</v>
          </cell>
        </row>
        <row r="101">
          <cell r="A101" t="str">
            <v>m_toe_2</v>
          </cell>
          <cell r="B101">
            <v>151.43594540000001</v>
          </cell>
          <cell r="C101">
            <v>152.80211510000001</v>
          </cell>
          <cell r="D101">
            <v>154.07354040000001</v>
          </cell>
          <cell r="E101">
            <v>155.4281297</v>
          </cell>
          <cell r="F101">
            <v>156.93224860000001</v>
          </cell>
          <cell r="G101">
            <v>158.5917049</v>
          </cell>
          <cell r="H101">
            <v>160.3008432</v>
          </cell>
          <cell r="I101">
            <v>162.0938112</v>
          </cell>
          <cell r="J101">
            <v>163.96289300000001</v>
          </cell>
          <cell r="K101">
            <v>165.89640349999999</v>
          </cell>
          <cell r="L101">
            <v>168.0387552</v>
          </cell>
          <cell r="M101">
            <v>170.12902070000001</v>
          </cell>
          <cell r="N101">
            <v>172.23898489999999</v>
          </cell>
          <cell r="O101">
            <v>174.3786556</v>
          </cell>
          <cell r="P101">
            <v>176.54882050000001</v>
          </cell>
          <cell r="Q101">
            <v>178.748728</v>
          </cell>
          <cell r="R101">
            <v>180.97833320000001</v>
          </cell>
          <cell r="S101">
            <v>183.2369195</v>
          </cell>
          <cell r="T101">
            <v>185.52425500000001</v>
          </cell>
          <cell r="U101">
            <v>187.8404085</v>
          </cell>
          <cell r="V101">
            <v>190.0719503</v>
          </cell>
          <cell r="W101">
            <v>192.40694020000001</v>
          </cell>
          <cell r="X101">
            <v>194.78859850000001</v>
          </cell>
          <cell r="Y101">
            <v>197.2073522</v>
          </cell>
          <cell r="Z101">
            <v>199.66116049999999</v>
          </cell>
          <cell r="AA101">
            <v>201.82212899999999</v>
          </cell>
          <cell r="AB101">
            <v>204.07531399999999</v>
          </cell>
          <cell r="AC101">
            <v>206.35495599999999</v>
          </cell>
          <cell r="AD101">
            <v>208.65465810000001</v>
          </cell>
          <cell r="AE101">
            <v>210.976283</v>
          </cell>
          <cell r="AF101">
            <v>213.32296669999999</v>
          </cell>
          <cell r="AG101">
            <v>215.69742579999999</v>
          </cell>
          <cell r="AH101">
            <v>218.1021427</v>
          </cell>
          <cell r="AI101">
            <v>220.53901590000001</v>
          </cell>
          <cell r="AJ101">
            <v>223.0094556</v>
          </cell>
          <cell r="AK101">
            <v>225.51447920000001</v>
          </cell>
          <cell r="AL101">
            <v>227.97434799999999</v>
          </cell>
          <cell r="AM101">
            <v>230.44106930000001</v>
          </cell>
          <cell r="AN101">
            <v>232.9265863</v>
          </cell>
          <cell r="AO101">
            <v>235.43579589999999</v>
          </cell>
          <cell r="AP101">
            <v>237.97176959999999</v>
          </cell>
          <cell r="AQ101">
            <v>240.53656140000001</v>
          </cell>
          <cell r="AR101">
            <v>243.1322275</v>
          </cell>
          <cell r="AS101">
            <v>245.76036830000001</v>
          </cell>
          <cell r="AT101">
            <v>248.4222244</v>
          </cell>
          <cell r="AU101">
            <v>251.11874040000001</v>
          </cell>
          <cell r="AV101">
            <v>253.84338070000001</v>
          </cell>
          <cell r="AW101">
            <v>256.59621240000001</v>
          </cell>
          <cell r="AX101">
            <v>259.38326710000001</v>
          </cell>
          <cell r="AY101">
            <v>262.20989359999999</v>
          </cell>
          <cell r="AZ101">
            <v>265.07973520000002</v>
          </cell>
          <cell r="BA101">
            <v>288.74522830000001</v>
          </cell>
          <cell r="BB101">
            <v>292.93593909999998</v>
          </cell>
          <cell r="BC101">
            <v>297.19389749999999</v>
          </cell>
          <cell r="BD101">
            <v>301.52066719999999</v>
          </cell>
          <cell r="BE101">
            <v>305.91793699999999</v>
          </cell>
        </row>
        <row r="102">
          <cell r="A102" t="str">
            <v>ci_toe_2</v>
          </cell>
          <cell r="B102">
            <v>193.24920449999999</v>
          </cell>
          <cell r="C102">
            <v>195.2279427</v>
          </cell>
          <cell r="D102">
            <v>197.2013815</v>
          </cell>
          <cell r="E102">
            <v>199.31778510000001</v>
          </cell>
          <cell r="F102">
            <v>201.63197009999999</v>
          </cell>
          <cell r="G102">
            <v>204.1436707</v>
          </cell>
          <cell r="H102">
            <v>206.71350169999999</v>
          </cell>
          <cell r="I102">
            <v>209.3841822</v>
          </cell>
          <cell r="J102">
            <v>212.1504036</v>
          </cell>
          <cell r="K102">
            <v>214.99994599999999</v>
          </cell>
          <cell r="L102">
            <v>218.12691050000001</v>
          </cell>
          <cell r="M102">
            <v>221.1951679</v>
          </cell>
          <cell r="N102">
            <v>224.28789689999999</v>
          </cell>
          <cell r="O102">
            <v>227.42062809999999</v>
          </cell>
          <cell r="P102">
            <v>230.59496849999999</v>
          </cell>
          <cell r="Q102">
            <v>233.81018800000001</v>
          </cell>
          <cell r="R102">
            <v>237.0661983</v>
          </cell>
          <cell r="S102">
            <v>240.36222670000001</v>
          </cell>
          <cell r="T102">
            <v>243.69817990000001</v>
          </cell>
          <cell r="U102">
            <v>247.0743559</v>
          </cell>
          <cell r="V102">
            <v>250.3393969</v>
          </cell>
          <cell r="W102">
            <v>253.737773</v>
          </cell>
          <cell r="X102">
            <v>257.2037785</v>
          </cell>
          <cell r="Y102">
            <v>260.72366019999998</v>
          </cell>
          <cell r="Z102">
            <v>264.29486379999997</v>
          </cell>
          <cell r="AA102">
            <v>267.47856239999999</v>
          </cell>
          <cell r="AB102">
            <v>270.77030710000003</v>
          </cell>
          <cell r="AC102">
            <v>274.10140730000001</v>
          </cell>
          <cell r="AD102">
            <v>277.46348760000001</v>
          </cell>
          <cell r="AE102">
            <v>280.86045639999998</v>
          </cell>
          <cell r="AF102">
            <v>284.29786799999999</v>
          </cell>
          <cell r="AG102">
            <v>287.78047420000001</v>
          </cell>
          <cell r="AH102">
            <v>291.31229509999997</v>
          </cell>
          <cell r="AI102">
            <v>294.89623449999999</v>
          </cell>
          <cell r="AJ102">
            <v>298.53427920000001</v>
          </cell>
          <cell r="AK102">
            <v>302.22768960000002</v>
          </cell>
          <cell r="AL102">
            <v>305.86952919999999</v>
          </cell>
          <cell r="AM102">
            <v>309.52429769999998</v>
          </cell>
          <cell r="AN102">
            <v>313.20939820000001</v>
          </cell>
          <cell r="AO102">
            <v>316.9318111</v>
          </cell>
          <cell r="AP102">
            <v>320.69592060000002</v>
          </cell>
          <cell r="AQ102">
            <v>324.50481689999998</v>
          </cell>
          <cell r="AR102">
            <v>328.3614068</v>
          </cell>
          <cell r="AS102">
            <v>332.26786299999998</v>
          </cell>
          <cell r="AT102">
            <v>336.22578759999999</v>
          </cell>
          <cell r="AU102">
            <v>340.23631820000003</v>
          </cell>
          <cell r="AV102">
            <v>344.28855800000002</v>
          </cell>
          <cell r="AW102">
            <v>348.38472949999999</v>
          </cell>
          <cell r="AX102">
            <v>352.53545880000001</v>
          </cell>
          <cell r="AY102">
            <v>356.7500521</v>
          </cell>
          <cell r="AZ102">
            <v>361.03464250000002</v>
          </cell>
          <cell r="BA102">
            <v>394.43394949999998</v>
          </cell>
          <cell r="BB102">
            <v>400.53157679999998</v>
          </cell>
          <cell r="BC102">
            <v>406.72715749999998</v>
          </cell>
          <cell r="BD102">
            <v>413.02284150000003</v>
          </cell>
          <cell r="BE102">
            <v>419.4208261</v>
          </cell>
        </row>
        <row r="103">
          <cell r="A103" t="str">
            <v>ch_toe_2</v>
          </cell>
          <cell r="B103">
            <v>64.301440170000006</v>
          </cell>
          <cell r="C103">
            <v>64.336084330000006</v>
          </cell>
          <cell r="D103">
            <v>64.145511519999999</v>
          </cell>
          <cell r="E103">
            <v>63.947403770000001</v>
          </cell>
          <cell r="F103">
            <v>63.811244479999999</v>
          </cell>
          <cell r="G103">
            <v>63.748327570000001</v>
          </cell>
          <cell r="H103">
            <v>63.730823309999998</v>
          </cell>
          <cell r="I103">
            <v>63.751596200000002</v>
          </cell>
          <cell r="J103">
            <v>63.800604679999999</v>
          </cell>
          <cell r="K103">
            <v>63.869186849999998</v>
          </cell>
          <cell r="L103">
            <v>63.980496590000001</v>
          </cell>
          <cell r="M103">
            <v>64.086701390000002</v>
          </cell>
          <cell r="N103">
            <v>64.192856680000006</v>
          </cell>
          <cell r="O103">
            <v>64.300830340000005</v>
          </cell>
          <cell r="P103">
            <v>64.411139489999996</v>
          </cell>
          <cell r="Q103">
            <v>64.523767789999994</v>
          </cell>
          <cell r="R103">
            <v>64.638843039999998</v>
          </cell>
          <cell r="S103">
            <v>64.756226359999999</v>
          </cell>
          <cell r="T103">
            <v>64.875857710000005</v>
          </cell>
          <cell r="U103">
            <v>64.997793650000006</v>
          </cell>
          <cell r="V103">
            <v>65.102521830000001</v>
          </cell>
          <cell r="W103">
            <v>65.219381369999994</v>
          </cell>
          <cell r="X103">
            <v>65.343390299999996</v>
          </cell>
          <cell r="Y103">
            <v>65.472190479999995</v>
          </cell>
          <cell r="Z103">
            <v>65.604600439999999</v>
          </cell>
          <cell r="AA103">
            <v>65.686136309999995</v>
          </cell>
          <cell r="AB103">
            <v>65.770775159999999</v>
          </cell>
          <cell r="AC103">
            <v>65.856555689999993</v>
          </cell>
          <cell r="AD103">
            <v>65.942591870000001</v>
          </cell>
          <cell r="AE103">
            <v>66.028566850000004</v>
          </cell>
          <cell r="AF103">
            <v>66.114440250000001</v>
          </cell>
          <cell r="AG103">
            <v>66.200210760000004</v>
          </cell>
          <cell r="AH103">
            <v>66.286019539999998</v>
          </cell>
          <cell r="AI103">
            <v>66.372035960000005</v>
          </cell>
          <cell r="AJ103">
            <v>66.458421909999998</v>
          </cell>
          <cell r="AK103">
            <v>66.545327529999994</v>
          </cell>
          <cell r="AL103">
            <v>66.620588280000007</v>
          </cell>
          <cell r="AM103">
            <v>66.690043610000004</v>
          </cell>
          <cell r="AN103">
            <v>66.75676043</v>
          </cell>
          <cell r="AO103">
            <v>66.822371390000001</v>
          </cell>
          <cell r="AP103">
            <v>66.887787070000002</v>
          </cell>
          <cell r="AQ103">
            <v>66.953436330000002</v>
          </cell>
          <cell r="AR103">
            <v>67.01972078</v>
          </cell>
          <cell r="AS103">
            <v>67.086970930000007</v>
          </cell>
          <cell r="AT103">
            <v>67.155441850000003</v>
          </cell>
          <cell r="AU103">
            <v>67.225323380000006</v>
          </cell>
          <cell r="AV103">
            <v>67.295934750000001</v>
          </cell>
          <cell r="AW103">
            <v>67.366615949999996</v>
          </cell>
          <cell r="AX103">
            <v>67.437275459999995</v>
          </cell>
          <cell r="AY103">
            <v>67.507963880000005</v>
          </cell>
          <cell r="AZ103">
            <v>67.578791710000004</v>
          </cell>
          <cell r="BA103">
            <v>64.419719540000003</v>
          </cell>
          <cell r="BB103">
            <v>64.521376770000003</v>
          </cell>
          <cell r="BC103">
            <v>64.626029189999997</v>
          </cell>
          <cell r="BD103">
            <v>64.733579050000003</v>
          </cell>
          <cell r="BE103">
            <v>64.844110799999996</v>
          </cell>
        </row>
        <row r="104">
          <cell r="A104" t="str">
            <v>x_toe_2</v>
          </cell>
          <cell r="B104">
            <v>33.49639329</v>
          </cell>
          <cell r="C104">
            <v>34.015451929999998</v>
          </cell>
          <cell r="D104">
            <v>34.579974180000001</v>
          </cell>
          <cell r="E104">
            <v>35.155947570000002</v>
          </cell>
          <cell r="F104">
            <v>35.742645719999999</v>
          </cell>
          <cell r="G104">
            <v>36.339240539999999</v>
          </cell>
          <cell r="H104">
            <v>36.909916029999998</v>
          </cell>
          <cell r="I104">
            <v>37.488417310000003</v>
          </cell>
          <cell r="J104">
            <v>38.07463577</v>
          </cell>
          <cell r="K104">
            <v>38.66863944</v>
          </cell>
          <cell r="L104">
            <v>39.331919050000003</v>
          </cell>
          <cell r="M104">
            <v>39.942781660000001</v>
          </cell>
          <cell r="N104">
            <v>40.561987600000002</v>
          </cell>
          <cell r="O104">
            <v>41.189818709999997</v>
          </cell>
          <cell r="P104">
            <v>41.826544439999999</v>
          </cell>
          <cell r="Q104">
            <v>42.472423599999999</v>
          </cell>
          <cell r="R104">
            <v>43.127708329999997</v>
          </cell>
          <cell r="S104">
            <v>43.792652369999999</v>
          </cell>
          <cell r="T104">
            <v>44.467513420000003</v>
          </cell>
          <cell r="U104">
            <v>45.152553089999998</v>
          </cell>
          <cell r="V104">
            <v>45.802313570000003</v>
          </cell>
          <cell r="W104">
            <v>46.507988840000003</v>
          </cell>
          <cell r="X104">
            <v>47.224711689999999</v>
          </cell>
          <cell r="Y104">
            <v>47.952723030000001</v>
          </cell>
          <cell r="Z104">
            <v>48.692267260000001</v>
          </cell>
          <cell r="AA104">
            <v>49.311137690000002</v>
          </cell>
          <cell r="AB104">
            <v>50.010038110000004</v>
          </cell>
          <cell r="AC104">
            <v>50.719809939999998</v>
          </cell>
          <cell r="AD104">
            <v>51.44069167</v>
          </cell>
          <cell r="AE104">
            <v>52.172896969999996</v>
          </cell>
          <cell r="AF104">
            <v>52.916618040000003</v>
          </cell>
          <cell r="AG104">
            <v>53.672024180000001</v>
          </cell>
          <cell r="AH104">
            <v>54.439259139999997</v>
          </cell>
          <cell r="AI104">
            <v>55.218442609999997</v>
          </cell>
          <cell r="AJ104">
            <v>56.009674390000001</v>
          </cell>
          <cell r="AK104">
            <v>56.813040190000002</v>
          </cell>
          <cell r="AL104">
            <v>57.59636304</v>
          </cell>
          <cell r="AM104">
            <v>58.391217349999998</v>
          </cell>
          <cell r="AN104">
            <v>59.19772468</v>
          </cell>
          <cell r="AO104">
            <v>60.015990690000002</v>
          </cell>
          <cell r="AP104">
            <v>60.846111909999998</v>
          </cell>
          <cell r="AQ104">
            <v>61.68818237</v>
          </cell>
          <cell r="AR104">
            <v>62.542293430000001</v>
          </cell>
          <cell r="AS104">
            <v>63.40853414</v>
          </cell>
          <cell r="AT104">
            <v>64.286991630000003</v>
          </cell>
          <cell r="AU104">
            <v>65.177752260000005</v>
          </cell>
          <cell r="AV104">
            <v>66.084247730000001</v>
          </cell>
          <cell r="AW104">
            <v>67.004095019999994</v>
          </cell>
          <cell r="AX104">
            <v>67.937616399999996</v>
          </cell>
          <cell r="AY104">
            <v>68.884978149999995</v>
          </cell>
          <cell r="AZ104">
            <v>69.846246100000002</v>
          </cell>
          <cell r="BA104">
            <v>76.153181029999999</v>
          </cell>
          <cell r="BB104">
            <v>77.474931299999994</v>
          </cell>
          <cell r="BC104">
            <v>78.820624289999998</v>
          </cell>
          <cell r="BD104">
            <v>80.190643519999995</v>
          </cell>
          <cell r="BE104">
            <v>81.585370549999993</v>
          </cell>
        </row>
        <row r="105">
          <cell r="A105" t="str">
            <v>y_toe_0</v>
          </cell>
          <cell r="B105">
            <v>139.60946379999999</v>
          </cell>
          <cell r="C105">
            <v>140.73047399999999</v>
          </cell>
          <cell r="D105">
            <v>141.77385989999999</v>
          </cell>
          <cell r="E105">
            <v>142.88394790000001</v>
          </cell>
          <cell r="F105">
            <v>144.10895930000001</v>
          </cell>
          <cell r="G105">
            <v>145.444883</v>
          </cell>
          <cell r="H105">
            <v>146.8033193</v>
          </cell>
          <cell r="I105">
            <v>148.22522749999999</v>
          </cell>
          <cell r="J105">
            <v>149.70516860000001</v>
          </cell>
          <cell r="K105">
            <v>151.2344779</v>
          </cell>
          <cell r="L105">
            <v>152.9470839</v>
          </cell>
          <cell r="M105">
            <v>154.59721429999999</v>
          </cell>
          <cell r="N105">
            <v>156.26138689999999</v>
          </cell>
          <cell r="O105">
            <v>157.94662360000001</v>
          </cell>
          <cell r="P105">
            <v>159.65427800000001</v>
          </cell>
          <cell r="Q105">
            <v>161.3850142</v>
          </cell>
          <cell r="R105">
            <v>163.13938690000001</v>
          </cell>
          <cell r="S105">
            <v>164.91788099999999</v>
          </cell>
          <cell r="T105">
            <v>166.7209235</v>
          </cell>
          <cell r="U105">
            <v>168.5489164</v>
          </cell>
          <cell r="V105">
            <v>170.2986535</v>
          </cell>
          <cell r="W105">
            <v>172.1468443</v>
          </cell>
          <cell r="X105">
            <v>174.0344091</v>
          </cell>
          <cell r="Y105">
            <v>175.95490029999999</v>
          </cell>
          <cell r="Z105">
            <v>177.90683329999999</v>
          </cell>
          <cell r="AA105">
            <v>179.5924746</v>
          </cell>
          <cell r="AB105">
            <v>181.37742890000001</v>
          </cell>
          <cell r="AC105">
            <v>183.18757930000001</v>
          </cell>
          <cell r="AD105">
            <v>185.02040690000001</v>
          </cell>
          <cell r="AE105">
            <v>186.8780295</v>
          </cell>
          <cell r="AF105">
            <v>188.76322060000001</v>
          </cell>
          <cell r="AG105">
            <v>190.67846059999999</v>
          </cell>
          <cell r="AH105">
            <v>192.6257124</v>
          </cell>
          <cell r="AI105">
            <v>194.60640900000001</v>
          </cell>
          <cell r="AJ105">
            <v>196.62151969999999</v>
          </cell>
          <cell r="AK105">
            <v>198.67164579999999</v>
          </cell>
          <cell r="AL105">
            <v>200.68598080000001</v>
          </cell>
          <cell r="AM105">
            <v>202.71416830000001</v>
          </cell>
          <cell r="AN105">
            <v>204.7683959</v>
          </cell>
          <cell r="AO105">
            <v>206.85537969999999</v>
          </cell>
          <cell r="AP105">
            <v>208.97810229999999</v>
          </cell>
          <cell r="AQ105">
            <v>211.12991550000001</v>
          </cell>
          <cell r="AR105">
            <v>213.3068044</v>
          </cell>
          <cell r="AS105">
            <v>215.5079211</v>
          </cell>
          <cell r="AT105">
            <v>217.7359189</v>
          </cell>
          <cell r="AU105">
            <v>219.9952255</v>
          </cell>
          <cell r="AV105">
            <v>222.29649839999999</v>
          </cell>
          <cell r="AW105">
            <v>224.63838139999999</v>
          </cell>
          <cell r="AX105">
            <v>227.02193460000001</v>
          </cell>
          <cell r="AY105">
            <v>229.4476009</v>
          </cell>
          <cell r="AZ105">
            <v>231.91527579999999</v>
          </cell>
          <cell r="BA105">
            <v>248.76068989999999</v>
          </cell>
          <cell r="BB105">
            <v>252.16318720000001</v>
          </cell>
          <cell r="BC105">
            <v>255.6227614</v>
          </cell>
          <cell r="BD105">
            <v>259.14068689999999</v>
          </cell>
          <cell r="BE105">
            <v>262.7181764</v>
          </cell>
        </row>
        <row r="106">
          <cell r="A106" t="str">
            <v>m_toe_0</v>
          </cell>
          <cell r="B106">
            <v>151.40907390000001</v>
          </cell>
          <cell r="C106">
            <v>152.68542070000001</v>
          </cell>
          <cell r="D106">
            <v>153.89272020000001</v>
          </cell>
          <cell r="E106">
            <v>155.1980532</v>
          </cell>
          <cell r="F106">
            <v>156.65502050000001</v>
          </cell>
          <cell r="G106">
            <v>158.2586708</v>
          </cell>
          <cell r="H106">
            <v>159.91270850000001</v>
          </cell>
          <cell r="I106">
            <v>161.65442959999999</v>
          </cell>
          <cell r="J106">
            <v>163.476069</v>
          </cell>
          <cell r="K106">
            <v>165.3650681</v>
          </cell>
          <cell r="L106">
            <v>167.4647119</v>
          </cell>
          <cell r="M106">
            <v>169.51289639999999</v>
          </cell>
          <cell r="N106">
            <v>171.58095209999999</v>
          </cell>
          <cell r="O106">
            <v>173.67848040000001</v>
          </cell>
          <cell r="P106">
            <v>175.8061778</v>
          </cell>
          <cell r="Q106">
            <v>177.96369630000001</v>
          </cell>
          <cell r="R106">
            <v>180.15073079999999</v>
          </cell>
          <cell r="S106">
            <v>182.36708569999999</v>
          </cell>
          <cell r="T106">
            <v>184.61263629999999</v>
          </cell>
          <cell r="U106">
            <v>186.88731300000001</v>
          </cell>
          <cell r="V106">
            <v>189.0776176</v>
          </cell>
          <cell r="W106">
            <v>191.37097700000001</v>
          </cell>
          <cell r="X106">
            <v>193.71036050000001</v>
          </cell>
          <cell r="Y106">
            <v>196.08601830000001</v>
          </cell>
          <cell r="Z106">
            <v>198.49582789999999</v>
          </cell>
          <cell r="AA106">
            <v>200.61259050000001</v>
          </cell>
          <cell r="AB106">
            <v>202.82101080000001</v>
          </cell>
          <cell r="AC106">
            <v>205.0552351</v>
          </cell>
          <cell r="AD106">
            <v>207.30889790000001</v>
          </cell>
          <cell r="AE106">
            <v>209.5839599</v>
          </cell>
          <cell r="AF106">
            <v>211.88369059999999</v>
          </cell>
          <cell r="AG106">
            <v>214.2111428</v>
          </cell>
          <cell r="AH106">
            <v>216.5688365</v>
          </cell>
          <cell r="AI106">
            <v>218.95873570000001</v>
          </cell>
          <cell r="AJ106">
            <v>221.38231239999999</v>
          </cell>
          <cell r="AK106">
            <v>223.84063620000001</v>
          </cell>
          <cell r="AL106">
            <v>226.2560665</v>
          </cell>
          <cell r="AM106">
            <v>228.67962840000001</v>
          </cell>
          <cell r="AN106">
            <v>231.12552840000001</v>
          </cell>
          <cell r="AO106">
            <v>233.6003766</v>
          </cell>
          <cell r="AP106">
            <v>236.107146</v>
          </cell>
          <cell r="AQ106">
            <v>238.6356226</v>
          </cell>
          <cell r="AR106">
            <v>241.18402320000001</v>
          </cell>
          <cell r="AS106">
            <v>243.75379129999999</v>
          </cell>
          <cell r="AT106">
            <v>246.34918909999999</v>
          </cell>
          <cell r="AU106">
            <v>248.97578859999999</v>
          </cell>
          <cell r="AV106">
            <v>251.64578969999999</v>
          </cell>
          <cell r="AW106">
            <v>254.35846839999999</v>
          </cell>
          <cell r="AX106">
            <v>257.11525590000002</v>
          </cell>
          <cell r="AY106">
            <v>259.91706360000001</v>
          </cell>
          <cell r="AZ106">
            <v>262.76419420000002</v>
          </cell>
          <cell r="BA106">
            <v>289.18244320000002</v>
          </cell>
          <cell r="BB106">
            <v>293.36051500000002</v>
          </cell>
          <cell r="BC106">
            <v>297.60425559999999</v>
          </cell>
          <cell r="BD106">
            <v>301.9153384</v>
          </cell>
          <cell r="BE106">
            <v>306.29544920000001</v>
          </cell>
        </row>
        <row r="107">
          <cell r="A107" t="str">
            <v>ci_toe_0</v>
          </cell>
          <cell r="B107">
            <v>193.22032680000001</v>
          </cell>
          <cell r="C107">
            <v>195.1524143</v>
          </cell>
          <cell r="D107">
            <v>197.09732220000001</v>
          </cell>
          <cell r="E107">
            <v>199.19606759999999</v>
          </cell>
          <cell r="F107">
            <v>201.49413999999999</v>
          </cell>
          <cell r="G107">
            <v>203.98491899999999</v>
          </cell>
          <cell r="H107">
            <v>206.53080890000001</v>
          </cell>
          <cell r="I107">
            <v>209.1769946</v>
          </cell>
          <cell r="J107">
            <v>211.9195824</v>
          </cell>
          <cell r="K107">
            <v>214.74694830000001</v>
          </cell>
          <cell r="L107">
            <v>217.85319809999999</v>
          </cell>
          <cell r="M107">
            <v>220.9016474</v>
          </cell>
          <cell r="N107">
            <v>223.97558179999999</v>
          </cell>
          <cell r="O107">
            <v>227.0903697</v>
          </cell>
          <cell r="P107">
            <v>230.24748579999999</v>
          </cell>
          <cell r="Q107">
            <v>233.44622380000001</v>
          </cell>
          <cell r="R107">
            <v>236.68587049999999</v>
          </cell>
          <cell r="S107">
            <v>239.966016</v>
          </cell>
          <cell r="T107">
            <v>243.28653980000001</v>
          </cell>
          <cell r="U107">
            <v>246.6475657</v>
          </cell>
          <cell r="V107">
            <v>249.8976151</v>
          </cell>
          <cell r="W107">
            <v>253.2807947</v>
          </cell>
          <cell r="X107">
            <v>256.73123650000002</v>
          </cell>
          <cell r="Y107">
            <v>260.23509840000003</v>
          </cell>
          <cell r="Z107">
            <v>263.78979700000002</v>
          </cell>
          <cell r="AA107">
            <v>266.95684840000001</v>
          </cell>
          <cell r="AB107">
            <v>270.23182450000002</v>
          </cell>
          <cell r="AC107">
            <v>273.54586160000002</v>
          </cell>
          <cell r="AD107">
            <v>276.8906346</v>
          </cell>
          <cell r="AE107">
            <v>280.27016529999997</v>
          </cell>
          <cell r="AF107">
            <v>283.69013519999999</v>
          </cell>
          <cell r="AG107">
            <v>287.15560290000002</v>
          </cell>
          <cell r="AH107">
            <v>290.67056600000001</v>
          </cell>
          <cell r="AI107">
            <v>294.23797130000003</v>
          </cell>
          <cell r="AJ107">
            <v>297.85985460000001</v>
          </cell>
          <cell r="AK107">
            <v>301.53751879999999</v>
          </cell>
          <cell r="AL107">
            <v>305.16592250000002</v>
          </cell>
          <cell r="AM107">
            <v>308.80835949999999</v>
          </cell>
          <cell r="AN107">
            <v>312.4821652</v>
          </cell>
          <cell r="AO107">
            <v>316.19477979999999</v>
          </cell>
          <cell r="AP107">
            <v>319.9510788</v>
          </cell>
          <cell r="AQ107">
            <v>323.73936329999998</v>
          </cell>
          <cell r="AR107">
            <v>327.56421280000001</v>
          </cell>
          <cell r="AS107">
            <v>331.43361779999998</v>
          </cell>
          <cell r="AT107">
            <v>335.35545680000001</v>
          </cell>
          <cell r="AU107">
            <v>339.33619429999999</v>
          </cell>
          <cell r="AV107">
            <v>343.3899533</v>
          </cell>
          <cell r="AW107">
            <v>347.5137474</v>
          </cell>
          <cell r="AX107">
            <v>351.70735630000001</v>
          </cell>
          <cell r="AY107">
            <v>355.97051040000002</v>
          </cell>
          <cell r="AZ107">
            <v>360.3025892</v>
          </cell>
          <cell r="BA107">
            <v>395.34974249999999</v>
          </cell>
          <cell r="BB107">
            <v>401.4616911</v>
          </cell>
          <cell r="BC107">
            <v>407.67003840000001</v>
          </cell>
          <cell r="BD107">
            <v>413.97701210000002</v>
          </cell>
          <cell r="BE107">
            <v>420.38488769999998</v>
          </cell>
        </row>
        <row r="108">
          <cell r="A108" t="str">
            <v>ch_toe_0</v>
          </cell>
          <cell r="B108">
            <v>64.301440170000006</v>
          </cell>
          <cell r="C108">
            <v>64.246862460000003</v>
          </cell>
          <cell r="D108">
            <v>63.987110510000001</v>
          </cell>
          <cell r="E108">
            <v>63.726781899999999</v>
          </cell>
          <cell r="F108">
            <v>63.5230277</v>
          </cell>
          <cell r="G108">
            <v>63.374323330000003</v>
          </cell>
          <cell r="H108">
            <v>63.269339819999999</v>
          </cell>
          <cell r="I108">
            <v>63.207349200000003</v>
          </cell>
          <cell r="J108">
            <v>63.179119729999996</v>
          </cell>
          <cell r="K108">
            <v>63.174972789999998</v>
          </cell>
          <cell r="L108">
            <v>63.216511509999997</v>
          </cell>
          <cell r="M108">
            <v>63.254272620000002</v>
          </cell>
          <cell r="N108">
            <v>63.29205254</v>
          </cell>
          <cell r="O108">
            <v>63.330832270000002</v>
          </cell>
          <cell r="P108">
            <v>63.370926560000001</v>
          </cell>
          <cell r="Q108">
            <v>63.413108770000001</v>
          </cell>
          <cell r="R108">
            <v>63.458096990000001</v>
          </cell>
          <cell r="S108">
            <v>63.506344970000001</v>
          </cell>
          <cell r="T108">
            <v>63.558024340000003</v>
          </cell>
          <cell r="U108">
            <v>63.613086690000003</v>
          </cell>
          <cell r="V108">
            <v>63.651788850000003</v>
          </cell>
          <cell r="W108">
            <v>63.70291709</v>
          </cell>
          <cell r="X108">
            <v>63.761115480000001</v>
          </cell>
          <cell r="Y108">
            <v>63.823782600000001</v>
          </cell>
          <cell r="Z108">
            <v>63.889644160000003</v>
          </cell>
          <cell r="AA108">
            <v>63.904536980000003</v>
          </cell>
          <cell r="AB108">
            <v>63.922360390000001</v>
          </cell>
          <cell r="AC108">
            <v>63.941205359999998</v>
          </cell>
          <cell r="AD108">
            <v>63.960270770000001</v>
          </cell>
          <cell r="AE108">
            <v>63.979396029999997</v>
          </cell>
          <cell r="AF108">
            <v>63.9987475</v>
          </cell>
          <cell r="AG108">
            <v>64.018629349999998</v>
          </cell>
          <cell r="AH108">
            <v>64.039381629999994</v>
          </cell>
          <cell r="AI108">
            <v>64.061333739999995</v>
          </cell>
          <cell r="AJ108">
            <v>64.084789939999993</v>
          </cell>
          <cell r="AK108">
            <v>64.110031480000004</v>
          </cell>
          <cell r="AL108">
            <v>64.125866650000006</v>
          </cell>
          <cell r="AM108">
            <v>64.138072359999995</v>
          </cell>
          <cell r="AN108">
            <v>64.155596070000001</v>
          </cell>
          <cell r="AO108">
            <v>64.18423568</v>
          </cell>
          <cell r="AP108">
            <v>64.224990509999998</v>
          </cell>
          <cell r="AQ108">
            <v>64.272332059999997</v>
          </cell>
          <cell r="AR108">
            <v>64.315504180000005</v>
          </cell>
          <cell r="AS108">
            <v>64.346826500000006</v>
          </cell>
          <cell r="AT108">
            <v>64.365162690000005</v>
          </cell>
          <cell r="AU108">
            <v>64.373963619999998</v>
          </cell>
          <cell r="AV108">
            <v>64.378993750000006</v>
          </cell>
          <cell r="AW108">
            <v>64.384024229999994</v>
          </cell>
          <cell r="AX108">
            <v>64.391764679999994</v>
          </cell>
          <cell r="AY108">
            <v>64.40382382</v>
          </cell>
          <cell r="AZ108">
            <v>64.420986940000006</v>
          </cell>
          <cell r="BA108">
            <v>66.181774820000001</v>
          </cell>
          <cell r="BB108">
            <v>66.315964530000002</v>
          </cell>
          <cell r="BC108">
            <v>66.452371409999998</v>
          </cell>
          <cell r="BD108">
            <v>66.591310300000004</v>
          </cell>
          <cell r="BE108">
            <v>66.732995119999998</v>
          </cell>
        </row>
        <row r="109">
          <cell r="A109" t="str">
            <v>x_toe_0</v>
          </cell>
          <cell r="B109">
            <v>33.49677071</v>
          </cell>
          <cell r="C109">
            <v>34.016617979999999</v>
          </cell>
          <cell r="D109">
            <v>34.582147419999998</v>
          </cell>
          <cell r="E109">
            <v>35.159151600000001</v>
          </cell>
          <cell r="F109">
            <v>35.746812210000002</v>
          </cell>
          <cell r="G109">
            <v>36.344311429999998</v>
          </cell>
          <cell r="H109">
            <v>36.915879060000002</v>
          </cell>
          <cell r="I109">
            <v>37.495313240000002</v>
          </cell>
          <cell r="J109">
            <v>38.082535450000002</v>
          </cell>
          <cell r="K109">
            <v>38.677624940000001</v>
          </cell>
          <cell r="L109">
            <v>39.34208624</v>
          </cell>
          <cell r="M109">
            <v>39.954190670000003</v>
          </cell>
          <cell r="N109">
            <v>40.574704789999998</v>
          </cell>
          <cell r="O109">
            <v>41.20390209</v>
          </cell>
          <cell r="P109">
            <v>41.842043420000003</v>
          </cell>
          <cell r="Q109">
            <v>42.489377990000001</v>
          </cell>
          <cell r="R109">
            <v>43.146150159999998</v>
          </cell>
          <cell r="S109">
            <v>43.812605750000003</v>
          </cell>
          <cell r="T109">
            <v>44.488995629999998</v>
          </cell>
          <cell r="U109">
            <v>45.175576999999997</v>
          </cell>
          <cell r="V109">
            <v>45.826867069999999</v>
          </cell>
          <cell r="W109">
            <v>46.53410942</v>
          </cell>
          <cell r="X109">
            <v>47.252417569999999</v>
          </cell>
          <cell r="Y109">
            <v>47.982037640000001</v>
          </cell>
          <cell r="Z109">
            <v>48.723220060000003</v>
          </cell>
          <cell r="AA109">
            <v>49.343679719999997</v>
          </cell>
          <cell r="AB109">
            <v>50.04425483</v>
          </cell>
          <cell r="AC109">
            <v>50.755747329999998</v>
          </cell>
          <cell r="AD109">
            <v>51.478399449999998</v>
          </cell>
          <cell r="AE109">
            <v>52.212428150000001</v>
          </cell>
          <cell r="AF109">
            <v>52.958028480000003</v>
          </cell>
          <cell r="AG109">
            <v>53.715371189999999</v>
          </cell>
          <cell r="AH109">
            <v>54.484601300000001</v>
          </cell>
          <cell r="AI109">
            <v>55.265839710000002</v>
          </cell>
          <cell r="AJ109">
            <v>56.0591875</v>
          </cell>
          <cell r="AK109">
            <v>56.864731720000002</v>
          </cell>
          <cell r="AL109">
            <v>57.65025816</v>
          </cell>
          <cell r="AM109">
            <v>58.44736486</v>
          </cell>
          <cell r="AN109">
            <v>59.256163010000002</v>
          </cell>
          <cell r="AO109">
            <v>60.076740839999999</v>
          </cell>
          <cell r="AP109">
            <v>60.909179090000002</v>
          </cell>
          <cell r="AQ109">
            <v>61.753842730000002</v>
          </cell>
          <cell r="AR109">
            <v>62.61111064</v>
          </cell>
          <cell r="AS109">
            <v>63.48126808</v>
          </cell>
          <cell r="AT109">
            <v>64.364488530000003</v>
          </cell>
          <cell r="AU109">
            <v>65.260856230000002</v>
          </cell>
          <cell r="AV109">
            <v>66.17334099</v>
          </cell>
          <cell r="AW109">
            <v>67.099078140000003</v>
          </cell>
          <cell r="AX109">
            <v>68.038069519999993</v>
          </cell>
          <cell r="AY109">
            <v>68.990330369999995</v>
          </cell>
          <cell r="AZ109">
            <v>69.955893799999998</v>
          </cell>
          <cell r="BA109">
            <v>76.411615780000005</v>
          </cell>
          <cell r="BB109">
            <v>77.746046530000001</v>
          </cell>
          <cell r="BC109">
            <v>79.104607090000002</v>
          </cell>
          <cell r="BD109">
            <v>80.487702900000002</v>
          </cell>
          <cell r="BE109">
            <v>81.895742740000003</v>
          </cell>
        </row>
      </sheetData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BF529"/>
  <sheetViews>
    <sheetView zoomScale="77" workbookViewId="0">
      <pane xSplit="2" ySplit="4" topLeftCell="C5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10" defaultRowHeight="14.5" x14ac:dyDescent="0.35"/>
  <cols>
    <col min="1" max="1" width="26.90625" customWidth="1"/>
    <col min="2" max="2" width="43.08984375" customWidth="1"/>
    <col min="3" max="3" width="12.7265625" bestFit="1" customWidth="1"/>
    <col min="4" max="26" width="11.1796875" bestFit="1" customWidth="1"/>
    <col min="27" max="36" width="11.81640625" bestFit="1" customWidth="1"/>
    <col min="37" max="58" width="12.81640625" bestFit="1" customWidth="1"/>
  </cols>
  <sheetData>
    <row r="1" spans="1:58" x14ac:dyDescent="0.35">
      <c r="A1" t="s">
        <v>5</v>
      </c>
      <c r="B1" t="s">
        <v>6</v>
      </c>
    </row>
    <row r="4" spans="1:58" x14ac:dyDescent="0.35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  <c r="AM4" s="2">
        <v>55154</v>
      </c>
      <c r="AN4" s="2">
        <v>55519</v>
      </c>
      <c r="AO4" s="2">
        <v>55885</v>
      </c>
      <c r="AP4" s="2">
        <v>56250</v>
      </c>
      <c r="AQ4" s="2">
        <v>56615</v>
      </c>
      <c r="AR4" s="2">
        <v>56980</v>
      </c>
      <c r="AS4" s="2">
        <v>57346</v>
      </c>
      <c r="AT4" s="2">
        <v>57711</v>
      </c>
      <c r="AU4" s="2">
        <v>58076</v>
      </c>
      <c r="AV4" s="2">
        <v>58441</v>
      </c>
      <c r="AW4" s="2">
        <v>58807</v>
      </c>
      <c r="AX4" s="2">
        <v>59172</v>
      </c>
      <c r="AY4" s="2">
        <v>59537</v>
      </c>
      <c r="AZ4" s="2">
        <v>59902</v>
      </c>
      <c r="BA4" s="2">
        <v>60268</v>
      </c>
      <c r="BB4" s="2">
        <v>60633</v>
      </c>
      <c r="BC4" s="2">
        <v>60998</v>
      </c>
      <c r="BD4" s="2">
        <v>61363</v>
      </c>
      <c r="BE4" s="2">
        <v>61729</v>
      </c>
      <c r="BF4" s="2">
        <v>62094</v>
      </c>
    </row>
    <row r="5" spans="1:58" x14ac:dyDescent="0.35">
      <c r="A5" s="3" t="str">
        <f>[1]Results!E1365</f>
        <v>100*(GDP_2/GDP_0-1)</v>
      </c>
      <c r="B5" t="s">
        <v>18</v>
      </c>
      <c r="C5" s="1">
        <f>[1]Results!F1365</f>
        <v>-3.3129620777838653E-3</v>
      </c>
      <c r="D5" s="1">
        <f>[1]Results!G1365</f>
        <v>-7.4184620303840987E-3</v>
      </c>
      <c r="E5" s="1">
        <f>[1]Results!H1365</f>
        <v>-9.7709146559710192E-3</v>
      </c>
      <c r="F5" s="1">
        <f>[1]Results!I1365</f>
        <v>-1.1441743838247476E-2</v>
      </c>
      <c r="G5" s="1">
        <f>[1]Results!J1365</f>
        <v>-1.357073211349924E-2</v>
      </c>
      <c r="H5" s="1">
        <f>[1]Results!K1365</f>
        <v>-1.6844562061102408E-2</v>
      </c>
      <c r="I5" s="1">
        <f>[1]Results!L1365</f>
        <v>-2.1284874844673674E-2</v>
      </c>
      <c r="J5" s="1">
        <f>[1]Results!M1365</f>
        <v>-2.6651526272658543E-2</v>
      </c>
      <c r="K5" s="1">
        <f>[1]Results!N1365</f>
        <v>-3.2609395107896511E-2</v>
      </c>
      <c r="L5" s="1">
        <f>[1]Results!O1365</f>
        <v>-3.8855456230690866E-2</v>
      </c>
      <c r="M5" s="1">
        <f>[1]Results!P1365</f>
        <v>-4.5176076367769991E-2</v>
      </c>
      <c r="N5" s="1">
        <f>[1]Results!Q1365</f>
        <v>-5.140095233483466E-2</v>
      </c>
      <c r="O5" s="1">
        <f>[1]Results!R1365</f>
        <v>-5.752430767723693E-2</v>
      </c>
      <c r="P5" s="1">
        <f>[1]Results!S1365</f>
        <v>-6.3563001358279969E-2</v>
      </c>
      <c r="Q5" s="1">
        <f>[1]Results!T1365</f>
        <v>-6.9554779923897136E-2</v>
      </c>
      <c r="R5" s="1">
        <f>[1]Results!U1365</f>
        <v>-7.5533741013333877E-2</v>
      </c>
      <c r="S5" s="1">
        <f>[1]Results!V1365</f>
        <v>-8.1475786331164368E-2</v>
      </c>
      <c r="T5" s="1">
        <f>[1]Results!W1365</f>
        <v>-8.7463701250045656E-2</v>
      </c>
      <c r="U5" s="1">
        <f>[1]Results!X1365</f>
        <v>-9.3518932875391592E-2</v>
      </c>
      <c r="V5" s="1">
        <f>[1]Results!Y1365</f>
        <v>-9.9662322056981445E-2</v>
      </c>
      <c r="W5" s="1">
        <f>[1]Results!Z1365</f>
        <v>-0.10590040131611689</v>
      </c>
      <c r="X5" s="1">
        <f>[1]Results!AA1365</f>
        <v>-0.11224693396583163</v>
      </c>
      <c r="Y5" s="1">
        <f>[1]Results!AB1365</f>
        <v>-0.11870726333252923</v>
      </c>
      <c r="Z5" s="1">
        <f>[1]Results!AC1365</f>
        <v>-0.1252634967232269</v>
      </c>
      <c r="AA5" s="1">
        <f>[1]Results!AD1365</f>
        <v>-0.13190145074433168</v>
      </c>
      <c r="AB5" s="1">
        <f>[1]Results!AE1365</f>
        <v>-0.13858136327796755</v>
      </c>
      <c r="AC5" s="1">
        <f>[1]Results!AF1365</f>
        <v>-0.14533582023349423</v>
      </c>
      <c r="AD5" s="1">
        <f>[1]Results!AG1365</f>
        <v>-0.15215519037367065</v>
      </c>
      <c r="AE5" s="1">
        <f>[1]Results!AH1365</f>
        <v>-0.15901066758456928</v>
      </c>
      <c r="AF5" s="1">
        <f>[1]Results!AI1365</f>
        <v>-0.16587852307223816</v>
      </c>
      <c r="AG5" s="1">
        <f>[1]Results!AJ1365</f>
        <v>-0.17274349299009062</v>
      </c>
      <c r="AH5" s="1">
        <f>[1]Results!AK1365</f>
        <v>-0.17960907498832945</v>
      </c>
      <c r="AI5" s="1">
        <f>[1]Results!AL1365</f>
        <v>-0.18645480216883392</v>
      </c>
      <c r="AJ5" s="1">
        <f>[1]Results!AM1365</f>
        <v>-0.1932781785741744</v>
      </c>
      <c r="AK5" s="1">
        <f>[1]Results!AN1365</f>
        <v>-0.20007790793146185</v>
      </c>
      <c r="AL5" s="1">
        <f>[1]Results!AO1365</f>
        <v>-0.20685529231833089</v>
      </c>
      <c r="AM5" s="1">
        <f>[1]Results!AP1365</f>
        <v>-0.21370497996393567</v>
      </c>
      <c r="AN5" s="1">
        <f>[1]Results!AQ1365</f>
        <v>-0.22047392009754141</v>
      </c>
      <c r="AO5" s="1">
        <f>[1]Results!AR1365</f>
        <v>-0.22713621790417804</v>
      </c>
      <c r="AP5" s="1">
        <f>[1]Results!AS1365</f>
        <v>-0.23364755674832871</v>
      </c>
      <c r="AQ5" s="1">
        <f>[1]Results!AT1365</f>
        <v>-0.23998658217985191</v>
      </c>
      <c r="AR5" s="1">
        <f>[1]Results!AU1365</f>
        <v>-0.25228122981770795</v>
      </c>
      <c r="AS5" s="1">
        <f>[1]Results!AV1365</f>
        <v>-0.27156653372331085</v>
      </c>
      <c r="AT5" s="1">
        <f>[1]Results!AW1365</f>
        <v>-0.29635474208028478</v>
      </c>
      <c r="AU5" s="1">
        <f>[1]Results!AX1365</f>
        <v>-0.32463134592483067</v>
      </c>
      <c r="AV5" s="1">
        <f>[1]Results!AY1365</f>
        <v>-0.35478471627253816</v>
      </c>
      <c r="AW5" s="1">
        <f>[1]Results!AZ1365</f>
        <v>-0.37755003181626501</v>
      </c>
      <c r="AX5" s="1">
        <f>[1]Results!BA1365</f>
        <v>-0.39111551795038002</v>
      </c>
      <c r="AY5" s="1">
        <f>[1]Results!BB1365</f>
        <v>-0.39751174905608977</v>
      </c>
      <c r="AZ5" s="1">
        <f>[1]Results!BC1365</f>
        <v>-0.39957018181934201</v>
      </c>
      <c r="BA5" s="1">
        <f>[1]Results!BD1365</f>
        <v>-0.39954936175339295</v>
      </c>
      <c r="BB5" s="1">
        <f>[1]Results!BE1365</f>
        <v>-0.17309504926293906</v>
      </c>
      <c r="BC5" s="1">
        <f>[1]Results!BF1365</f>
        <v>-0.17504737969170625</v>
      </c>
      <c r="BD5" s="1">
        <f>[1]Results!BG1365</f>
        <v>-0.17671713472687811</v>
      </c>
      <c r="BE5" s="1">
        <f>[1]Results!BH1365</f>
        <v>-0.17817411467598854</v>
      </c>
      <c r="BF5" s="1">
        <f>[1]Results!BI1365</f>
        <v>-0.17947550510799548</v>
      </c>
    </row>
    <row r="6" spans="1:58" x14ac:dyDescent="0.35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-4.1893181806806901E-3</v>
      </c>
      <c r="D6" s="1">
        <f>[1]Results!G1366</f>
        <v>-1.0085676909421526E-2</v>
      </c>
      <c r="E6" s="1">
        <f>[1]Results!H1366</f>
        <v>-1.3681641818752421E-2</v>
      </c>
      <c r="F6" s="1">
        <f>[1]Results!I1366</f>
        <v>-1.6375526916645455E-2</v>
      </c>
      <c r="G6" s="1">
        <f>[1]Results!J1366</f>
        <v>-1.9598967280942681E-2</v>
      </c>
      <c r="H6" s="1">
        <f>[1]Results!K1366</f>
        <v>-2.4230852256690305E-2</v>
      </c>
      <c r="I6" s="1">
        <f>[1]Results!L1366</f>
        <v>-3.0268427142132737E-2</v>
      </c>
      <c r="J6" s="1">
        <f>[1]Results!M1366</f>
        <v>-3.7444331392877395E-2</v>
      </c>
      <c r="K6" s="1">
        <f>[1]Results!N1366</f>
        <v>-4.5380924827909119E-2</v>
      </c>
      <c r="L6" s="1">
        <f>[1]Results!O1366</f>
        <v>-5.3725195300624584E-2</v>
      </c>
      <c r="M6" s="1">
        <f>[1]Results!P1366</f>
        <v>-6.221531069436903E-2</v>
      </c>
      <c r="N6" s="1">
        <f>[1]Results!Q1366</f>
        <v>-7.0636937228785168E-2</v>
      </c>
      <c r="O6" s="1">
        <f>[1]Results!R1366</f>
        <v>-7.8967937391594134E-2</v>
      </c>
      <c r="P6" s="1">
        <f>[1]Results!S1366</f>
        <v>-8.7208990218179405E-2</v>
      </c>
      <c r="Q6" s="1">
        <f>[1]Results!T1366</f>
        <v>-9.5388696209353085E-2</v>
      </c>
      <c r="R6" s="1">
        <f>[1]Results!U1366</f>
        <v>-0.10353265399479783</v>
      </c>
      <c r="S6" s="1">
        <f>[1]Results!V1366</f>
        <v>-0.11160200146482779</v>
      </c>
      <c r="T6" s="1">
        <f>[1]Results!W1366</f>
        <v>-0.11969197144602317</v>
      </c>
      <c r="U6" s="1">
        <f>[1]Results!X1366</f>
        <v>-0.12782537403571714</v>
      </c>
      <c r="V6" s="1">
        <f>[1]Results!Y1366</f>
        <v>-0.13602899456328643</v>
      </c>
      <c r="W6" s="1">
        <f>[1]Results!Z1366</f>
        <v>-0.14431536872065998</v>
      </c>
      <c r="X6" s="1">
        <f>[1]Results!AA1366</f>
        <v>-0.15271160844675391</v>
      </c>
      <c r="Y6" s="1">
        <f>[1]Results!AB1366</f>
        <v>-0.16122679697408993</v>
      </c>
      <c r="Z6" s="1">
        <f>[1]Results!AC1366</f>
        <v>-0.16984569977074315</v>
      </c>
      <c r="AA6" s="1">
        <f>[1]Results!AD1366</f>
        <v>-0.17855621049074344</v>
      </c>
      <c r="AB6" s="1">
        <f>[1]Results!AE1366</f>
        <v>-0.187311389073197</v>
      </c>
      <c r="AC6" s="1">
        <f>[1]Results!AF1366</f>
        <v>-0.19617168755329262</v>
      </c>
      <c r="AD6" s="1">
        <f>[1]Results!AG1366</f>
        <v>-0.2051174805649203</v>
      </c>
      <c r="AE6" s="1">
        <f>[1]Results!AH1366</f>
        <v>-0.21411622475667746</v>
      </c>
      <c r="AF6" s="1">
        <f>[1]Results!AI1366</f>
        <v>-0.22313913949176811</v>
      </c>
      <c r="AG6" s="1">
        <f>[1]Results!AJ1366</f>
        <v>-0.23216606432392428</v>
      </c>
      <c r="AH6" s="1">
        <f>[1]Results!AK1366</f>
        <v>-0.2411991804273983</v>
      </c>
      <c r="AI6" s="1">
        <f>[1]Results!AL1366</f>
        <v>-0.25021069087303172</v>
      </c>
      <c r="AJ6" s="1">
        <f>[1]Results!AM1366</f>
        <v>-0.2591959405943034</v>
      </c>
      <c r="AK6" s="1">
        <f>[1]Results!AN1366</f>
        <v>-0.26815155859347684</v>
      </c>
      <c r="AL6" s="1">
        <f>[1]Results!AO1366</f>
        <v>-0.2770776850521961</v>
      </c>
      <c r="AM6" s="1">
        <f>[1]Results!AP1366</f>
        <v>-0.28608725764250886</v>
      </c>
      <c r="AN6" s="1">
        <f>[1]Results!AQ1366</f>
        <v>-0.29499386490744461</v>
      </c>
      <c r="AO6" s="1">
        <f>[1]Results!AR1366</f>
        <v>-0.30375036834157099</v>
      </c>
      <c r="AP6" s="1">
        <f>[1]Results!AS1366</f>
        <v>-0.3122937590517183</v>
      </c>
      <c r="AQ6" s="1">
        <f>[1]Results!AT1366</f>
        <v>-0.32060138204440536</v>
      </c>
      <c r="AR6" s="1">
        <f>[1]Results!AU1366</f>
        <v>-0.33621243506507525</v>
      </c>
      <c r="AS6" s="1">
        <f>[1]Results!AV1366</f>
        <v>-0.36055601832718498</v>
      </c>
      <c r="AT6" s="1">
        <f>[1]Results!AW1366</f>
        <v>-0.39201020406941511</v>
      </c>
      <c r="AU6" s="1">
        <f>[1]Results!AX1366</f>
        <v>-0.42822623426284068</v>
      </c>
      <c r="AV6" s="1">
        <f>[1]Results!AY1366</f>
        <v>-0.46724097409731602</v>
      </c>
      <c r="AW6" s="1">
        <f>[1]Results!AZ1366</f>
        <v>-0.49762199558597286</v>
      </c>
      <c r="AX6" s="1">
        <f>[1]Results!BA1366</f>
        <v>-0.51684933776342534</v>
      </c>
      <c r="AY6" s="1">
        <f>[1]Results!BB1366</f>
        <v>-0.52704005943230436</v>
      </c>
      <c r="AZ6" s="1">
        <f>[1]Results!BC1366</f>
        <v>-0.53139827233954495</v>
      </c>
      <c r="BA6" s="1">
        <f>[1]Results!BD1366</f>
        <v>-0.53258620814085056</v>
      </c>
      <c r="BB6" s="1">
        <f>[1]Results!BE1366</f>
        <v>-0.23572931163051702</v>
      </c>
      <c r="BC6" s="1">
        <f>[1]Results!BF1366</f>
        <v>-0.23913277799035848</v>
      </c>
      <c r="BD6" s="1">
        <f>[1]Results!BG1366</f>
        <v>-0.24217281316902817</v>
      </c>
      <c r="BE6" s="1">
        <f>[1]Results!BH1366</f>
        <v>-0.24492995704027409</v>
      </c>
      <c r="BF6" s="1">
        <f>[1]Results!BI1366</f>
        <v>-0.24747210843392153</v>
      </c>
    </row>
    <row r="7" spans="1:58" x14ac:dyDescent="0.35">
      <c r="A7" s="3" t="str">
        <f>[1]Results!E1367</f>
        <v>100*((CH_2-CH_0)/GDP_0)</v>
      </c>
      <c r="B7" t="s">
        <v>19</v>
      </c>
      <c r="C7" s="1">
        <f>[1]Results!F1367</f>
        <v>-4.3048875720492112E-3</v>
      </c>
      <c r="D7" s="1">
        <f>[1]Results!G1367</f>
        <v>-7.0448956008102885E-3</v>
      </c>
      <c r="E7" s="1">
        <f>[1]Results!H1367</f>
        <v>-7.9136900661725493E-3</v>
      </c>
      <c r="F7" s="1">
        <f>[1]Results!I1367</f>
        <v>-7.9885760373490482E-3</v>
      </c>
      <c r="G7" s="1">
        <f>[1]Results!J1367</f>
        <v>-8.2805348702739093E-3</v>
      </c>
      <c r="H7" s="1">
        <f>[1]Results!K1367</f>
        <v>-9.2653999682696126E-3</v>
      </c>
      <c r="I7" s="1">
        <f>[1]Results!L1367</f>
        <v>-1.0902679886462451E-2</v>
      </c>
      <c r="J7" s="1">
        <f>[1]Results!M1367</f>
        <v>-1.2889354255126294E-2</v>
      </c>
      <c r="K7" s="1">
        <f>[1]Results!N1367</f>
        <v>-1.489677034930746E-2</v>
      </c>
      <c r="L7" s="1">
        <f>[1]Results!O1367</f>
        <v>-1.6688993907589839E-2</v>
      </c>
      <c r="M7" s="1">
        <f>[1]Results!P1367</f>
        <v>-1.8169560969940622E-2</v>
      </c>
      <c r="N7" s="1">
        <f>[1]Results!Q1367</f>
        <v>-1.9319377492983299E-2</v>
      </c>
      <c r="O7" s="1">
        <f>[1]Results!R1367</f>
        <v>-2.0198352170139721E-2</v>
      </c>
      <c r="P7" s="1">
        <f>[1]Results!S1367</f>
        <v>-2.091444829547311E-2</v>
      </c>
      <c r="Q7" s="1">
        <f>[1]Results!T1367</f>
        <v>-2.1574455689823187E-2</v>
      </c>
      <c r="R7" s="1">
        <f>[1]Results!U1367</f>
        <v>-2.2264242146217587E-2</v>
      </c>
      <c r="S7" s="1">
        <f>[1]Results!V1367</f>
        <v>-2.3064199491702037E-2</v>
      </c>
      <c r="T7" s="1">
        <f>[1]Results!W1367</f>
        <v>-2.4011090357797079E-2</v>
      </c>
      <c r="U7" s="1">
        <f>[1]Results!X1367</f>
        <v>-2.5132778191810694E-2</v>
      </c>
      <c r="V7" s="1">
        <f>[1]Results!Y1367</f>
        <v>-2.6440246892906052E-2</v>
      </c>
      <c r="W7" s="1">
        <f>[1]Results!Z1367</f>
        <v>-2.7909911078996597E-2</v>
      </c>
      <c r="X7" s="1">
        <f>[1]Results!AA1367</f>
        <v>-2.955255010536055E-2</v>
      </c>
      <c r="Y7" s="1">
        <f>[1]Results!AB1367</f>
        <v>-3.1336818631514163E-2</v>
      </c>
      <c r="Z7" s="1">
        <f>[1]Results!AC1367</f>
        <v>-3.3226336015157128E-2</v>
      </c>
      <c r="AA7" s="1">
        <f>[1]Results!AD1367</f>
        <v>-3.5190819518475781E-2</v>
      </c>
      <c r="AB7" s="1">
        <f>[1]Results!AE1367</f>
        <v>-3.7142124376376151E-2</v>
      </c>
      <c r="AC7" s="1">
        <f>[1]Results!AF1367</f>
        <v>-3.9116434412691768E-2</v>
      </c>
      <c r="AD7" s="1">
        <f>[1]Results!AG1367</f>
        <v>-4.1100953429694005E-2</v>
      </c>
      <c r="AE7" s="1">
        <f>[1]Results!AH1367</f>
        <v>-4.3066070622033166E-2</v>
      </c>
      <c r="AF7" s="1">
        <f>[1]Results!AI1367</f>
        <v>-4.4995316422631049E-2</v>
      </c>
      <c r="AG7" s="1">
        <f>[1]Results!AJ1367</f>
        <v>-4.6884200134155063E-2</v>
      </c>
      <c r="AH7" s="1">
        <f>[1]Results!AK1367</f>
        <v>-4.8730445639703676E-2</v>
      </c>
      <c r="AI7" s="1">
        <f>[1]Results!AL1367</f>
        <v>-5.0543373984678411E-2</v>
      </c>
      <c r="AJ7" s="1">
        <f>[1]Results!AM1367</f>
        <v>-5.2331794981360855E-2</v>
      </c>
      <c r="AK7" s="1">
        <f>[1]Results!AN1367</f>
        <v>-5.4105537697662277E-2</v>
      </c>
      <c r="AL7" s="1">
        <f>[1]Results!AO1367</f>
        <v>-5.587556003205333E-2</v>
      </c>
      <c r="AM7" s="1">
        <f>[1]Results!AP1367</f>
        <v>-5.7575943879660182E-2</v>
      </c>
      <c r="AN7" s="1">
        <f>[1]Results!AQ1367</f>
        <v>-5.9236680668363045E-2</v>
      </c>
      <c r="AO7" s="1">
        <f>[1]Results!AR1367</f>
        <v>-6.0850737980110953E-2</v>
      </c>
      <c r="AP7" s="1">
        <f>[1]Results!AS1367</f>
        <v>-6.2401661016708562E-2</v>
      </c>
      <c r="AQ7" s="1">
        <f>[1]Results!AT1367</f>
        <v>-6.3889340367313613E-2</v>
      </c>
      <c r="AR7" s="1">
        <f>[1]Results!AU1367</f>
        <v>-6.920838654045193E-2</v>
      </c>
      <c r="AS7" s="1">
        <f>[1]Results!AV1367</f>
        <v>-7.7732357719591555E-2</v>
      </c>
      <c r="AT7" s="1">
        <f>[1]Results!AW1367</f>
        <v>-8.7335055292398961E-2</v>
      </c>
      <c r="AU7" s="1">
        <f>[1]Results!AX1367</f>
        <v>-9.6162900443884342E-2</v>
      </c>
      <c r="AV7" s="1">
        <f>[1]Results!AY1367</f>
        <v>-0.10320738805386684</v>
      </c>
      <c r="AW7" s="1">
        <f>[1]Results!AZ1367</f>
        <v>-0.10295520131149018</v>
      </c>
      <c r="AX7" s="1">
        <f>[1]Results!BA1367</f>
        <v>-9.660757286830754E-2</v>
      </c>
      <c r="AY7" s="1">
        <f>[1]Results!BB1367</f>
        <v>-8.7605604906452861E-2</v>
      </c>
      <c r="AZ7" s="1">
        <f>[1]Results!BC1367</f>
        <v>-7.9022659450561472E-2</v>
      </c>
      <c r="BA7" s="1">
        <f>[1]Results!BD1367</f>
        <v>-7.2680804265269017E-2</v>
      </c>
      <c r="BB7" s="1">
        <f>[1]Results!BE1367</f>
        <v>2.4627260846567238E-2</v>
      </c>
      <c r="BC7" s="1">
        <f>[1]Results!BF1367</f>
        <v>2.6598171712759654E-2</v>
      </c>
      <c r="BD7" s="1">
        <f>[1]Results!BG1367</f>
        <v>2.8484324639781216E-2</v>
      </c>
      <c r="BE7" s="1">
        <f>[1]Results!BH1367</f>
        <v>3.0234981441569546E-2</v>
      </c>
      <c r="BF7" s="1">
        <f>[1]Results!BI1367</f>
        <v>3.1819722090826522E-2</v>
      </c>
    </row>
    <row r="8" spans="1:58" x14ac:dyDescent="0.35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-4.8369319045553816E-6</v>
      </c>
      <c r="D8" s="1">
        <f>[1]Results!G1368</f>
        <v>-5.783188897178696E-5</v>
      </c>
      <c r="E8" s="1">
        <f>[1]Results!H1368</f>
        <v>1.4716932211819827E-4</v>
      </c>
      <c r="F8" s="1">
        <f>[1]Results!I1368</f>
        <v>4.1953453472894607E-4</v>
      </c>
      <c r="G8" s="1">
        <f>[1]Results!J1368</f>
        <v>6.3852516090900327E-4</v>
      </c>
      <c r="H8" s="1">
        <f>[1]Results!K1368</f>
        <v>7.8195266369668229E-4</v>
      </c>
      <c r="I8" s="1">
        <f>[1]Results!L1368</f>
        <v>8.8917786567702421E-4</v>
      </c>
      <c r="J8" s="1">
        <f>[1]Results!M1368</f>
        <v>1.0066003152009676E-3</v>
      </c>
      <c r="K8" s="1">
        <f>[1]Results!N1368</f>
        <v>1.1604025777094582E-3</v>
      </c>
      <c r="L8" s="1">
        <f>[1]Results!O1368</f>
        <v>1.3532846067118931E-3</v>
      </c>
      <c r="M8" s="1">
        <f>[1]Results!P1368</f>
        <v>1.5714274027094869E-3</v>
      </c>
      <c r="N8" s="1">
        <f>[1]Results!Q1368</f>
        <v>1.7971641237145082E-3</v>
      </c>
      <c r="O8" s="1">
        <f>[1]Results!R1368</f>
        <v>2.0134863380121531E-3</v>
      </c>
      <c r="P8" s="1">
        <f>[1]Results!S1368</f>
        <v>2.2077608916683013E-3</v>
      </c>
      <c r="Q8" s="1">
        <f>[1]Results!T1368</f>
        <v>2.3731974477565723E-3</v>
      </c>
      <c r="R8" s="1">
        <f>[1]Results!U1368</f>
        <v>2.5087534268073276E-3</v>
      </c>
      <c r="S8" s="1">
        <f>[1]Results!V1368</f>
        <v>2.6159250434933685E-3</v>
      </c>
      <c r="T8" s="1">
        <f>[1]Results!W1368</f>
        <v>2.69968000438536E-3</v>
      </c>
      <c r="U8" s="1">
        <f>[1]Results!X1368</f>
        <v>2.766035431865719E-3</v>
      </c>
      <c r="V8" s="1">
        <f>[1]Results!Y1368</f>
        <v>2.8205132443594365E-3</v>
      </c>
      <c r="W8" s="1">
        <f>[1]Results!Z1368</f>
        <v>2.8690938797136614E-3</v>
      </c>
      <c r="X8" s="1">
        <f>[1]Results!AA1368</f>
        <v>2.9156673659700783E-3</v>
      </c>
      <c r="Y8" s="1">
        <f>[1]Results!AB1368</f>
        <v>2.9638359603060753E-3</v>
      </c>
      <c r="Z8" s="1">
        <f>[1]Results!AC1368</f>
        <v>3.0166897319502742E-3</v>
      </c>
      <c r="AA8" s="1">
        <f>[1]Results!AD1368</f>
        <v>3.0757995390844916E-3</v>
      </c>
      <c r="AB8" s="1">
        <f>[1]Results!AE1368</f>
        <v>3.1440717142886087E-3</v>
      </c>
      <c r="AC8" s="1">
        <f>[1]Results!AF1368</f>
        <v>3.2203793442019454E-3</v>
      </c>
      <c r="AD8" s="1">
        <f>[1]Results!AG1368</f>
        <v>3.3031230913994477E-3</v>
      </c>
      <c r="AE8" s="1">
        <f>[1]Results!AH1368</f>
        <v>3.3924382037272783E-3</v>
      </c>
      <c r="AF8" s="1">
        <f>[1]Results!AI1368</f>
        <v>3.4877183570270229E-3</v>
      </c>
      <c r="AG8" s="1">
        <f>[1]Results!AJ1368</f>
        <v>3.5875307783768151E-3</v>
      </c>
      <c r="AH8" s="1">
        <f>[1]Results!AK1368</f>
        <v>3.6905195703408385E-3</v>
      </c>
      <c r="AI8" s="1">
        <f>[1]Results!AL1368</f>
        <v>3.7951475941578562E-3</v>
      </c>
      <c r="AJ8" s="1">
        <f>[1]Results!AM1368</f>
        <v>3.9001669792199508E-3</v>
      </c>
      <c r="AK8" s="1">
        <f>[1]Results!AN1368</f>
        <v>4.0048960404186684E-3</v>
      </c>
      <c r="AL8" s="1">
        <f>[1]Results!AO1368</f>
        <v>4.1089747531065108E-3</v>
      </c>
      <c r="AM8" s="1">
        <f>[1]Results!AP1368</f>
        <v>4.2158149175569115E-3</v>
      </c>
      <c r="AN8" s="1">
        <f>[1]Results!AQ1368</f>
        <v>4.324609265033471E-3</v>
      </c>
      <c r="AO8" s="1">
        <f>[1]Results!AR1368</f>
        <v>4.4344605853938379E-3</v>
      </c>
      <c r="AP8" s="1">
        <f>[1]Results!AS1368</f>
        <v>4.5465091835906069E-3</v>
      </c>
      <c r="AQ8" s="1">
        <f>[1]Results!AT1368</f>
        <v>4.6605544905465018E-3</v>
      </c>
      <c r="AR8" s="1">
        <f>[1]Results!AU1368</f>
        <v>4.7644219827456188E-3</v>
      </c>
      <c r="AS8" s="1">
        <f>[1]Results!AV1368</f>
        <v>4.8787367469084438E-3</v>
      </c>
      <c r="AT8" s="1">
        <f>[1]Results!AW1368</f>
        <v>5.1687636886064182E-3</v>
      </c>
      <c r="AU8" s="1">
        <f>[1]Results!AX1368</f>
        <v>5.7113081233603948E-3</v>
      </c>
      <c r="AV8" s="1">
        <f>[1]Results!AY1368</f>
        <v>6.4758814051914127E-3</v>
      </c>
      <c r="AW8" s="1">
        <f>[1]Results!AZ1368</f>
        <v>7.3914662343448059E-3</v>
      </c>
      <c r="AX8" s="1">
        <f>[1]Results!BA1368</f>
        <v>8.331039950803849E-3</v>
      </c>
      <c r="AY8" s="1">
        <f>[1]Results!BB1368</f>
        <v>8.9992289589300601E-3</v>
      </c>
      <c r="AZ8" s="1">
        <f>[1]Results!BC1368</f>
        <v>9.2509147144178832E-3</v>
      </c>
      <c r="BA8" s="1">
        <f>[1]Results!BD1368</f>
        <v>9.1107100289277397E-3</v>
      </c>
      <c r="BB8" s="1">
        <f>[1]Results!BE1368</f>
        <v>6.2562576488679683E-3</v>
      </c>
      <c r="BC8" s="1">
        <f>[1]Results!BF1368</f>
        <v>6.4977563843595931E-3</v>
      </c>
      <c r="BD8" s="1">
        <f>[1]Results!BG1368</f>
        <v>6.7405093711651069E-3</v>
      </c>
      <c r="BE8" s="1">
        <f>[1]Results!BH1368</f>
        <v>6.9831096687923509E-3</v>
      </c>
      <c r="BF8" s="1">
        <f>[1]Results!BI1368</f>
        <v>7.2267607524996134E-3</v>
      </c>
    </row>
    <row r="9" spans="1:58" x14ac:dyDescent="0.35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  <c r="AM9" s="1">
        <f>[1]Results!AP1369</f>
        <v>0</v>
      </c>
      <c r="AN9" s="1">
        <f>[1]Results!AQ1369</f>
        <v>0</v>
      </c>
      <c r="AO9" s="1">
        <f>[1]Results!AR1369</f>
        <v>0</v>
      </c>
      <c r="AP9" s="1">
        <f>[1]Results!AS1369</f>
        <v>0</v>
      </c>
      <c r="AQ9" s="1">
        <f>[1]Results!AT1369</f>
        <v>0</v>
      </c>
      <c r="AR9" s="1">
        <f>[1]Results!AU1369</f>
        <v>0</v>
      </c>
      <c r="AS9" s="1">
        <f>[1]Results!AV1369</f>
        <v>0</v>
      </c>
      <c r="AT9" s="1">
        <f>[1]Results!AW1369</f>
        <v>0</v>
      </c>
      <c r="AU9" s="1">
        <f>[1]Results!AX1369</f>
        <v>0</v>
      </c>
      <c r="AV9" s="1">
        <f>[1]Results!AY1369</f>
        <v>0</v>
      </c>
      <c r="AW9" s="1">
        <f>[1]Results!AZ1369</f>
        <v>0</v>
      </c>
      <c r="AX9" s="1">
        <f>[1]Results!BA1369</f>
        <v>0</v>
      </c>
      <c r="AY9" s="1">
        <f>[1]Results!BB1369</f>
        <v>0</v>
      </c>
      <c r="AZ9" s="1">
        <f>[1]Results!BC1369</f>
        <v>0</v>
      </c>
      <c r="BA9" s="1">
        <f>[1]Results!BD1369</f>
        <v>0</v>
      </c>
      <c r="BB9" s="1">
        <f>[1]Results!BE1369</f>
        <v>0</v>
      </c>
      <c r="BC9" s="1">
        <f>[1]Results!BF1369</f>
        <v>0</v>
      </c>
      <c r="BD9" s="1">
        <f>[1]Results!BG1369</f>
        <v>0</v>
      </c>
      <c r="BE9" s="1">
        <f>[1]Results!BH1369</f>
        <v>0</v>
      </c>
      <c r="BF9" s="1">
        <f>[1]Results!BI1369</f>
        <v>0</v>
      </c>
    </row>
    <row r="10" spans="1:58" x14ac:dyDescent="0.35">
      <c r="A10" s="3" t="str">
        <f>[1]Results!E1370</f>
        <v>100*((I_2-I_0)/GDP_0)</v>
      </c>
      <c r="B10" t="s">
        <v>21</v>
      </c>
      <c r="C10" s="1">
        <f>[1]Results!F1370</f>
        <v>-2.0920457571416227E-3</v>
      </c>
      <c r="D10" s="1">
        <f>[1]Results!G1370</f>
        <v>-4.0892958132102974E-3</v>
      </c>
      <c r="E10" s="1">
        <f>[1]Results!H1370</f>
        <v>-5.817699695022778E-3</v>
      </c>
      <c r="F10" s="1">
        <f>[1]Results!I1370</f>
        <v>-7.2697049953884367E-3</v>
      </c>
      <c r="G10" s="1">
        <f>[1]Results!J1370</f>
        <v>-8.6810705770117048E-3</v>
      </c>
      <c r="H10" s="1">
        <f>[1]Results!K1370</f>
        <v>-1.0297020367778836E-2</v>
      </c>
      <c r="I10" s="1">
        <f>[1]Results!L1370</f>
        <v>-1.2230683220771765E-2</v>
      </c>
      <c r="J10" s="1">
        <f>[1]Results!M1370</f>
        <v>-1.4469152353820295E-2</v>
      </c>
      <c r="K10" s="1">
        <f>[1]Results!N1370</f>
        <v>-1.6943048073741501E-2</v>
      </c>
      <c r="L10" s="1">
        <f>[1]Results!O1370</f>
        <v>-1.9562361648394363E-2</v>
      </c>
      <c r="M10" s="1">
        <f>[1]Results!P1370</f>
        <v>-2.2237037876628986E-2</v>
      </c>
      <c r="N10" s="1">
        <f>[1]Results!Q1370</f>
        <v>-2.4940212422951288E-2</v>
      </c>
      <c r="O10" s="1">
        <f>[1]Results!R1370</f>
        <v>-2.7602792338712233E-2</v>
      </c>
      <c r="P10" s="1">
        <f>[1]Results!S1370</f>
        <v>-3.0205226498974294E-2</v>
      </c>
      <c r="Q10" s="1">
        <f>[1]Results!T1370</f>
        <v>-3.2743270405165462E-2</v>
      </c>
      <c r="R10" s="1">
        <f>[1]Results!U1370</f>
        <v>-3.5219097170049493E-2</v>
      </c>
      <c r="S10" s="1">
        <f>[1]Results!V1370</f>
        <v>-3.7662432588379154E-2</v>
      </c>
      <c r="T10" s="1">
        <f>[1]Results!W1370</f>
        <v>-4.006101042675158E-2</v>
      </c>
      <c r="U10" s="1">
        <f>[1]Results!X1370</f>
        <v>-4.2422505404409561E-2</v>
      </c>
      <c r="V10" s="1">
        <f>[1]Results!Y1370</f>
        <v>-4.475790042328498E-2</v>
      </c>
      <c r="W10" s="1">
        <f>[1]Results!Z1370</f>
        <v>-4.7087328085801981E-2</v>
      </c>
      <c r="X10" s="1">
        <f>[1]Results!AA1370</f>
        <v>-4.9397362409380627E-2</v>
      </c>
      <c r="Y10" s="1">
        <f>[1]Results!AB1370</f>
        <v>-5.1708970618471767E-2</v>
      </c>
      <c r="Z10" s="1">
        <f>[1]Results!AC1370</f>
        <v>-5.4022001877015058E-2</v>
      </c>
      <c r="AA10" s="1">
        <f>[1]Results!AD1370</f>
        <v>-5.6334884318993299E-2</v>
      </c>
      <c r="AB10" s="1">
        <f>[1]Results!AE1370</f>
        <v>-5.8676003285951468E-2</v>
      </c>
      <c r="AC10" s="1">
        <f>[1]Results!AF1370</f>
        <v>-6.0973419775732174E-2</v>
      </c>
      <c r="AD10" s="1">
        <f>[1]Results!AG1370</f>
        <v>-6.3263381032839197E-2</v>
      </c>
      <c r="AE10" s="1">
        <f>[1]Results!AH1370</f>
        <v>-6.5535974690908369E-2</v>
      </c>
      <c r="AF10" s="1">
        <f>[1]Results!AI1370</f>
        <v>-6.7779054321121315E-2</v>
      </c>
      <c r="AG10" s="1">
        <f>[1]Results!AJ1370</f>
        <v>-6.9981171289298039E-2</v>
      </c>
      <c r="AH10" s="1">
        <f>[1]Results!AK1370</f>
        <v>-7.2126315370769037E-2</v>
      </c>
      <c r="AI10" s="1">
        <f>[1]Results!AL1370</f>
        <v>-7.421156517455893E-2</v>
      </c>
      <c r="AJ10" s="1">
        <f>[1]Results!AM1370</f>
        <v>-7.623140143086593E-2</v>
      </c>
      <c r="AK10" s="1">
        <f>[1]Results!AN1370</f>
        <v>-7.81812890989695E-2</v>
      </c>
      <c r="AL10" s="1">
        <f>[1]Results!AO1370</f>
        <v>-8.0058187436496647E-2</v>
      </c>
      <c r="AM10" s="1">
        <f>[1]Results!AP1370</f>
        <v>-8.1809696805161272E-2</v>
      </c>
      <c r="AN10" s="1">
        <f>[1]Results!AQ1370</f>
        <v>-8.3462651302940852E-2</v>
      </c>
      <c r="AO10" s="1">
        <f>[1]Results!AR1370</f>
        <v>-8.5009168745839372E-2</v>
      </c>
      <c r="AP10" s="1">
        <f>[1]Results!AS1370</f>
        <v>-8.6431591260270363E-2</v>
      </c>
      <c r="AQ10" s="1">
        <f>[1]Results!AT1370</f>
        <v>-8.7718040637713726E-2</v>
      </c>
      <c r="AR10" s="1">
        <f>[1]Results!AU1370</f>
        <v>-9.0383696573058461E-2</v>
      </c>
      <c r="AS10" s="1">
        <f>[1]Results!AV1370</f>
        <v>-9.5077337747636895E-2</v>
      </c>
      <c r="AT10" s="1">
        <f>[1]Results!AW1370</f>
        <v>-0.10172396307096987</v>
      </c>
      <c r="AU10" s="1">
        <f>[1]Results!AX1370</f>
        <v>-0.10986161695440066</v>
      </c>
      <c r="AV10" s="1">
        <f>[1]Results!AY1370</f>
        <v>-0.11894208938795915</v>
      </c>
      <c r="AW10" s="1">
        <f>[1]Results!AZ1370</f>
        <v>-0.12641161169692086</v>
      </c>
      <c r="AX10" s="1">
        <f>[1]Results!BA1370</f>
        <v>-0.13112334304650736</v>
      </c>
      <c r="AY10" s="1">
        <f>[1]Results!BB1370</f>
        <v>-0.13302659228231514</v>
      </c>
      <c r="AZ10" s="1">
        <f>[1]Results!BC1370</f>
        <v>-0.13267645607302161</v>
      </c>
      <c r="BA10" s="1">
        <f>[1]Results!BD1370</f>
        <v>-0.13078220987334599</v>
      </c>
      <c r="BB10" s="1">
        <f>[1]Results!BE1370</f>
        <v>-4.521236430945175E-3</v>
      </c>
      <c r="BC10" s="1">
        <f>[1]Results!BF1370</f>
        <v>7.2949558812879342E-4</v>
      </c>
      <c r="BD10" s="1">
        <f>[1]Results!BG1370</f>
        <v>6.3874356486643144E-3</v>
      </c>
      <c r="BE10" s="1">
        <f>[1]Results!BH1370</f>
        <v>1.2419202628000638E-2</v>
      </c>
      <c r="BF10" s="1">
        <f>[1]Results!BI1370</f>
        <v>1.8789179124359609E-2</v>
      </c>
    </row>
    <row r="11" spans="1:58" x14ac:dyDescent="0.35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-8.0233357770762522E-5</v>
      </c>
      <c r="D11" s="1">
        <f>[1]Results!G1371</f>
        <v>-1.0906802372046011E-4</v>
      </c>
      <c r="E11" s="1">
        <f>[1]Results!H1371</f>
        <v>-1.3867539600908248E-4</v>
      </c>
      <c r="F11" s="1">
        <f>[1]Results!I1371</f>
        <v>-1.6894575683349818E-4</v>
      </c>
      <c r="G11" s="1">
        <f>[1]Results!J1371</f>
        <v>-1.9980803619460826E-4</v>
      </c>
      <c r="H11" s="1">
        <f>[1]Results!K1371</f>
        <v>-2.3119703018253398E-4</v>
      </c>
      <c r="I11" s="1">
        <f>[1]Results!L1371</f>
        <v>-2.6341471350634527E-4</v>
      </c>
      <c r="J11" s="1">
        <f>[1]Results!M1371</f>
        <v>-2.9613289247314265E-4</v>
      </c>
      <c r="K11" s="1">
        <f>[1]Results!N1371</f>
        <v>-3.293191199911287E-4</v>
      </c>
      <c r="L11" s="1">
        <f>[1]Results!O1371</f>
        <v>-3.629504239865315E-4</v>
      </c>
      <c r="M11" s="1">
        <f>[1]Results!P1371</f>
        <v>-3.9726305966145754E-4</v>
      </c>
      <c r="N11" s="1">
        <f>[1]Results!Q1371</f>
        <v>-4.3351507680306791E-4</v>
      </c>
      <c r="O11" s="1">
        <f>[1]Results!R1371</f>
        <v>-4.7033065907991313E-4</v>
      </c>
      <c r="P11" s="1">
        <f>[1]Results!S1371</f>
        <v>-5.0770496672685188E-4</v>
      </c>
      <c r="Q11" s="1">
        <f>[1]Results!T1371</f>
        <v>-5.4564290256892752E-4</v>
      </c>
      <c r="R11" s="1">
        <f>[1]Results!U1371</f>
        <v>-5.8415645517566708E-4</v>
      </c>
      <c r="S11" s="1">
        <f>[1]Results!V1371</f>
        <v>-6.2527748210452463E-4</v>
      </c>
      <c r="T11" s="1">
        <f>[1]Results!W1371</f>
        <v>-6.6712263230979906E-4</v>
      </c>
      <c r="U11" s="1">
        <f>[1]Results!X1371</f>
        <v>-7.0969981808734596E-4</v>
      </c>
      <c r="V11" s="1">
        <f>[1]Results!Y1371</f>
        <v>-7.530197320876074E-4</v>
      </c>
      <c r="W11" s="1">
        <f>[1]Results!Z1371</f>
        <v>-7.9676968839871337E-4</v>
      </c>
      <c r="X11" s="1">
        <f>[1]Results!AA1371</f>
        <v>-8.4171364773325203E-4</v>
      </c>
      <c r="Y11" s="1">
        <f>[1]Results!AB1371</f>
        <v>-8.8738895105396033E-4</v>
      </c>
      <c r="Z11" s="1">
        <f>[1]Results!AC1371</f>
        <v>-9.3382009654460133E-4</v>
      </c>
      <c r="AA11" s="1">
        <f>[1]Results!AD1371</f>
        <v>-9.8102709211922434E-4</v>
      </c>
      <c r="AB11" s="1">
        <f>[1]Results!AE1371</f>
        <v>-1.0278914692142785E-3</v>
      </c>
      <c r="AC11" s="1">
        <f>[1]Results!AF1371</f>
        <v>-1.0757027701659085E-3</v>
      </c>
      <c r="AD11" s="1">
        <f>[1]Results!AG1371</f>
        <v>-1.1244005700367014E-3</v>
      </c>
      <c r="AE11" s="1">
        <f>[1]Results!AH1371</f>
        <v>-1.1739671502197335E-3</v>
      </c>
      <c r="AF11" s="1">
        <f>[1]Results!AI1371</f>
        <v>-1.2243815236605898E-3</v>
      </c>
      <c r="AG11" s="1">
        <f>[1]Results!AJ1371</f>
        <v>-1.2756223573934583E-3</v>
      </c>
      <c r="AH11" s="1">
        <f>[1]Results!AK1371</f>
        <v>-1.327150291017036E-3</v>
      </c>
      <c r="AI11" s="1">
        <f>[1]Results!AL1371</f>
        <v>-1.3794406438666948E-3</v>
      </c>
      <c r="AJ11" s="1">
        <f>[1]Results!AM1371</f>
        <v>-1.4324889796789898E-3</v>
      </c>
      <c r="AK11" s="1">
        <f>[1]Results!AN1371</f>
        <v>-1.4862953404551596E-3</v>
      </c>
      <c r="AL11" s="1">
        <f>[1]Results!AO1371</f>
        <v>-1.5408634386343094E-3</v>
      </c>
      <c r="AM11" s="1">
        <f>[1]Results!AP1371</f>
        <v>-1.5911166247419722E-3</v>
      </c>
      <c r="AN11" s="1">
        <f>[1]Results!AQ1371</f>
        <v>-1.6420566095791947E-3</v>
      </c>
      <c r="AO11" s="1">
        <f>[1]Results!AR1371</f>
        <v>-1.6936761852416719E-3</v>
      </c>
      <c r="AP11" s="1">
        <f>[1]Results!AS1371</f>
        <v>-1.7459813484567066E-3</v>
      </c>
      <c r="AQ11" s="1">
        <f>[1]Results!AT1371</f>
        <v>-1.7989839594915649E-3</v>
      </c>
      <c r="AR11" s="1">
        <f>[1]Results!AU1371</f>
        <v>-1.8602473872383163E-3</v>
      </c>
      <c r="AS11" s="1">
        <f>[1]Results!AV1371</f>
        <v>-1.9242859451392735E-3</v>
      </c>
      <c r="AT11" s="1">
        <f>[1]Results!AW1371</f>
        <v>-1.9882370300556111E-3</v>
      </c>
      <c r="AU11" s="1">
        <f>[1]Results!AX1371</f>
        <v>-2.0509214623750998E-3</v>
      </c>
      <c r="AV11" s="1">
        <f>[1]Results!AY1371</f>
        <v>-2.1119831934364487E-3</v>
      </c>
      <c r="AW11" s="1">
        <f>[1]Results!AZ1371</f>
        <v>-2.1601626890340756E-3</v>
      </c>
      <c r="AX11" s="1">
        <f>[1]Results!BA1371</f>
        <v>-2.2052222187785324E-3</v>
      </c>
      <c r="AY11" s="1">
        <f>[1]Results!BB1371</f>
        <v>-2.2506661458144141E-3</v>
      </c>
      <c r="AZ11" s="1">
        <f>[1]Results!BC1371</f>
        <v>-2.2980369127329364E-3</v>
      </c>
      <c r="BA11" s="1">
        <f>[1]Results!BD1371</f>
        <v>-2.3479033218508781E-3</v>
      </c>
      <c r="BB11" s="1">
        <f>[1]Results!BE1371</f>
        <v>0</v>
      </c>
      <c r="BC11" s="1">
        <f>[1]Results!BF1371</f>
        <v>0</v>
      </c>
      <c r="BD11" s="1">
        <f>[1]Results!BG1371</f>
        <v>0</v>
      </c>
      <c r="BE11" s="1">
        <f>[1]Results!BH1371</f>
        <v>0</v>
      </c>
      <c r="BF11" s="1">
        <f>[1]Results!BI1371</f>
        <v>0</v>
      </c>
    </row>
    <row r="12" spans="1:58" x14ac:dyDescent="0.35">
      <c r="A12" s="3" t="str">
        <f>[1]Results!E1372</f>
        <v>100*((X_2-X_0)/GDP_0)-100*((M_2-M_0)/GDP_0)</v>
      </c>
      <c r="B12" t="s">
        <v>20</v>
      </c>
      <c r="C12" s="1">
        <f>[1]Results!F1372</f>
        <v>3.1642368735685595E-3</v>
      </c>
      <c r="D12" s="1">
        <f>[1]Results!G1372</f>
        <v>3.8247610559875101E-3</v>
      </c>
      <c r="E12" s="1">
        <f>[1]Results!H1372</f>
        <v>4.0991571416087872E-3</v>
      </c>
      <c r="F12" s="1">
        <f>[1]Results!I1372</f>
        <v>3.9854733512048688E-3</v>
      </c>
      <c r="G12" s="1">
        <f>[1]Results!J1372</f>
        <v>3.5907091816749382E-3</v>
      </c>
      <c r="H12" s="1">
        <f>[1]Results!K1372</f>
        <v>2.9490774807785381E-3</v>
      </c>
      <c r="I12" s="1">
        <f>[1]Results!L1372</f>
        <v>2.1119144775820584E-3</v>
      </c>
      <c r="J12" s="1">
        <f>[1]Results!M1372</f>
        <v>1.0031065826205058E-3</v>
      </c>
      <c r="K12" s="1">
        <f>[1]Results!N1372</f>
        <v>-4.4027153710561422E-4</v>
      </c>
      <c r="L12" s="1">
        <f>[1]Results!O1372</f>
        <v>-2.2411684138325255E-3</v>
      </c>
      <c r="M12" s="1">
        <f>[1]Results!P1372</f>
        <v>-4.3722056706093811E-3</v>
      </c>
      <c r="N12" s="1">
        <f>[1]Results!Q1372</f>
        <v>-6.7078122488117738E-3</v>
      </c>
      <c r="O12" s="1">
        <f>[1]Results!R1372</f>
        <v>-9.2528378791457803E-3</v>
      </c>
      <c r="P12" s="1">
        <f>[1]Results!S1372</f>
        <v>-1.1935589748433055E-2</v>
      </c>
      <c r="Q12" s="1">
        <f>[1]Results!T1372</f>
        <v>-1.4691405691188972E-2</v>
      </c>
      <c r="R12" s="1">
        <f>[1]Results!U1372</f>
        <v>-1.7466257634307012E-2</v>
      </c>
      <c r="S12" s="1">
        <f>[1]Results!V1372</f>
        <v>-2.0123875570728891E-2</v>
      </c>
      <c r="T12" s="1">
        <f>[1]Results!W1372</f>
        <v>-2.2724472802167571E-2</v>
      </c>
      <c r="U12" s="1">
        <f>[1]Results!X1372</f>
        <v>-2.5253942957499324E-2</v>
      </c>
      <c r="V12" s="1">
        <f>[1]Results!Y1372</f>
        <v>-2.7711131445566708E-2</v>
      </c>
      <c r="W12" s="1">
        <f>[1]Results!Z1372</f>
        <v>-3.0106392376375628E-2</v>
      </c>
      <c r="X12" s="1">
        <f>[1]Results!AA1372</f>
        <v>-3.2455327243722805E-2</v>
      </c>
      <c r="Y12" s="1">
        <f>[1]Results!AB1372</f>
        <v>-3.4774094839513423E-2</v>
      </c>
      <c r="Z12" s="1">
        <f>[1]Results!AC1372</f>
        <v>-3.7081356073332211E-2</v>
      </c>
      <c r="AA12" s="1">
        <f>[1]Results!AD1372</f>
        <v>-3.9394738303397257E-2</v>
      </c>
      <c r="AB12" s="1">
        <f>[1]Results!AE1372</f>
        <v>-4.1735358692706961E-2</v>
      </c>
      <c r="AC12" s="1">
        <f>[1]Results!AF1372</f>
        <v>-4.4170252775037222E-2</v>
      </c>
      <c r="AD12" s="1">
        <f>[1]Results!AG1372</f>
        <v>-4.666646852796625E-2</v>
      </c>
      <c r="AE12" s="1">
        <f>[1]Results!AH1372</f>
        <v>-4.9234642692900801E-2</v>
      </c>
      <c r="AF12" s="1">
        <f>[1]Results!AI1372</f>
        <v>-5.1879811799049179E-2</v>
      </c>
      <c r="AG12" s="1">
        <f>[1]Results!AJ1372</f>
        <v>-5.4602471282104798E-2</v>
      </c>
      <c r="AH12" s="1">
        <f>[1]Results!AK1372</f>
        <v>-5.7425160344234887E-2</v>
      </c>
      <c r="AI12" s="1">
        <f>[1]Results!AL1372</f>
        <v>-6.0320416815807583E-2</v>
      </c>
      <c r="AJ12" s="1">
        <f>[1]Results!AM1372</f>
        <v>-6.328251796311879E-2</v>
      </c>
      <c r="AK12" s="1">
        <f>[1]Results!AN1372</f>
        <v>-6.6304800471609179E-2</v>
      </c>
      <c r="AL12" s="1">
        <f>[1]Results!AO1372</f>
        <v>-6.938065890168095E-2</v>
      </c>
      <c r="AM12" s="1">
        <f>[1]Results!AP1372</f>
        <v>-7.2728212787605467E-2</v>
      </c>
      <c r="AN12" s="1">
        <f>[1]Results!AQ1372</f>
        <v>-7.6132479384649898E-2</v>
      </c>
      <c r="AO12" s="1">
        <f>[1]Results!AR1372</f>
        <v>-7.9582599108981869E-2</v>
      </c>
      <c r="AP12" s="1">
        <f>[1]Results!AS1372</f>
        <v>-8.3068308084713688E-2</v>
      </c>
      <c r="AQ12" s="1">
        <f>[1]Results!AT1372</f>
        <v>-8.6580217668227516E-2</v>
      </c>
      <c r="AR12" s="1">
        <f>[1]Results!AU1372</f>
        <v>-9.0828891046499535E-2</v>
      </c>
      <c r="AS12" s="1">
        <f>[1]Results!AV1372</f>
        <v>-9.6832568191889914E-2</v>
      </c>
      <c r="AT12" s="1">
        <f>[1]Results!AW1372</f>
        <v>-0.10530751087557401</v>
      </c>
      <c r="AU12" s="1">
        <f>[1]Results!AX1372</f>
        <v>-0.11655591333220537</v>
      </c>
      <c r="AV12" s="1">
        <f>[1]Results!AY1372</f>
        <v>-0.13052323504943403</v>
      </c>
      <c r="AW12" s="1">
        <f>[1]Results!AZ1372</f>
        <v>-0.14602306677547183</v>
      </c>
      <c r="AX12" s="1">
        <f>[1]Results!BA1372</f>
        <v>-0.16117938793738135</v>
      </c>
      <c r="AY12" s="1">
        <f>[1]Results!BB1372</f>
        <v>-0.17462883477184676</v>
      </c>
      <c r="AZ12" s="1">
        <f>[1]Results!BC1372</f>
        <v>-0.18557303502411593</v>
      </c>
      <c r="BA12" s="1">
        <f>[1]Results!BD1372</f>
        <v>-0.19373848459868281</v>
      </c>
      <c r="BB12" s="1">
        <f>[1]Results!BE1372</f>
        <v>-0.19320109391079338</v>
      </c>
      <c r="BC12" s="1">
        <f>[1]Results!BF1372</f>
        <v>-0.20237502709255517</v>
      </c>
      <c r="BD12" s="1">
        <f>[1]Results!BG1372</f>
        <v>-0.21158891458899307</v>
      </c>
      <c r="BE12" s="1">
        <f>[1]Results!BH1372</f>
        <v>-0.22082829874555396</v>
      </c>
      <c r="BF12" s="1">
        <f>[1]Results!BI1372</f>
        <v>-0.23008438738529277</v>
      </c>
    </row>
    <row r="13" spans="1:58" x14ac:dyDescent="0.35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-4.1546264011062045E-3</v>
      </c>
      <c r="D13" s="1">
        <f>[1]Results!G1373</f>
        <v>-6.6979899844122927E-3</v>
      </c>
      <c r="E13" s="1">
        <f>[1]Results!H1373</f>
        <v>-7.4536979495765003E-3</v>
      </c>
      <c r="F13" s="1">
        <f>[1]Results!I1373</f>
        <v>-7.4688872434951308E-3</v>
      </c>
      <c r="G13" s="1">
        <f>[1]Results!J1373</f>
        <v>-7.7132007734549311E-3</v>
      </c>
      <c r="H13" s="1">
        <f>[1]Results!K1373</f>
        <v>-8.6318205792306375E-3</v>
      </c>
      <c r="I13" s="1">
        <f>[1]Results!L1373</f>
        <v>-1.0186050900566533E-2</v>
      </c>
      <c r="J13" s="1">
        <f>[1]Results!M1373</f>
        <v>-1.2081616903016375E-2</v>
      </c>
      <c r="K13" s="1">
        <f>[1]Results!N1373</f>
        <v>-1.3999195656618236E-2</v>
      </c>
      <c r="L13" s="1">
        <f>[1]Results!O1373</f>
        <v>-1.5709975419947779E-2</v>
      </c>
      <c r="M13" s="1">
        <f>[1]Results!P1373</f>
        <v>-1.7121460698078343E-2</v>
      </c>
      <c r="N13" s="1">
        <f>[1]Results!Q1373</f>
        <v>-1.821349438245792E-2</v>
      </c>
      <c r="O13" s="1">
        <f>[1]Results!R1373</f>
        <v>-1.9044684959343319E-2</v>
      </c>
      <c r="P13" s="1">
        <f>[1]Results!S1373</f>
        <v>-1.9719849030348117E-2</v>
      </c>
      <c r="Q13" s="1">
        <f>[1]Results!T1373</f>
        <v>-2.0342745974946019E-2</v>
      </c>
      <c r="R13" s="1">
        <f>[1]Results!U1373</f>
        <v>-2.0997193283453869E-2</v>
      </c>
      <c r="S13" s="1">
        <f>[1]Results!V1373</f>
        <v>-2.17611703672311E-2</v>
      </c>
      <c r="T13" s="1">
        <f>[1]Results!W1373</f>
        <v>-2.2670623699361875E-2</v>
      </c>
      <c r="U13" s="1">
        <f>[1]Results!X1373</f>
        <v>-2.3752755257107398E-2</v>
      </c>
      <c r="V13" s="1">
        <f>[1]Results!Y1373</f>
        <v>-2.5018086532459613E-2</v>
      </c>
      <c r="W13" s="1">
        <f>[1]Results!Z1373</f>
        <v>-2.6442578284913323E-2</v>
      </c>
      <c r="X13" s="1">
        <f>[1]Results!AA1373</f>
        <v>-2.80375205230632E-2</v>
      </c>
      <c r="Y13" s="1">
        <f>[1]Results!AB1373</f>
        <v>-2.9771613771439154E-2</v>
      </c>
      <c r="Z13" s="1">
        <f>[1]Results!AC1373</f>
        <v>-3.1609239706487609E-2</v>
      </c>
      <c r="AA13" s="1">
        <f>[1]Results!AD1373</f>
        <v>-3.3520863303677081E-2</v>
      </c>
      <c r="AB13" s="1">
        <f>[1]Results!AE1373</f>
        <v>-3.5418361377511559E-2</v>
      </c>
      <c r="AC13" s="1">
        <f>[1]Results!AF1373</f>
        <v>-3.7339670040818548E-2</v>
      </c>
      <c r="AD13" s="1">
        <f>[1]Results!AG1373</f>
        <v>-3.9271544476833925E-2</v>
      </c>
      <c r="AE13" s="1">
        <f>[1]Results!AH1373</f>
        <v>-4.1185104420580855E-2</v>
      </c>
      <c r="AF13" s="1">
        <f>[1]Results!AI1373</f>
        <v>-4.3064494431326969E-2</v>
      </c>
      <c r="AG13" s="1">
        <f>[1]Results!AJ1373</f>
        <v>-4.490560286290024E-2</v>
      </c>
      <c r="AH13" s="1">
        <f>[1]Results!AK1373</f>
        <v>-4.6706553982095958E-2</v>
      </c>
      <c r="AI13" s="1">
        <f>[1]Results!AL1373</f>
        <v>-4.8476572975035798E-2</v>
      </c>
      <c r="AJ13" s="1">
        <f>[1]Results!AM1373</f>
        <v>-5.0224290304717256E-2</v>
      </c>
      <c r="AK13" s="1">
        <f>[1]Results!AN1373</f>
        <v>-5.1959308219833154E-2</v>
      </c>
      <c r="AL13" s="1">
        <f>[1]Results!AO1373</f>
        <v>-5.3692332996165819E-2</v>
      </c>
      <c r="AM13" s="1">
        <f>[1]Results!AP1373</f>
        <v>-5.5359488820452656E-2</v>
      </c>
      <c r="AN13" s="1">
        <f>[1]Results!AQ1373</f>
        <v>-5.6990110546411933E-2</v>
      </c>
      <c r="AO13" s="1">
        <f>[1]Results!AR1373</f>
        <v>-5.8579869042395573E-2</v>
      </c>
      <c r="AP13" s="1">
        <f>[1]Results!AS1373</f>
        <v>-6.0114366138670487E-2</v>
      </c>
      <c r="AQ13" s="1">
        <f>[1]Results!AT1373</f>
        <v>-6.1593304679150668E-2</v>
      </c>
      <c r="AR13" s="1">
        <f>[1]Results!AU1373</f>
        <v>-6.682355097818822E-2</v>
      </c>
      <c r="AS13" s="1">
        <f>[1]Results!AV1373</f>
        <v>-7.5177797126637913E-2</v>
      </c>
      <c r="AT13" s="1">
        <f>[1]Results!AW1373</f>
        <v>-8.4575002531499577E-2</v>
      </c>
      <c r="AU13" s="1">
        <f>[1]Results!AX1373</f>
        <v>-9.3213737492675752E-2</v>
      </c>
      <c r="AV13" s="1">
        <f>[1]Results!AY1373</f>
        <v>-0.10012191334242006</v>
      </c>
      <c r="AW13" s="1">
        <f>[1]Results!AZ1373</f>
        <v>-9.9918672043606244E-2</v>
      </c>
      <c r="AX13" s="1">
        <f>[1]Results!BA1373</f>
        <v>-9.3795443074377732E-2</v>
      </c>
      <c r="AY13" s="1">
        <f>[1]Results!BB1373</f>
        <v>-8.5112958904589128E-2</v>
      </c>
      <c r="AZ13" s="1">
        <f>[1]Results!BC1373</f>
        <v>-7.6855929665551673E-2</v>
      </c>
      <c r="BA13" s="1">
        <f>[1]Results!BD1373</f>
        <v>-7.0783552141700137E-2</v>
      </c>
      <c r="BB13" s="1">
        <f>[1]Results!BE1373</f>
        <v>2.6026198978007193E-2</v>
      </c>
      <c r="BC13" s="1">
        <f>[1]Results!BF1373</f>
        <v>2.8054577078108104E-2</v>
      </c>
      <c r="BD13" s="1">
        <f>[1]Results!BG1373</f>
        <v>2.9998808361020476E-2</v>
      </c>
      <c r="BE13" s="1">
        <f>[1]Results!BH1373</f>
        <v>3.1809355117782684E-2</v>
      </c>
      <c r="BF13" s="1">
        <f>[1]Results!BI1373</f>
        <v>3.3456583928692905E-2</v>
      </c>
    </row>
    <row r="14" spans="1:58" x14ac:dyDescent="0.35">
      <c r="A14" s="3" t="str">
        <f>[1]Results!E1374</f>
        <v>100*((I_2+CH_ccon_2-(I_0+CH_ccon_0))/GDP_0)</v>
      </c>
      <c r="B14" t="s">
        <v>21</v>
      </c>
      <c r="C14" s="1">
        <f>[1]Results!F1374</f>
        <v>-2.2423069280846299E-3</v>
      </c>
      <c r="D14" s="1">
        <f>[1]Results!G1374</f>
        <v>-4.436201429610904E-3</v>
      </c>
      <c r="E14" s="1">
        <f>[1]Results!H1374</f>
        <v>-6.2776918116214031E-3</v>
      </c>
      <c r="F14" s="1">
        <f>[1]Results!I1374</f>
        <v>-7.7893937892423533E-3</v>
      </c>
      <c r="G14" s="1">
        <f>[1]Results!J1374</f>
        <v>-9.2484046738331872E-3</v>
      </c>
      <c r="H14" s="1">
        <f>[1]Results!K1374</f>
        <v>-1.0930599756810419E-2</v>
      </c>
      <c r="I14" s="1">
        <f>[1]Results!L1374</f>
        <v>-1.2947312206665257E-2</v>
      </c>
      <c r="J14" s="1">
        <f>[1]Results!M1374</f>
        <v>-1.5276889705930212E-2</v>
      </c>
      <c r="K14" s="1">
        <f>[1]Results!N1374</f>
        <v>-1.7840622766426024E-2</v>
      </c>
      <c r="L14" s="1">
        <f>[1]Results!O1374</f>
        <v>-2.0541380136036427E-2</v>
      </c>
      <c r="M14" s="1">
        <f>[1]Results!P1374</f>
        <v>-2.3285138148482171E-2</v>
      </c>
      <c r="N14" s="1">
        <f>[1]Results!Q1374</f>
        <v>-2.6046095533476664E-2</v>
      </c>
      <c r="O14" s="1">
        <f>[1]Results!R1374</f>
        <v>-2.8756459549504232E-2</v>
      </c>
      <c r="P14" s="1">
        <f>[1]Results!S1374</f>
        <v>-3.139982576410362E-2</v>
      </c>
      <c r="Q14" s="1">
        <f>[1]Results!T1374</f>
        <v>-3.397498012004263E-2</v>
      </c>
      <c r="R14" s="1">
        <f>[1]Results!U1374</f>
        <v>-3.6486146032809016E-2</v>
      </c>
      <c r="S14" s="1">
        <f>[1]Results!V1374</f>
        <v>-3.8965461712850091E-2</v>
      </c>
      <c r="T14" s="1">
        <f>[1]Results!W1374</f>
        <v>-4.1401477085182714E-2</v>
      </c>
      <c r="U14" s="1">
        <f>[1]Results!X1374</f>
        <v>-4.3802528339116853E-2</v>
      </c>
      <c r="V14" s="1">
        <f>[1]Results!Y1374</f>
        <v>-4.6180060783735356E-2</v>
      </c>
      <c r="W14" s="1">
        <f>[1]Results!Z1374</f>
        <v>-4.8554660879881376E-2</v>
      </c>
      <c r="X14" s="1">
        <f>[1]Results!AA1374</f>
        <v>-5.0912391991677977E-2</v>
      </c>
      <c r="Y14" s="1">
        <f>[1]Results!AB1374</f>
        <v>-5.3274175478546765E-2</v>
      </c>
      <c r="Z14" s="1">
        <f>[1]Results!AC1374</f>
        <v>-5.5639098185684577E-2</v>
      </c>
      <c r="AA14" s="1">
        <f>[1]Results!AD1374</f>
        <v>-5.8004840533784727E-2</v>
      </c>
      <c r="AB14" s="1">
        <f>[1]Results!AE1374</f>
        <v>-6.0399766284812473E-2</v>
      </c>
      <c r="AC14" s="1">
        <f>[1]Results!AF1374</f>
        <v>-6.2750184147612464E-2</v>
      </c>
      <c r="AD14" s="1">
        <f>[1]Results!AG1374</f>
        <v>-6.5092789985702768E-2</v>
      </c>
      <c r="AE14" s="1">
        <f>[1]Results!AH1374</f>
        <v>-6.7416940892353797E-2</v>
      </c>
      <c r="AF14" s="1">
        <f>[1]Results!AI1374</f>
        <v>-6.9709876312422009E-2</v>
      </c>
      <c r="AG14" s="1">
        <f>[1]Results!AJ1374</f>
        <v>-7.1959768560549517E-2</v>
      </c>
      <c r="AH14" s="1">
        <f>[1]Results!AK1374</f>
        <v>-7.4150207028380044E-2</v>
      </c>
      <c r="AI14" s="1">
        <f>[1]Results!AL1374</f>
        <v>-7.6278366184201543E-2</v>
      </c>
      <c r="AJ14" s="1">
        <f>[1]Results!AM1374</f>
        <v>-7.8338906107503103E-2</v>
      </c>
      <c r="AK14" s="1">
        <f>[1]Results!AN1374</f>
        <v>-8.0327518576798637E-2</v>
      </c>
      <c r="AL14" s="1">
        <f>[1]Results!AO1374</f>
        <v>-8.2241414472387267E-2</v>
      </c>
      <c r="AM14" s="1">
        <f>[1]Results!AP1374</f>
        <v>-8.4026151864371887E-2</v>
      </c>
      <c r="AN14" s="1">
        <f>[1]Results!AQ1374</f>
        <v>-8.5709221424888932E-2</v>
      </c>
      <c r="AO14" s="1">
        <f>[1]Results!AR1374</f>
        <v>-8.7280037683551748E-2</v>
      </c>
      <c r="AP14" s="1">
        <f>[1]Results!AS1374</f>
        <v>-8.8718886138302533E-2</v>
      </c>
      <c r="AQ14" s="1">
        <f>[1]Results!AT1374</f>
        <v>-9.0014076325873771E-2</v>
      </c>
      <c r="AR14" s="1">
        <f>[1]Results!AU1374</f>
        <v>-9.2768532135325044E-2</v>
      </c>
      <c r="AS14" s="1">
        <f>[1]Results!AV1374</f>
        <v>-9.7631898340590537E-2</v>
      </c>
      <c r="AT14" s="1">
        <f>[1]Results!AW1374</f>
        <v>-0.10448401583187485</v>
      </c>
      <c r="AU14" s="1">
        <f>[1]Results!AX1374</f>
        <v>-0.11281077990560923</v>
      </c>
      <c r="AV14" s="1">
        <f>[1]Results!AY1374</f>
        <v>-0.12202756409940049</v>
      </c>
      <c r="AW14" s="1">
        <f>[1]Results!AZ1374</f>
        <v>-0.12944814096480747</v>
      </c>
      <c r="AX14" s="1">
        <f>[1]Results!BA1374</f>
        <v>-0.13393547284044774</v>
      </c>
      <c r="AY14" s="1">
        <f>[1]Results!BB1374</f>
        <v>-0.13551923828417889</v>
      </c>
      <c r="AZ14" s="1">
        <f>[1]Results!BC1374</f>
        <v>-0.13484318585803401</v>
      </c>
      <c r="BA14" s="1">
        <f>[1]Results!BD1374</f>
        <v>-0.13267946199690978</v>
      </c>
      <c r="BB14" s="1">
        <f>[1]Results!BE1374</f>
        <v>-5.9201745623804168E-3</v>
      </c>
      <c r="BC14" s="1">
        <f>[1]Results!BF1374</f>
        <v>-7.2690977721502409E-4</v>
      </c>
      <c r="BD14" s="1">
        <f>[1]Results!BG1374</f>
        <v>4.8729519274250564E-3</v>
      </c>
      <c r="BE14" s="1">
        <f>[1]Results!BH1374</f>
        <v>1.0844828951787504E-2</v>
      </c>
      <c r="BF14" s="1">
        <f>[1]Results!BI1374</f>
        <v>1.7152317286497642E-2</v>
      </c>
    </row>
    <row r="15" spans="1:58" x14ac:dyDescent="0.35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-1.9836296820774191E-3</v>
      </c>
      <c r="D15" s="1">
        <f>[1]Results!G1375</f>
        <v>-3.8667253473525596E-3</v>
      </c>
      <c r="E15" s="1">
        <f>[1]Results!H1375</f>
        <v>-5.5165312028686731E-3</v>
      </c>
      <c r="F15" s="1">
        <f>[1]Results!I1375</f>
        <v>-6.9169053480821188E-3</v>
      </c>
      <c r="G15" s="1">
        <f>[1]Results!J1375</f>
        <v>-8.282029480273052E-3</v>
      </c>
      <c r="H15" s="1">
        <f>[1]Results!K1375</f>
        <v>-9.840767438060713E-3</v>
      </c>
      <c r="I15" s="1">
        <f>[1]Results!L1375</f>
        <v>-1.1702007218247287E-2</v>
      </c>
      <c r="J15" s="1">
        <f>[1]Results!M1375</f>
        <v>-1.3856160234185599E-2</v>
      </c>
      <c r="K15" s="1">
        <f>[1]Results!N1375</f>
        <v>-1.6239974900069908E-2</v>
      </c>
      <c r="L15" s="1">
        <f>[1]Results!O1375</f>
        <v>-1.8769725253320359E-2</v>
      </c>
      <c r="M15" s="1">
        <f>[1]Results!P1375</f>
        <v>-2.1360499812902136E-2</v>
      </c>
      <c r="N15" s="1">
        <f>[1]Results!Q1375</f>
        <v>-2.3988337753345079E-2</v>
      </c>
      <c r="O15" s="1">
        <f>[1]Results!R1375</f>
        <v>-2.6586154879117141E-2</v>
      </c>
      <c r="P15" s="1">
        <f>[1]Results!S1375</f>
        <v>-2.9134419173175663E-2</v>
      </c>
      <c r="Q15" s="1">
        <f>[1]Results!T1375</f>
        <v>-3.1628198535194989E-2</v>
      </c>
      <c r="R15" s="1">
        <f>[1]Results!U1375</f>
        <v>-3.4068712487991037E-2</v>
      </c>
      <c r="S15" s="1">
        <f>[1]Results!V1375</f>
        <v>-3.6484348237539807E-2</v>
      </c>
      <c r="T15" s="1">
        <f>[1]Results!W1375</f>
        <v>-3.8861698314771813E-2</v>
      </c>
      <c r="U15" s="1">
        <f>[1]Results!X1375</f>
        <v>-4.1206970352188621E-2</v>
      </c>
      <c r="V15" s="1">
        <f>[1]Results!Y1375</f>
        <v>-4.3529680945045127E-2</v>
      </c>
      <c r="W15" s="1">
        <f>[1]Results!Z1375</f>
        <v>-4.5848603977288564E-2</v>
      </c>
      <c r="X15" s="1">
        <f>[1]Results!AA1375</f>
        <v>-4.8149377784324203E-2</v>
      </c>
      <c r="Y15" s="1">
        <f>[1]Results!AB1375</f>
        <v>-5.0451977948130715E-2</v>
      </c>
      <c r="Z15" s="1">
        <f>[1]Results!AC1375</f>
        <v>-5.275598022578229E-2</v>
      </c>
      <c r="AA15" s="1">
        <f>[1]Results!AD1375</f>
        <v>-5.5059642549014291E-2</v>
      </c>
      <c r="AB15" s="1">
        <f>[1]Results!AE1375</f>
        <v>-5.7391180106601859E-2</v>
      </c>
      <c r="AC15" s="1">
        <f>[1]Results!AF1375</f>
        <v>-5.9678834788559357E-2</v>
      </c>
      <c r="AD15" s="1">
        <f>[1]Results!AG1375</f>
        <v>-6.1958264312210923E-2</v>
      </c>
      <c r="AE15" s="1">
        <f>[1]Results!AH1375</f>
        <v>-6.422017186164318E-2</v>
      </c>
      <c r="AF15" s="1">
        <f>[1]Results!AI1375</f>
        <v>-6.645303324845539E-2</v>
      </c>
      <c r="AG15" s="1">
        <f>[1]Results!AJ1375</f>
        <v>-6.8645902422861726E-2</v>
      </c>
      <c r="AH15" s="1">
        <f>[1]Results!AK1375</f>
        <v>-7.0783212121377989E-2</v>
      </c>
      <c r="AI15" s="1">
        <f>[1]Results!AL1375</f>
        <v>-7.2862244107675528E-2</v>
      </c>
      <c r="AJ15" s="1">
        <f>[1]Results!AM1375</f>
        <v>-7.4877639425729753E-2</v>
      </c>
      <c r="AK15" s="1">
        <f>[1]Results!AN1375</f>
        <v>-7.6824937629628998E-2</v>
      </c>
      <c r="AL15" s="1">
        <f>[1]Results!AO1375</f>
        <v>-7.8701077321296359E-2</v>
      </c>
      <c r="AM15" s="1">
        <f>[1]Results!AP1375</f>
        <v>-8.0454499781628566E-2</v>
      </c>
      <c r="AN15" s="1">
        <f>[1]Results!AQ1375</f>
        <v>-8.2111691096555792E-2</v>
      </c>
      <c r="AO15" s="1">
        <f>[1]Results!AR1375</f>
        <v>-8.3665405101596285E-2</v>
      </c>
      <c r="AP15" s="1">
        <f>[1]Results!AS1375</f>
        <v>-8.5098835760012079E-2</v>
      </c>
      <c r="AQ15" s="1">
        <f>[1]Results!AT1375</f>
        <v>-8.6400440673205237E-2</v>
      </c>
      <c r="AR15" s="1">
        <f>[1]Results!AU1375</f>
        <v>-8.8977764728217015E-2</v>
      </c>
      <c r="AS15" s="1">
        <f>[1]Results!AV1375</f>
        <v>-9.3459532617213098E-2</v>
      </c>
      <c r="AT15" s="1">
        <f>[1]Results!AW1375</f>
        <v>-9.9799082545354273E-2</v>
      </c>
      <c r="AU15" s="1">
        <f>[1]Results!AX1375</f>
        <v>-0.10757763208389677</v>
      </c>
      <c r="AV15" s="1">
        <f>[1]Results!AY1375</f>
        <v>-0.11628592684643302</v>
      </c>
      <c r="AW15" s="1">
        <f>[1]Results!AZ1375</f>
        <v>-0.12354477261936445</v>
      </c>
      <c r="AX15" s="1">
        <f>[1]Results!BA1375</f>
        <v>-0.12824862369947193</v>
      </c>
      <c r="AY15" s="1">
        <f>[1]Results!BB1375</f>
        <v>-0.13031411771996015</v>
      </c>
      <c r="AZ15" s="1">
        <f>[1]Results!BC1375</f>
        <v>-0.13023916399115174</v>
      </c>
      <c r="BA15" s="1">
        <f>[1]Results!BD1375</f>
        <v>-0.12867960286868965</v>
      </c>
      <c r="BB15" s="1">
        <f>[1]Results!BE1375</f>
        <v>-3.6374125724455979E-3</v>
      </c>
      <c r="BC15" s="1">
        <f>[1]Results!BF1375</f>
        <v>1.4909450650637188E-3</v>
      </c>
      <c r="BD15" s="1">
        <f>[1]Results!BG1375</f>
        <v>7.0179858722023399E-3</v>
      </c>
      <c r="BE15" s="1">
        <f>[1]Results!BH1375</f>
        <v>1.2911954943280624E-2</v>
      </c>
      <c r="BF15" s="1">
        <f>[1]Results!BI1375</f>
        <v>1.9138570094063296E-2</v>
      </c>
    </row>
    <row r="16" spans="1:58" x14ac:dyDescent="0.35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-1.5026117094251118E-4</v>
      </c>
      <c r="D16" s="1">
        <f>[1]Results!G1376</f>
        <v>-3.4690561640191302E-4</v>
      </c>
      <c r="E16" s="1">
        <f>[1]Results!H1376</f>
        <v>-4.5999211659878645E-4</v>
      </c>
      <c r="F16" s="1">
        <f>[1]Results!I1376</f>
        <v>-5.1968879385359975E-4</v>
      </c>
      <c r="G16" s="1">
        <f>[1]Results!J1376</f>
        <v>-5.6733409681976072E-4</v>
      </c>
      <c r="H16" s="1">
        <f>[1]Results!K1376</f>
        <v>-6.3357938903420231E-4</v>
      </c>
      <c r="I16" s="1">
        <f>[1]Results!L1376</f>
        <v>-7.1662898589152128E-4</v>
      </c>
      <c r="J16" s="1">
        <f>[1]Results!M1376</f>
        <v>-8.0773735211051435E-4</v>
      </c>
      <c r="K16" s="1">
        <f>[1]Results!N1376</f>
        <v>-8.9757469268452134E-4</v>
      </c>
      <c r="L16" s="1">
        <f>[1]Results!O1376</f>
        <v>-9.7901848764235218E-4</v>
      </c>
      <c r="M16" s="1">
        <f>[1]Results!P1376</f>
        <v>-1.0481002718558854E-3</v>
      </c>
      <c r="N16" s="1">
        <f>[1]Results!Q1376</f>
        <v>-1.1058831105276133E-3</v>
      </c>
      <c r="O16" s="1">
        <f>[1]Results!R1376</f>
        <v>-1.1536672107946137E-3</v>
      </c>
      <c r="P16" s="1">
        <f>[1]Results!S1376</f>
        <v>-1.1945992651270242E-3</v>
      </c>
      <c r="Q16" s="1">
        <f>[1]Results!T1376</f>
        <v>-1.231709714880364E-3</v>
      </c>
      <c r="R16" s="1">
        <f>[1]Results!U1376</f>
        <v>-1.2670488627596558E-3</v>
      </c>
      <c r="S16" s="1">
        <f>[1]Results!V1376</f>
        <v>-1.3030291244692602E-3</v>
      </c>
      <c r="T16" s="1">
        <f>[1]Results!W1376</f>
        <v>-1.3404666584327901E-3</v>
      </c>
      <c r="U16" s="1">
        <f>[1]Results!X1376</f>
        <v>-1.3800229347052917E-3</v>
      </c>
      <c r="V16" s="1">
        <f>[1]Results!Y1376</f>
        <v>-1.4221603604479133E-3</v>
      </c>
      <c r="W16" s="1">
        <f>[1]Results!Z1376</f>
        <v>-1.4673327940808497E-3</v>
      </c>
      <c r="X16" s="1">
        <f>[1]Results!AA1376</f>
        <v>-1.515029582297352E-3</v>
      </c>
      <c r="Y16" s="1">
        <f>[1]Results!AB1376</f>
        <v>-1.5652048600737131E-3</v>
      </c>
      <c r="Z16" s="1">
        <f>[1]Results!AC1376</f>
        <v>-1.6170963086692895E-3</v>
      </c>
      <c r="AA16" s="1">
        <f>[1]Results!AD1376</f>
        <v>-1.669956214792899E-3</v>
      </c>
      <c r="AB16" s="1">
        <f>[1]Results!AE1376</f>
        <v>-1.7237629988626913E-3</v>
      </c>
      <c r="AC16" s="1">
        <f>[1]Results!AF1376</f>
        <v>-1.7767643718791884E-3</v>
      </c>
      <c r="AD16" s="1">
        <f>[1]Results!AG1376</f>
        <v>-1.829408952863459E-3</v>
      </c>
      <c r="AE16" s="1">
        <f>[1]Results!AH1376</f>
        <v>-1.8809662014484365E-3</v>
      </c>
      <c r="AF16" s="1">
        <f>[1]Results!AI1376</f>
        <v>-1.9308219913013248E-3</v>
      </c>
      <c r="AG16" s="1">
        <f>[1]Results!AJ1376</f>
        <v>-1.9785972712528413E-3</v>
      </c>
      <c r="AH16" s="1">
        <f>[1]Results!AK1376</f>
        <v>-2.0238916576097755E-3</v>
      </c>
      <c r="AI16" s="1">
        <f>[1]Results!AL1376</f>
        <v>-2.066801009640584E-3</v>
      </c>
      <c r="AJ16" s="1">
        <f>[1]Results!AM1376</f>
        <v>-2.1075046766382785E-3</v>
      </c>
      <c r="AK16" s="1">
        <f>[1]Results!AN1376</f>
        <v>-2.1462294778290293E-3</v>
      </c>
      <c r="AL16" s="1">
        <f>[1]Results!AO1376</f>
        <v>-2.1832270358913049E-3</v>
      </c>
      <c r="AM16" s="1">
        <f>[1]Results!AP1376</f>
        <v>-2.2164550592102174E-3</v>
      </c>
      <c r="AN16" s="1">
        <f>[1]Results!AQ1376</f>
        <v>-2.2465701219487417E-3</v>
      </c>
      <c r="AO16" s="1">
        <f>[1]Results!AR1376</f>
        <v>-2.2708689377137913E-3</v>
      </c>
      <c r="AP16" s="1">
        <f>[1]Results!AS1376</f>
        <v>-2.2872948780337434E-3</v>
      </c>
      <c r="AQ16" s="1">
        <f>[1]Results!AT1376</f>
        <v>-2.2960356881603998E-3</v>
      </c>
      <c r="AR16" s="1">
        <f>[1]Results!AU1376</f>
        <v>-2.3848355622667719E-3</v>
      </c>
      <c r="AS16" s="1">
        <f>[1]Results!AV1376</f>
        <v>-2.5545605929534528E-3</v>
      </c>
      <c r="AT16" s="1">
        <f>[1]Results!AW1376</f>
        <v>-2.760052760903413E-3</v>
      </c>
      <c r="AU16" s="1">
        <f>[1]Results!AX1376</f>
        <v>-2.9491629512073754E-3</v>
      </c>
      <c r="AV16" s="1">
        <f>[1]Results!AY1376</f>
        <v>-3.0854747114411676E-3</v>
      </c>
      <c r="AW16" s="1">
        <f>[1]Results!AZ1376</f>
        <v>-3.036529267887961E-3</v>
      </c>
      <c r="AX16" s="1">
        <f>[1]Results!BA1376</f>
        <v>-2.8121297939392525E-3</v>
      </c>
      <c r="AY16" s="1">
        <f>[1]Results!BB1376</f>
        <v>-2.49264600186113E-3</v>
      </c>
      <c r="AZ16" s="1">
        <f>[1]Results!BC1376</f>
        <v>-2.1667297850086714E-3</v>
      </c>
      <c r="BA16" s="1">
        <f>[1]Results!BD1376</f>
        <v>-1.8972521235641096E-3</v>
      </c>
      <c r="BB16" s="1">
        <f>[1]Results!BE1376</f>
        <v>-1.3989381314381863E-3</v>
      </c>
      <c r="BC16" s="1">
        <f>[1]Results!BF1376</f>
        <v>-1.4564053653442521E-3</v>
      </c>
      <c r="BD16" s="1">
        <f>[1]Results!BG1376</f>
        <v>-1.5144837212395438E-3</v>
      </c>
      <c r="BE16" s="1">
        <f>[1]Results!BH1376</f>
        <v>-1.5743736762150961E-3</v>
      </c>
      <c r="BF16" s="1">
        <f>[1]Results!BI1376</f>
        <v>-1.6368618378615565E-3</v>
      </c>
    </row>
    <row r="17" spans="1:58" x14ac:dyDescent="0.35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-1.0841607506188938E-4</v>
      </c>
      <c r="D17" s="1">
        <f>[1]Results!G1377</f>
        <v>-2.2257046585806404E-4</v>
      </c>
      <c r="E17" s="1">
        <f>[1]Results!H1377</f>
        <v>-3.0116849215410473E-4</v>
      </c>
      <c r="F17" s="1">
        <f>[1]Results!I1377</f>
        <v>-3.5279964730727012E-4</v>
      </c>
      <c r="G17" s="1">
        <f>[1]Results!J1377</f>
        <v>-3.9904109673865261E-4</v>
      </c>
      <c r="H17" s="1">
        <f>[1]Results!K1377</f>
        <v>-4.5625292971904636E-4</v>
      </c>
      <c r="I17" s="1">
        <f>[1]Results!L1377</f>
        <v>-5.2867600252447765E-4</v>
      </c>
      <c r="J17" s="1">
        <f>[1]Results!M1377</f>
        <v>-6.1299211963380246E-4</v>
      </c>
      <c r="K17" s="1">
        <f>[1]Results!N1377</f>
        <v>-7.0307317367071238E-4</v>
      </c>
      <c r="L17" s="1">
        <f>[1]Results!O1377</f>
        <v>-7.9263639507602625E-4</v>
      </c>
      <c r="M17" s="1">
        <f>[1]Results!P1377</f>
        <v>-8.7653806372685068E-4</v>
      </c>
      <c r="N17" s="1">
        <f>[1]Results!Q1377</f>
        <v>-9.5187466960564818E-4</v>
      </c>
      <c r="O17" s="1">
        <f>[1]Results!R1377</f>
        <v>-1.0166374595920622E-3</v>
      </c>
      <c r="P17" s="1">
        <f>[1]Results!S1377</f>
        <v>-1.0708073257989057E-3</v>
      </c>
      <c r="Q17" s="1">
        <f>[1]Results!T1377</f>
        <v>-1.1150718699715362E-3</v>
      </c>
      <c r="R17" s="1">
        <f>[1]Results!U1377</f>
        <v>-1.1503846820579253E-3</v>
      </c>
      <c r="S17" s="1">
        <f>[1]Results!V1377</f>
        <v>-1.1780843508403893E-3</v>
      </c>
      <c r="T17" s="1">
        <f>[1]Results!W1377</f>
        <v>-1.1993121119815372E-3</v>
      </c>
      <c r="U17" s="1">
        <f>[1]Results!X1377</f>
        <v>-1.2155350522189451E-3</v>
      </c>
      <c r="V17" s="1">
        <f>[1]Results!Y1377</f>
        <v>-1.228219478236903E-3</v>
      </c>
      <c r="W17" s="1">
        <f>[1]Results!Z1377</f>
        <v>-1.2387241085126904E-3</v>
      </c>
      <c r="X17" s="1">
        <f>[1]Results!AA1377</f>
        <v>-1.2479846250564273E-3</v>
      </c>
      <c r="Y17" s="1">
        <f>[1]Results!AB1377</f>
        <v>-1.256992670341751E-3</v>
      </c>
      <c r="Z17" s="1">
        <f>[1]Results!AC1377</f>
        <v>-1.2660216512332225E-3</v>
      </c>
      <c r="AA17" s="1">
        <f>[1]Results!AD1377</f>
        <v>-1.2752417699806069E-3</v>
      </c>
      <c r="AB17" s="1">
        <f>[1]Results!AE1377</f>
        <v>-1.2848231793471385E-3</v>
      </c>
      <c r="AC17" s="1">
        <f>[1]Results!AF1377</f>
        <v>-1.2945849871723769E-3</v>
      </c>
      <c r="AD17" s="1">
        <f>[1]Results!AG1377</f>
        <v>-1.3051167206287217E-3</v>
      </c>
      <c r="AE17" s="1">
        <f>[1]Results!AH1377</f>
        <v>-1.3158028292649744E-3</v>
      </c>
      <c r="AF17" s="1">
        <f>[1]Results!AI1377</f>
        <v>-1.3260210726633913E-3</v>
      </c>
      <c r="AG17" s="1">
        <f>[1]Results!AJ1377</f>
        <v>-1.3352688664356742E-3</v>
      </c>
      <c r="AH17" s="1">
        <f>[1]Results!AK1377</f>
        <v>-1.3431032493922879E-3</v>
      </c>
      <c r="AI17" s="1">
        <f>[1]Results!AL1377</f>
        <v>-1.3493210668825929E-3</v>
      </c>
      <c r="AJ17" s="1">
        <f>[1]Results!AM1377</f>
        <v>-1.3537620051361789E-3</v>
      </c>
      <c r="AK17" s="1">
        <f>[1]Results!AN1377</f>
        <v>-1.3563514693405074E-3</v>
      </c>
      <c r="AL17" s="1">
        <f>[1]Results!AO1377</f>
        <v>-1.3571101151998951E-3</v>
      </c>
      <c r="AM17" s="1">
        <f>[1]Results!AP1377</f>
        <v>-1.3551970235319364E-3</v>
      </c>
      <c r="AN17" s="1">
        <f>[1]Results!AQ1377</f>
        <v>-1.3509602063843059E-3</v>
      </c>
      <c r="AO17" s="1">
        <f>[1]Results!AR1377</f>
        <v>-1.3437636442415869E-3</v>
      </c>
      <c r="AP17" s="1">
        <f>[1]Results!AS1377</f>
        <v>-1.3327555002579153E-3</v>
      </c>
      <c r="AQ17" s="1">
        <f>[1]Results!AT1377</f>
        <v>-1.3175999645103258E-3</v>
      </c>
      <c r="AR17" s="1">
        <f>[1]Results!AU1377</f>
        <v>-1.4059318448425197E-3</v>
      </c>
      <c r="AS17" s="1">
        <f>[1]Results!AV1377</f>
        <v>-1.6178051304259287E-3</v>
      </c>
      <c r="AT17" s="1">
        <f>[1]Results!AW1377</f>
        <v>-1.9248805256159335E-3</v>
      </c>
      <c r="AU17" s="1">
        <f>[1]Results!AX1377</f>
        <v>-2.2839848705038927E-3</v>
      </c>
      <c r="AV17" s="1">
        <f>[1]Results!AY1377</f>
        <v>-2.6561625415261474E-3</v>
      </c>
      <c r="AW17" s="1">
        <f>[1]Results!AZ1377</f>
        <v>-2.8668390775564074E-3</v>
      </c>
      <c r="AX17" s="1">
        <f>[1]Results!BA1377</f>
        <v>-2.8747193470353904E-3</v>
      </c>
      <c r="AY17" s="1">
        <f>[1]Results!BB1377</f>
        <v>-2.7124745623552972E-3</v>
      </c>
      <c r="AZ17" s="1">
        <f>[1]Results!BC1377</f>
        <v>-2.4372920818705205E-3</v>
      </c>
      <c r="BA17" s="1">
        <f>[1]Results!BD1377</f>
        <v>-2.1026070046550513E-3</v>
      </c>
      <c r="BB17" s="1">
        <f>[1]Results!BE1377</f>
        <v>-8.8382385850016597E-4</v>
      </c>
      <c r="BC17" s="1">
        <f>[1]Results!BF1377</f>
        <v>-7.614494769360836E-4</v>
      </c>
      <c r="BD17" s="1">
        <f>[1]Results!BG1377</f>
        <v>-6.3055022354030314E-4</v>
      </c>
      <c r="BE17" s="1">
        <f>[1]Results!BH1377</f>
        <v>-4.9275231527942524E-4</v>
      </c>
      <c r="BF17" s="1">
        <f>[1]Results!BI1377</f>
        <v>-3.4939096970396073E-4</v>
      </c>
    </row>
    <row r="18" spans="1:58" x14ac:dyDescent="0.35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-7.8748819941965031E-3</v>
      </c>
      <c r="D18" s="1">
        <f>[1]Results!G1378</f>
        <v>-1.2883781484640533E-2</v>
      </c>
      <c r="E18" s="1">
        <f>[1]Results!H1378</f>
        <v>-1.4474155555332935E-2</v>
      </c>
      <c r="F18" s="1">
        <f>[1]Results!I1378</f>
        <v>-1.4614323236761262E-2</v>
      </c>
      <c r="G18" s="1">
        <f>[1]Results!J1378</f>
        <v>-1.5153582186744341E-2</v>
      </c>
      <c r="H18" s="1">
        <f>[1]Results!K1378</f>
        <v>-1.6962561733413484E-2</v>
      </c>
      <c r="I18" s="1">
        <f>[1]Results!L1378</f>
        <v>-1.9963698163250054E-2</v>
      </c>
      <c r="J18" s="1">
        <f>[1]Results!M1378</f>
        <v>-2.3608674583852629E-2</v>
      </c>
      <c r="K18" s="1">
        <f>[1]Results!N1378</f>
        <v>-2.7295723845099928E-2</v>
      </c>
      <c r="L18" s="1">
        <f>[1]Results!O1378</f>
        <v>-3.0592468292978126E-2</v>
      </c>
      <c r="M18" s="1">
        <f>[1]Results!P1378</f>
        <v>-3.3332265578689402E-2</v>
      </c>
      <c r="N18" s="1">
        <f>[1]Results!Q1378</f>
        <v>-3.5449264967468697E-2</v>
      </c>
      <c r="O18" s="1">
        <f>[1]Results!R1378</f>
        <v>-3.7074473267484365E-2</v>
      </c>
      <c r="P18" s="1">
        <f>[1]Results!S1378</f>
        <v>-3.840561892050065E-2</v>
      </c>
      <c r="Q18" s="1">
        <f>[1]Results!T1378</f>
        <v>-3.9638607074399257E-2</v>
      </c>
      <c r="R18" s="1">
        <f>[1]Results!U1378</f>
        <v>-4.093107105007654E-2</v>
      </c>
      <c r="S18" s="1">
        <f>[1]Results!V1378</f>
        <v>-4.243085022120896E-2</v>
      </c>
      <c r="T18" s="1">
        <f>[1]Results!W1378</f>
        <v>-4.4205896479587725E-2</v>
      </c>
      <c r="U18" s="1">
        <f>[1]Results!X1378</f>
        <v>-4.6308079687029657E-2</v>
      </c>
      <c r="V18" s="1">
        <f>[1]Results!Y1378</f>
        <v>-4.8758455427644343E-2</v>
      </c>
      <c r="W18" s="1">
        <f>[1]Results!Z1378</f>
        <v>-5.1504119580747521E-2</v>
      </c>
      <c r="X18" s="1">
        <f>[1]Results!AA1378</f>
        <v>-5.4595868198537012E-2</v>
      </c>
      <c r="Y18" s="1">
        <f>[1]Results!AB1378</f>
        <v>-5.7955700100253971E-2</v>
      </c>
      <c r="Z18" s="1">
        <f>[1]Results!AC1378</f>
        <v>-6.1517685904677322E-2</v>
      </c>
      <c r="AA18" s="1">
        <f>[1]Results!AD1378</f>
        <v>-6.522674159712416E-2</v>
      </c>
      <c r="AB18" s="1">
        <f>[1]Results!AE1378</f>
        <v>-6.8883202283387401E-2</v>
      </c>
      <c r="AC18" s="1">
        <f>[1]Results!AF1378</f>
        <v>-7.2643607345279637E-2</v>
      </c>
      <c r="AD18" s="1">
        <f>[1]Results!AG1378</f>
        <v>-7.6441869104126869E-2</v>
      </c>
      <c r="AE18" s="1">
        <f>[1]Results!AH1378</f>
        <v>-8.0221740753194659E-2</v>
      </c>
      <c r="AF18" s="1">
        <f>[1]Results!AI1378</f>
        <v>-8.3950512135688715E-2</v>
      </c>
      <c r="AG18" s="1">
        <f>[1]Results!AJ1378</f>
        <v>-8.761783899945419E-2</v>
      </c>
      <c r="AH18" s="1">
        <f>[1]Results!AK1378</f>
        <v>-9.1217820822420137E-2</v>
      </c>
      <c r="AI18" s="1">
        <f>[1]Results!AL1378</f>
        <v>-9.4766597922357754E-2</v>
      </c>
      <c r="AJ18" s="1">
        <f>[1]Results!AM1378</f>
        <v>-9.8279692211722391E-2</v>
      </c>
      <c r="AK18" s="1">
        <f>[1]Results!AN1378</f>
        <v>-0.10177477150618008</v>
      </c>
      <c r="AL18" s="1">
        <f>[1]Results!AO1378</f>
        <v>-0.10527178269643667</v>
      </c>
      <c r="AM18" s="1">
        <f>[1]Results!AP1378</f>
        <v>-0.10863358230297493</v>
      </c>
      <c r="AN18" s="1">
        <f>[1]Results!AQ1378</f>
        <v>-0.11193836889685782</v>
      </c>
      <c r="AO18" s="1">
        <f>[1]Results!AR1378</f>
        <v>-0.11516950370631385</v>
      </c>
      <c r="AP18" s="1">
        <f>[1]Results!AS1378</f>
        <v>-0.1182926743938495</v>
      </c>
      <c r="AQ18" s="1">
        <f>[1]Results!AT1378</f>
        <v>-0.12130447098021024</v>
      </c>
      <c r="AR18" s="1">
        <f>[1]Results!AU1378</f>
        <v>-0.13160629894911624</v>
      </c>
      <c r="AS18" s="1">
        <f>[1]Results!AV1378</f>
        <v>-0.14803883576917087</v>
      </c>
      <c r="AT18" s="1">
        <f>[1]Results!AW1378</f>
        <v>-0.16657555529268064</v>
      </c>
      <c r="AU18" s="1">
        <f>[1]Results!AX1378</f>
        <v>-0.18368589257632406</v>
      </c>
      <c r="AV18" s="1">
        <f>[1]Results!AY1378</f>
        <v>-0.1974336157726797</v>
      </c>
      <c r="AW18" s="1">
        <f>[1]Results!AZ1378</f>
        <v>-0.19724136195710118</v>
      </c>
      <c r="AX18" s="1">
        <f>[1]Results!BA1378</f>
        <v>-0.1853471830910336</v>
      </c>
      <c r="AY18" s="1">
        <f>[1]Results!BB1378</f>
        <v>-0.16831173820783807</v>
      </c>
      <c r="AZ18" s="1">
        <f>[1]Results!BC1378</f>
        <v>-0.15202734760444425</v>
      </c>
      <c r="BA18" s="1">
        <f>[1]Results!BD1378</f>
        <v>-0.14000878151999574</v>
      </c>
      <c r="BB18" s="1">
        <f>[1]Results!BE1378</f>
        <v>4.7232767887850358E-2</v>
      </c>
      <c r="BC18" s="1">
        <f>[1]Results!BF1378</f>
        <v>5.1108035496394422E-2</v>
      </c>
      <c r="BD18" s="1">
        <f>[1]Results!BG1378</f>
        <v>5.4834125176528303E-2</v>
      </c>
      <c r="BE18" s="1">
        <f>[1]Results!BH1378</f>
        <v>5.8312033652341277E-2</v>
      </c>
      <c r="BF18" s="1">
        <f>[1]Results!BI1378</f>
        <v>6.1481245551497921E-2</v>
      </c>
    </row>
    <row r="19" spans="1:58" x14ac:dyDescent="0.35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-1.7126688416357894E-4</v>
      </c>
      <c r="D19" s="1">
        <f>[1]Results!G1379</f>
        <v>-1.9431064531394426E-3</v>
      </c>
      <c r="E19" s="1">
        <f>[1]Results!H1379</f>
        <v>4.6912798033371672E-3</v>
      </c>
      <c r="F19" s="1">
        <f>[1]Results!I1379</f>
        <v>1.2867490126677872E-2</v>
      </c>
      <c r="G19" s="1">
        <f>[1]Results!J1379</f>
        <v>1.9122768100277021E-2</v>
      </c>
      <c r="H19" s="1">
        <f>[1]Results!K1379</f>
        <v>2.3128710366493443E-2</v>
      </c>
      <c r="I19" s="1">
        <f>[1]Results!L1379</f>
        <v>2.6182452229517317E-2</v>
      </c>
      <c r="J19" s="1">
        <f>[1]Results!M1379</f>
        <v>2.9660088723226785E-2</v>
      </c>
      <c r="K19" s="1">
        <f>[1]Results!N1379</f>
        <v>3.4319978293018139E-2</v>
      </c>
      <c r="L19" s="1">
        <f>[1]Results!O1379</f>
        <v>4.0245385453197002E-2</v>
      </c>
      <c r="M19" s="1">
        <f>[1]Results!P1379</f>
        <v>4.7024604962198069E-2</v>
      </c>
      <c r="N19" s="1">
        <f>[1]Results!Q1379</f>
        <v>5.4144298365521593E-2</v>
      </c>
      <c r="O19" s="1">
        <f>[1]Results!R1379</f>
        <v>6.1111892072429619E-2</v>
      </c>
      <c r="P19" s="1">
        <f>[1]Results!S1379</f>
        <v>6.7529482158934506E-2</v>
      </c>
      <c r="Q19" s="1">
        <f>[1]Results!T1379</f>
        <v>7.3169126416483543E-2</v>
      </c>
      <c r="R19" s="1">
        <f>[1]Results!U1379</f>
        <v>7.7975279763609073E-2</v>
      </c>
      <c r="S19" s="1">
        <f>[1]Results!V1379</f>
        <v>8.1971239952260966E-2</v>
      </c>
      <c r="T19" s="1">
        <f>[1]Results!W1379</f>
        <v>8.5291981921176152E-2</v>
      </c>
      <c r="U19" s="1">
        <f>[1]Results!X1379</f>
        <v>8.8111536389190448E-2</v>
      </c>
      <c r="V19" s="1">
        <f>[1]Results!Y1379</f>
        <v>9.0594700520552074E-2</v>
      </c>
      <c r="W19" s="1">
        <f>[1]Results!Z1379</f>
        <v>9.2945714122283363E-2</v>
      </c>
      <c r="X19" s="1">
        <f>[1]Results!AA1379</f>
        <v>9.5270519112933272E-2</v>
      </c>
      <c r="Y19" s="1">
        <f>[1]Results!AB1379</f>
        <v>9.7667678794466362E-2</v>
      </c>
      <c r="Z19" s="1">
        <f>[1]Results!AC1379</f>
        <v>0.10025236451272068</v>
      </c>
      <c r="AA19" s="1">
        <f>[1]Results!AD1379</f>
        <v>0.10308750552734391</v>
      </c>
      <c r="AB19" s="1">
        <f>[1]Results!AE1379</f>
        <v>0.10634136757896595</v>
      </c>
      <c r="AC19" s="1">
        <f>[1]Results!AF1379</f>
        <v>0.10995642529301186</v>
      </c>
      <c r="AD19" s="1">
        <f>[1]Results!AG1379</f>
        <v>0.1138271612892483</v>
      </c>
      <c r="AE19" s="1">
        <f>[1]Results!AH1379</f>
        <v>0.11796672420416598</v>
      </c>
      <c r="AF19" s="1">
        <f>[1]Results!AI1379</f>
        <v>0.12236102218083911</v>
      </c>
      <c r="AG19" s="1">
        <f>[1]Results!AJ1379</f>
        <v>0.12696703664254461</v>
      </c>
      <c r="AH19" s="1">
        <f>[1]Results!AK1379</f>
        <v>0.13174376367759422</v>
      </c>
      <c r="AI19" s="1">
        <f>[1]Results!AL1379</f>
        <v>0.13664238224402325</v>
      </c>
      <c r="AJ19" s="1">
        <f>[1]Results!AM1379</f>
        <v>0.1416224198329985</v>
      </c>
      <c r="AK19" s="1">
        <f>[1]Results!AN1379</f>
        <v>0.14666192195933458</v>
      </c>
      <c r="AL19" s="1">
        <f>[1]Results!AO1379</f>
        <v>0.15174913174946791</v>
      </c>
      <c r="AM19" s="1">
        <f>[1]Results!AP1379</f>
        <v>0.15703192525735599</v>
      </c>
      <c r="AN19" s="1">
        <f>[1]Results!AQ1379</f>
        <v>0.16248291753078181</v>
      </c>
      <c r="AO19" s="1">
        <f>[1]Results!AR1379</f>
        <v>0.16805127408776599</v>
      </c>
      <c r="AP19" s="1">
        <f>[1]Results!AS1379</f>
        <v>0.17377146047703462</v>
      </c>
      <c r="AQ19" s="1">
        <f>[1]Results!AT1379</f>
        <v>0.17963232911133442</v>
      </c>
      <c r="AR19" s="1">
        <f>[1]Results!AU1379</f>
        <v>0.18517078304194357</v>
      </c>
      <c r="AS19" s="1">
        <f>[1]Results!AV1379</f>
        <v>0.19118972609937224</v>
      </c>
      <c r="AT19" s="1">
        <f>[1]Results!AW1379</f>
        <v>0.20424245440340272</v>
      </c>
      <c r="AU19" s="1">
        <f>[1]Results!AX1379</f>
        <v>0.22757075717145803</v>
      </c>
      <c r="AV19" s="1">
        <f>[1]Results!AY1379</f>
        <v>0.26020526063259553</v>
      </c>
      <c r="AW19" s="1">
        <f>[1]Results!AZ1379</f>
        <v>0.29948953514955523</v>
      </c>
      <c r="AX19" s="1">
        <f>[1]Results!BA1379</f>
        <v>0.34038416885000533</v>
      </c>
      <c r="AY19" s="1">
        <f>[1]Results!BB1379</f>
        <v>0.370744593148431</v>
      </c>
      <c r="AZ19" s="1">
        <f>[1]Results!BC1379</f>
        <v>0.38426529558013289</v>
      </c>
      <c r="BA19" s="1">
        <f>[1]Results!BD1379</f>
        <v>0.38155136966577796</v>
      </c>
      <c r="BB19" s="1">
        <f>[1]Results!BE1379</f>
        <v>0.26267238400008441</v>
      </c>
      <c r="BC19" s="1">
        <f>[1]Results!BF1379</f>
        <v>0.27538704170322337</v>
      </c>
      <c r="BD19" s="1">
        <f>[1]Results!BG1379</f>
        <v>0.28836276144614814</v>
      </c>
      <c r="BE19" s="1">
        <f>[1]Results!BH1379</f>
        <v>0.30153980159357552</v>
      </c>
      <c r="BF19" s="1">
        <f>[1]Results!BI1379</f>
        <v>0.31496987515489128</v>
      </c>
    </row>
    <row r="20" spans="1:58" x14ac:dyDescent="0.35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  <c r="AM20" s="1">
        <f>[1]Results!AP1380</f>
        <v>0</v>
      </c>
      <c r="AN20" s="1">
        <f>[1]Results!AQ1380</f>
        <v>0</v>
      </c>
      <c r="AO20" s="1">
        <f>[1]Results!AR1380</f>
        <v>0</v>
      </c>
      <c r="AP20" s="1">
        <f>[1]Results!AS1380</f>
        <v>0</v>
      </c>
      <c r="AQ20" s="1">
        <f>[1]Results!AT1380</f>
        <v>0</v>
      </c>
      <c r="AR20" s="1">
        <f>[1]Results!AU1380</f>
        <v>0</v>
      </c>
      <c r="AS20" s="1">
        <f>[1]Results!AV1380</f>
        <v>0</v>
      </c>
      <c r="AT20" s="1">
        <f>[1]Results!AW1380</f>
        <v>0</v>
      </c>
      <c r="AU20" s="1">
        <f>[1]Results!AX1380</f>
        <v>0</v>
      </c>
      <c r="AV20" s="1">
        <f>[1]Results!AY1380</f>
        <v>0</v>
      </c>
      <c r="AW20" s="1">
        <f>[1]Results!AZ1380</f>
        <v>0</v>
      </c>
      <c r="AX20" s="1">
        <f>[1]Results!BA1380</f>
        <v>0</v>
      </c>
      <c r="AY20" s="1">
        <f>[1]Results!BB1380</f>
        <v>0</v>
      </c>
      <c r="AZ20" s="1">
        <f>[1]Results!BC1380</f>
        <v>0</v>
      </c>
      <c r="BA20" s="1">
        <f>[1]Results!BD1380</f>
        <v>0</v>
      </c>
      <c r="BB20" s="1">
        <f>[1]Results!BE1380</f>
        <v>0</v>
      </c>
      <c r="BC20" s="1">
        <f>[1]Results!BF1380</f>
        <v>0</v>
      </c>
      <c r="BD20" s="1">
        <f>[1]Results!BG1380</f>
        <v>0</v>
      </c>
      <c r="BE20" s="1">
        <f>[1]Results!BH1380</f>
        <v>0</v>
      </c>
      <c r="BF20" s="1">
        <f>[1]Results!BI1380</f>
        <v>0</v>
      </c>
    </row>
    <row r="21" spans="1:58" x14ac:dyDescent="0.35">
      <c r="A21" s="3" t="str">
        <f>[1]Results!E1381</f>
        <v>100*(I_2/I_0-1)</v>
      </c>
      <c r="B21" t="str">
        <f>[1]Results!C1381</f>
        <v>Investissement</v>
      </c>
      <c r="C21" s="1">
        <f>[1]Results!F1381</f>
        <v>-9.7283458163066605E-3</v>
      </c>
      <c r="D21" s="1">
        <f>[1]Results!G1381</f>
        <v>-1.8999812446918174E-2</v>
      </c>
      <c r="E21" s="1">
        <f>[1]Results!H1381</f>
        <v>-2.7011301277379829E-2</v>
      </c>
      <c r="F21" s="1">
        <f>[1]Results!I1381</f>
        <v>-3.3724945647506388E-2</v>
      </c>
      <c r="G21" s="1">
        <f>[1]Results!J1381</f>
        <v>-4.023711435824362E-2</v>
      </c>
      <c r="H21" s="1">
        <f>[1]Results!K1381</f>
        <v>-4.7683003160914339E-2</v>
      </c>
      <c r="I21" s="1">
        <f>[1]Results!L1381</f>
        <v>-5.6565535591079907E-2</v>
      </c>
      <c r="J21" s="1">
        <f>[1]Results!M1381</f>
        <v>-6.6832939153338433E-2</v>
      </c>
      <c r="K21" s="1">
        <f>[1]Results!N1381</f>
        <v>-7.8154325347401521E-2</v>
      </c>
      <c r="L21" s="1">
        <f>[1]Results!O1381</f>
        <v>-9.0105308863164257E-2</v>
      </c>
      <c r="M21" s="1">
        <f>[1]Results!P1381</f>
        <v>-0.1023085327531148</v>
      </c>
      <c r="N21" s="1">
        <f>[1]Results!Q1381</f>
        <v>-0.11453052914476292</v>
      </c>
      <c r="O21" s="1">
        <f>[1]Results!R1381</f>
        <v>-0.12651257291096396</v>
      </c>
      <c r="P21" s="1">
        <f>[1]Results!S1381</f>
        <v>-0.13815963097846273</v>
      </c>
      <c r="Q21" s="1">
        <f>[1]Results!T1381</f>
        <v>-0.14945046949391694</v>
      </c>
      <c r="R21" s="1">
        <f>[1]Results!U1381</f>
        <v>-0.1603953206076314</v>
      </c>
      <c r="S21" s="1">
        <f>[1]Results!V1381</f>
        <v>-0.17113079460886471</v>
      </c>
      <c r="T21" s="1">
        <f>[1]Results!W1381</f>
        <v>-0.1816026316012298</v>
      </c>
      <c r="U21" s="1">
        <f>[1]Results!X1381</f>
        <v>-0.19184770466610379</v>
      </c>
      <c r="V21" s="1">
        <f>[1]Results!Y1381</f>
        <v>-0.20191777747420314</v>
      </c>
      <c r="W21" s="1">
        <f>[1]Results!Z1381</f>
        <v>-0.21184586035191133</v>
      </c>
      <c r="X21" s="1">
        <f>[1]Results!AA1381</f>
        <v>-0.22171451660758512</v>
      </c>
      <c r="Y21" s="1">
        <f>[1]Results!AB1381</f>
        <v>-0.23153287766534136</v>
      </c>
      <c r="Z21" s="1">
        <f>[1]Results!AC1381</f>
        <v>-0.24130756336637749</v>
      </c>
      <c r="AA21" s="1">
        <f>[1]Results!AD1381</f>
        <v>-0.25103566193707127</v>
      </c>
      <c r="AB21" s="1">
        <f>[1]Results!AE1381</f>
        <v>-0.26064770716729413</v>
      </c>
      <c r="AC21" s="1">
        <f>[1]Results!AF1381</f>
        <v>-0.27019936799878019</v>
      </c>
      <c r="AD21" s="1">
        <f>[1]Results!AG1381</f>
        <v>-0.27969326496740665</v>
      </c>
      <c r="AE21" s="1">
        <f>[1]Results!AH1381</f>
        <v>-0.28909837568731334</v>
      </c>
      <c r="AF21" s="1">
        <f>[1]Results!AI1381</f>
        <v>-0.29837086288245773</v>
      </c>
      <c r="AG21" s="1">
        <f>[1]Results!AJ1381</f>
        <v>-0.30746817455573616</v>
      </c>
      <c r="AH21" s="1">
        <f>[1]Results!AK1381</f>
        <v>-0.31632666894455541</v>
      </c>
      <c r="AI21" s="1">
        <f>[1]Results!AL1381</f>
        <v>-0.3249395598970195</v>
      </c>
      <c r="AJ21" s="1">
        <f>[1]Results!AM1381</f>
        <v>-0.33328817992199777</v>
      </c>
      <c r="AK21" s="1">
        <f>[1]Results!AN1381</f>
        <v>-0.34135789018465701</v>
      </c>
      <c r="AL21" s="1">
        <f>[1]Results!AO1381</f>
        <v>-0.34914032714069565</v>
      </c>
      <c r="AM21" s="1">
        <f>[1]Results!AP1381</f>
        <v>-0.35635437185944641</v>
      </c>
      <c r="AN21" s="1">
        <f>[1]Results!AQ1381</f>
        <v>-0.3631990749529912</v>
      </c>
      <c r="AO21" s="1">
        <f>[1]Results!AR1381</f>
        <v>-0.36963876985853794</v>
      </c>
      <c r="AP21" s="1">
        <f>[1]Results!AS1381</f>
        <v>-0.3755995044324667</v>
      </c>
      <c r="AQ21" s="1">
        <f>[1]Results!AT1381</f>
        <v>-0.38103320858859924</v>
      </c>
      <c r="AR21" s="1">
        <f>[1]Results!AU1381</f>
        <v>-0.39252068068543755</v>
      </c>
      <c r="AS21" s="1">
        <f>[1]Results!AV1381</f>
        <v>-0.41287219985675083</v>
      </c>
      <c r="AT21" s="1">
        <f>[1]Results!AW1381</f>
        <v>-0.44176161205904396</v>
      </c>
      <c r="AU21" s="1">
        <f>[1]Results!AX1381</f>
        <v>-0.47719214907566698</v>
      </c>
      <c r="AV21" s="1">
        <f>[1]Results!AY1381</f>
        <v>-0.51679891088479701</v>
      </c>
      <c r="AW21" s="1">
        <f>[1]Results!AZ1381</f>
        <v>-0.54950786103373783</v>
      </c>
      <c r="AX21" s="1">
        <f>[1]Results!BA1381</f>
        <v>-0.57032484313026544</v>
      </c>
      <c r="AY21" s="1">
        <f>[1]Results!BB1381</f>
        <v>-0.57901523750467643</v>
      </c>
      <c r="AZ21" s="1">
        <f>[1]Results!BC1381</f>
        <v>-0.5779715459516277</v>
      </c>
      <c r="BA21" s="1">
        <f>[1]Results!BD1381</f>
        <v>-0.57025755886360718</v>
      </c>
      <c r="BB21" s="1">
        <f>[1]Results!BE1381</f>
        <v>-1.8968324761670097E-2</v>
      </c>
      <c r="BC21" s="1">
        <f>[1]Results!BF1381</f>
        <v>3.056175197979627E-3</v>
      </c>
      <c r="BD21" s="1">
        <f>[1]Results!BG1381</f>
        <v>2.6725331404020558E-2</v>
      </c>
      <c r="BE21" s="1">
        <f>[1]Results!BH1381</f>
        <v>5.1902589871888338E-2</v>
      </c>
      <c r="BF21" s="1">
        <f>[1]Results!BI1381</f>
        <v>7.8444032673608E-2</v>
      </c>
    </row>
    <row r="22" spans="1:58" x14ac:dyDescent="0.35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-1.0065977442541563E-2</v>
      </c>
      <c r="D22" s="1">
        <f>[1]Results!G1382</f>
        <v>-1.9607363105267339E-2</v>
      </c>
      <c r="E22" s="1">
        <f>[1]Results!H1382</f>
        <v>-2.7956884461832754E-2</v>
      </c>
      <c r="F22" s="1">
        <f>[1]Results!I1382</f>
        <v>-3.5028266362180371E-2</v>
      </c>
      <c r="G22" s="1">
        <f>[1]Results!J1382</f>
        <v>-4.1907648890893157E-2</v>
      </c>
      <c r="H22" s="1">
        <f>[1]Results!K1382</f>
        <v>-4.9750883431243231E-2</v>
      </c>
      <c r="I22" s="1">
        <f>[1]Results!L1382</f>
        <v>-5.9084917398521952E-2</v>
      </c>
      <c r="J22" s="1">
        <f>[1]Results!M1382</f>
        <v>-6.9869708503389472E-2</v>
      </c>
      <c r="K22" s="1">
        <f>[1]Results!N1382</f>
        <v>-8.1774886779684142E-2</v>
      </c>
      <c r="L22" s="1">
        <f>[1]Results!O1382</f>
        <v>-9.4368440882619531E-2</v>
      </c>
      <c r="M22" s="1">
        <f>[1]Results!P1382</f>
        <v>-0.10726507768629157</v>
      </c>
      <c r="N22" s="1">
        <f>[1]Results!Q1382</f>
        <v>-0.1202220075075533</v>
      </c>
      <c r="O22" s="1">
        <f>[1]Results!R1382</f>
        <v>-0.13296597123506615</v>
      </c>
      <c r="P22" s="1">
        <f>[1]Results!S1382</f>
        <v>-0.14539405098686897</v>
      </c>
      <c r="Q22" s="1">
        <f>[1]Results!T1382</f>
        <v>-0.15747972886395178</v>
      </c>
      <c r="R22" s="1">
        <f>[1]Results!U1382</f>
        <v>-0.16922932187281026</v>
      </c>
      <c r="S22" s="1">
        <f>[1]Results!V1382</f>
        <v>-0.18078503563492276</v>
      </c>
      <c r="T22" s="1">
        <f>[1]Results!W1382</f>
        <v>-0.19208189385625518</v>
      </c>
      <c r="U22" s="1">
        <f>[1]Results!X1382</f>
        <v>-0.20315276601281518</v>
      </c>
      <c r="V22" s="1">
        <f>[1]Results!Y1382</f>
        <v>-0.21404681706473916</v>
      </c>
      <c r="W22" s="1">
        <f>[1]Results!Z1382</f>
        <v>-0.22479083939661582</v>
      </c>
      <c r="X22" s="1">
        <f>[1]Results!AA1382</f>
        <v>-0.23547520910360831</v>
      </c>
      <c r="Y22" s="1">
        <f>[1]Results!AB1382</f>
        <v>-0.24610420736443928</v>
      </c>
      <c r="Z22" s="1">
        <f>[1]Results!AC1382</f>
        <v>-0.25668250425087136</v>
      </c>
      <c r="AA22" s="1">
        <f>[1]Results!AD1382</f>
        <v>-0.2672058734808691</v>
      </c>
      <c r="AB22" s="1">
        <f>[1]Results!AE1382</f>
        <v>-0.27758864645363035</v>
      </c>
      <c r="AC22" s="1">
        <f>[1]Results!AF1382</f>
        <v>-0.28790668413771758</v>
      </c>
      <c r="AD22" s="1">
        <f>[1]Results!AG1382</f>
        <v>-0.29816011307863821</v>
      </c>
      <c r="AE22" s="1">
        <f>[1]Results!AH1382</f>
        <v>-0.30831649994903509</v>
      </c>
      <c r="AF22" s="1">
        <f>[1]Results!AI1382</f>
        <v>-0.31833062430428605</v>
      </c>
      <c r="AG22" s="1">
        <f>[1]Results!AJ1382</f>
        <v>-0.32815847340222914</v>
      </c>
      <c r="AH22" s="1">
        <f>[1]Results!AK1382</f>
        <v>-0.3377329702138776</v>
      </c>
      <c r="AI22" s="1">
        <f>[1]Results!AL1382</f>
        <v>-0.34704785453893994</v>
      </c>
      <c r="AJ22" s="1">
        <f>[1]Results!AM1382</f>
        <v>-0.3560838074724737</v>
      </c>
      <c r="AK22" s="1">
        <f>[1]Results!AN1382</f>
        <v>-0.3648255452721183</v>
      </c>
      <c r="AL22" s="1">
        <f>[1]Results!AO1382</f>
        <v>-0.37326420325274334</v>
      </c>
      <c r="AM22" s="1">
        <f>[1]Results!AP1382</f>
        <v>-0.38109545064807238</v>
      </c>
      <c r="AN22" s="1">
        <f>[1]Results!AQ1382</f>
        <v>-0.38853760181887242</v>
      </c>
      <c r="AO22" s="1">
        <f>[1]Results!AR1382</f>
        <v>-0.39555657358849583</v>
      </c>
      <c r="AP22" s="1">
        <f>[1]Results!AS1382</f>
        <v>-0.40207648538055363</v>
      </c>
      <c r="AQ22" s="1">
        <f>[1]Results!AT1382</f>
        <v>-0.40804682605812825</v>
      </c>
      <c r="AR22" s="1">
        <f>[1]Results!AU1382</f>
        <v>-0.42011390418599248</v>
      </c>
      <c r="AS22" s="1">
        <f>[1]Results!AV1382</f>
        <v>-0.44123789854965123</v>
      </c>
      <c r="AT22" s="1">
        <f>[1]Results!AW1382</f>
        <v>-0.47119757454712197</v>
      </c>
      <c r="AU22" s="1">
        <f>[1]Results!AX1382</f>
        <v>-0.50802572910064736</v>
      </c>
      <c r="AV22" s="1">
        <f>[1]Results!AY1382</f>
        <v>-0.54933532768273174</v>
      </c>
      <c r="AW22" s="1">
        <f>[1]Results!AZ1382</f>
        <v>-0.58391174758181119</v>
      </c>
      <c r="AX22" s="1">
        <f>[1]Results!BA1382</f>
        <v>-0.6065207112354476</v>
      </c>
      <c r="AY22" s="1">
        <f>[1]Results!BB1382</f>
        <v>-0.61675322461615112</v>
      </c>
      <c r="AZ22" s="1">
        <f>[1]Results!BC1382</f>
        <v>-0.61694060067815082</v>
      </c>
      <c r="BA22" s="1">
        <f>[1]Results!BD1382</f>
        <v>-0.6101614780905984</v>
      </c>
      <c r="BB22" s="1">
        <f>[1]Results!BE1382</f>
        <v>-1.6590830803153711E-2</v>
      </c>
      <c r="BC22" s="1">
        <f>[1]Results!BF1382</f>
        <v>6.790661820388344E-3</v>
      </c>
      <c r="BD22" s="1">
        <f>[1]Results!BG1382</f>
        <v>3.1922676942941486E-2</v>
      </c>
      <c r="BE22" s="1">
        <f>[1]Results!BH1382</f>
        <v>5.8664753424508831E-2</v>
      </c>
      <c r="BF22" s="1">
        <f>[1]Results!BI1382</f>
        <v>8.686713636258947E-2</v>
      </c>
    </row>
    <row r="23" spans="1:58" x14ac:dyDescent="0.35">
      <c r="A23" s="3" t="str">
        <f>[1]Results!E1383</f>
        <v>100*(X_2/X_0-1)</v>
      </c>
      <c r="B23" t="s">
        <v>22</v>
      </c>
      <c r="C23" s="1">
        <f>[1]Results!F1383</f>
        <v>-1.2297370546199282E-3</v>
      </c>
      <c r="D23" s="1">
        <f>[1]Results!G1383</f>
        <v>-3.6362412176860204E-3</v>
      </c>
      <c r="E23" s="1">
        <f>[1]Results!H1383</f>
        <v>-6.9243247968864274E-3</v>
      </c>
      <c r="F23" s="1">
        <f>[1]Results!I1383</f>
        <v>-1.1081507157095771E-2</v>
      </c>
      <c r="G23" s="1">
        <f>[1]Results!J1383</f>
        <v>-1.6307699779971596E-2</v>
      </c>
      <c r="H23" s="1">
        <f>[1]Results!K1383</f>
        <v>-2.2821310469012257E-2</v>
      </c>
      <c r="I23" s="1">
        <f>[1]Results!L1383</f>
        <v>-3.0735946721605067E-2</v>
      </c>
      <c r="J23" s="1">
        <f>[1]Results!M1383</f>
        <v>-4.0040849362288355E-2</v>
      </c>
      <c r="K23" s="1">
        <f>[1]Results!N1383</f>
        <v>-5.0624749637262489E-2</v>
      </c>
      <c r="L23" s="1">
        <f>[1]Results!O1383</f>
        <v>-6.2315998206363687E-2</v>
      </c>
      <c r="M23" s="1">
        <f>[1]Results!P1383</f>
        <v>-7.4919589741762049E-2</v>
      </c>
      <c r="N23" s="1">
        <f>[1]Results!Q1383</f>
        <v>-8.8222517541858281E-2</v>
      </c>
      <c r="O23" s="1">
        <f>[1]Results!R1383</f>
        <v>-0.10204582911270688</v>
      </c>
      <c r="P23" s="1">
        <f>[1]Results!S1383</f>
        <v>-0.11624343395656433</v>
      </c>
      <c r="Q23" s="1">
        <f>[1]Results!T1383</f>
        <v>-0.13069580361150246</v>
      </c>
      <c r="R23" s="1">
        <f>[1]Results!U1383</f>
        <v>-0.14530541384503159</v>
      </c>
      <c r="S23" s="1">
        <f>[1]Results!V1383</f>
        <v>-0.15998507949279706</v>
      </c>
      <c r="T23" s="1">
        <f>[1]Results!W1383</f>
        <v>-0.17468567287852732</v>
      </c>
      <c r="U23" s="1">
        <f>[1]Results!X1383</f>
        <v>-0.18938958788679017</v>
      </c>
      <c r="V23" s="1">
        <f>[1]Results!Y1383</f>
        <v>-0.20410187451029849</v>
      </c>
      <c r="W23" s="1">
        <f>[1]Results!Z1383</f>
        <v>-0.21883947283930505</v>
      </c>
      <c r="X23" s="1">
        <f>[1]Results!AA1383</f>
        <v>-0.23363723688389904</v>
      </c>
      <c r="Y23" s="1">
        <f>[1]Results!AB1383</f>
        <v>-0.24852940544274338</v>
      </c>
      <c r="Z23" s="1">
        <f>[1]Results!AC1383</f>
        <v>-0.26354911632252565</v>
      </c>
      <c r="AA23" s="1">
        <f>[1]Results!AD1383</f>
        <v>-0.27872783856814909</v>
      </c>
      <c r="AB23" s="1">
        <f>[1]Results!AE1383</f>
        <v>-0.29408335479029768</v>
      </c>
      <c r="AC23" s="1">
        <f>[1]Results!AF1383</f>
        <v>-0.30965901440326293</v>
      </c>
      <c r="AD23" s="1">
        <f>[1]Results!AG1383</f>
        <v>-0.32547873493798951</v>
      </c>
      <c r="AE23" s="1">
        <f>[1]Results!AH1383</f>
        <v>-0.34155042932292323</v>
      </c>
      <c r="AF23" s="1">
        <f>[1]Results!AI1383</f>
        <v>-0.35787193618325164</v>
      </c>
      <c r="AG23" s="1">
        <f>[1]Results!AJ1383</f>
        <v>-0.37443542426067733</v>
      </c>
      <c r="AH23" s="1">
        <f>[1]Results!AK1383</f>
        <v>-0.39123203045760002</v>
      </c>
      <c r="AI23" s="1">
        <f>[1]Results!AL1383</f>
        <v>-0.408247609098078</v>
      </c>
      <c r="AJ23" s="1">
        <f>[1]Results!AM1383</f>
        <v>-0.42546587616857368</v>
      </c>
      <c r="AK23" s="1">
        <f>[1]Results!AN1383</f>
        <v>-0.44287006906770232</v>
      </c>
      <c r="AL23" s="1">
        <f>[1]Results!AO1383</f>
        <v>-0.46044557857709556</v>
      </c>
      <c r="AM23" s="1">
        <f>[1]Results!AP1383</f>
        <v>-0.47818057888587839</v>
      </c>
      <c r="AN23" s="1">
        <f>[1]Results!AQ1383</f>
        <v>-0.4960421126217307</v>
      </c>
      <c r="AO23" s="1">
        <f>[1]Results!AR1383</f>
        <v>-0.51398124990029714</v>
      </c>
      <c r="AP23" s="1">
        <f>[1]Results!AS1383</f>
        <v>-0.53194782968833954</v>
      </c>
      <c r="AQ23" s="1">
        <f>[1]Results!AT1383</f>
        <v>-0.54990152768268352</v>
      </c>
      <c r="AR23" s="1">
        <f>[1]Results!AU1383</f>
        <v>-0.57364749555420813</v>
      </c>
      <c r="AS23" s="1">
        <f>[1]Results!AV1383</f>
        <v>-0.60589194962827886</v>
      </c>
      <c r="AT23" s="1">
        <f>[1]Results!AW1383</f>
        <v>-0.64716714891628335</v>
      </c>
      <c r="AU23" s="1">
        <f>[1]Results!AX1383</f>
        <v>-0.69678539315409793</v>
      </c>
      <c r="AV23" s="1">
        <f>[1]Results!AY1383</f>
        <v>-0.75355481636788513</v>
      </c>
      <c r="AW23" s="1">
        <f>[1]Results!AZ1383</f>
        <v>-0.8084119503402043</v>
      </c>
      <c r="AX23" s="1">
        <f>[1]Results!BA1383</f>
        <v>-0.8565638432976308</v>
      </c>
      <c r="AY23" s="1">
        <f>[1]Results!BB1383</f>
        <v>-0.89631041481674778</v>
      </c>
      <c r="AZ23" s="1">
        <f>[1]Results!BC1383</f>
        <v>-0.92775050560561789</v>
      </c>
      <c r="BA23" s="1">
        <f>[1]Results!BD1383</f>
        <v>-0.9517860361224928</v>
      </c>
      <c r="BB23" s="1">
        <f>[1]Results!BE1383</f>
        <v>-0.54398262451842427</v>
      </c>
      <c r="BC23" s="1">
        <f>[1]Results!BF1383</f>
        <v>-0.56541867023395254</v>
      </c>
      <c r="BD23" s="1">
        <f>[1]Results!BG1383</f>
        <v>-0.5866946144340468</v>
      </c>
      <c r="BE23" s="1">
        <f>[1]Results!BH1383</f>
        <v>-0.60781986002279575</v>
      </c>
      <c r="BF23" s="1">
        <f>[1]Results!BI1383</f>
        <v>-0.62881021150971161</v>
      </c>
    </row>
    <row r="24" spans="1:58" x14ac:dyDescent="0.35">
      <c r="A24" s="3" t="str">
        <f>[1]Results!E1384</f>
        <v>100*(M_2/M_0-1)</v>
      </c>
      <c r="B24" t="s">
        <v>23</v>
      </c>
      <c r="C24" s="1">
        <f>[1]Results!F1384</f>
        <v>-1.1800458185973195E-2</v>
      </c>
      <c r="D24" s="1">
        <f>[1]Results!G1384</f>
        <v>-1.6360941706861087E-2</v>
      </c>
      <c r="E24" s="1">
        <f>[1]Results!H1384</f>
        <v>-2.0490681088469742E-2</v>
      </c>
      <c r="F24" s="1">
        <f>[1]Results!I1384</f>
        <v>-2.4182075711909334E-2</v>
      </c>
      <c r="G24" s="1">
        <f>[1]Results!J1384</f>
        <v>-2.7997190926931648E-2</v>
      </c>
      <c r="H24" s="1">
        <f>[1]Results!K1384</f>
        <v>-3.2266253289892077E-2</v>
      </c>
      <c r="I24" s="1">
        <f>[1]Results!L1384</f>
        <v>-3.7261362250207153E-2</v>
      </c>
      <c r="J24" s="1">
        <f>[1]Results!M1384</f>
        <v>-4.2726160596584517E-2</v>
      </c>
      <c r="K24" s="1">
        <f>[1]Results!N1384</f>
        <v>-4.8334836981656082E-2</v>
      </c>
      <c r="L24" s="1">
        <f>[1]Results!O1384</f>
        <v>-5.3836322932210301E-2</v>
      </c>
      <c r="M24" s="1">
        <f>[1]Results!P1384</f>
        <v>-5.9163957587604621E-2</v>
      </c>
      <c r="N24" s="1">
        <f>[1]Results!Q1384</f>
        <v>-6.4425175407467616E-2</v>
      </c>
      <c r="O24" s="1">
        <f>[1]Results!R1384</f>
        <v>-6.9491073522409685E-2</v>
      </c>
      <c r="P24" s="1">
        <f>[1]Results!S1384</f>
        <v>-7.4456511763287825E-2</v>
      </c>
      <c r="Q24" s="1">
        <f>[1]Results!T1384</f>
        <v>-7.9421822178593615E-2</v>
      </c>
      <c r="R24" s="1">
        <f>[1]Results!U1384</f>
        <v>-8.4473987118793836E-2</v>
      </c>
      <c r="S24" s="1">
        <f>[1]Results!V1384</f>
        <v>-8.998974179963426E-2</v>
      </c>
      <c r="T24" s="1">
        <f>[1]Results!W1384</f>
        <v>-9.5717345449419788E-2</v>
      </c>
      <c r="U24" s="1">
        <f>[1]Results!X1384</f>
        <v>-0.10168847775351431</v>
      </c>
      <c r="V24" s="1">
        <f>[1]Results!Y1384</f>
        <v>-0.1079137457419832</v>
      </c>
      <c r="W24" s="1">
        <f>[1]Results!Z1384</f>
        <v>-0.11430792401408985</v>
      </c>
      <c r="X24" s="1">
        <f>[1]Results!AA1384</f>
        <v>-0.1210429924579759</v>
      </c>
      <c r="Y24" s="1">
        <f>[1]Results!AB1384</f>
        <v>-0.12797412953333698</v>
      </c>
      <c r="Z24" s="1">
        <f>[1]Results!AC1384</f>
        <v>-0.13507710303398701</v>
      </c>
      <c r="AA24" s="1">
        <f>[1]Results!AD1384</f>
        <v>-0.1423279212497186</v>
      </c>
      <c r="AB24" s="1">
        <f>[1]Results!AE1384</f>
        <v>-0.14942763430082495</v>
      </c>
      <c r="AC24" s="1">
        <f>[1]Results!AF1384</f>
        <v>-0.15675248113021789</v>
      </c>
      <c r="AD24" s="1">
        <f>[1]Results!AG1384</f>
        <v>-0.16418650352332254</v>
      </c>
      <c r="AE24" s="1">
        <f>[1]Results!AH1384</f>
        <v>-0.17170462628218752</v>
      </c>
      <c r="AF24" s="1">
        <f>[1]Results!AI1384</f>
        <v>-0.17928721744311371</v>
      </c>
      <c r="AG24" s="1">
        <f>[1]Results!AJ1384</f>
        <v>-0.18692443484054078</v>
      </c>
      <c r="AH24" s="1">
        <f>[1]Results!AK1384</f>
        <v>-0.19453076382786039</v>
      </c>
      <c r="AI24" s="1">
        <f>[1]Results!AL1384</f>
        <v>-0.20218706815947618</v>
      </c>
      <c r="AJ24" s="1">
        <f>[1]Results!AM1384</f>
        <v>-0.20989821152085364</v>
      </c>
      <c r="AK24" s="1">
        <f>[1]Results!AN1384</f>
        <v>-0.21767182084899694</v>
      </c>
      <c r="AL24" s="1">
        <f>[1]Results!AO1384</f>
        <v>-0.22551719784972279</v>
      </c>
      <c r="AM24" s="1">
        <f>[1]Results!AP1384</f>
        <v>-0.23258889300700192</v>
      </c>
      <c r="AN24" s="1">
        <f>[1]Results!AQ1384</f>
        <v>-0.23973483847934407</v>
      </c>
      <c r="AO24" s="1">
        <f>[1]Results!AR1384</f>
        <v>-0.24693197701806113</v>
      </c>
      <c r="AP24" s="1">
        <f>[1]Results!AS1384</f>
        <v>-0.25415622069184796</v>
      </c>
      <c r="AQ24" s="1">
        <f>[1]Results!AT1384</f>
        <v>-0.26139038429828787</v>
      </c>
      <c r="AR24" s="1">
        <f>[1]Results!AU1384</f>
        <v>-0.27210428997729297</v>
      </c>
      <c r="AS24" s="1">
        <f>[1]Results!AV1384</f>
        <v>-0.28559884159707893</v>
      </c>
      <c r="AT24" s="1">
        <f>[1]Results!AW1384</f>
        <v>-0.30000842643794767</v>
      </c>
      <c r="AU24" s="1">
        <f>[1]Results!AX1384</f>
        <v>-0.31364094933453712</v>
      </c>
      <c r="AV24" s="1">
        <f>[1]Results!AY1384</f>
        <v>-0.32550483586896162</v>
      </c>
      <c r="AW24" s="1">
        <f>[1]Results!AZ1384</f>
        <v>-0.33038129745253109</v>
      </c>
      <c r="AX24" s="1">
        <f>[1]Results!BA1384</f>
        <v>-0.32974829436452913</v>
      </c>
      <c r="AY24" s="1">
        <f>[1]Results!BB1384</f>
        <v>-0.3265064027853648</v>
      </c>
      <c r="AZ24" s="1">
        <f>[1]Results!BC1384</f>
        <v>-0.32346647901693171</v>
      </c>
      <c r="BA24" s="1">
        <f>[1]Results!BD1384</f>
        <v>-0.32246583107223836</v>
      </c>
      <c r="BB24" s="1">
        <f>[1]Results!BE1384</f>
        <v>0.12102451906113032</v>
      </c>
      <c r="BC24" s="1">
        <f>[1]Results!BF1384</f>
        <v>0.1305828611516846</v>
      </c>
      <c r="BD24" s="1">
        <f>[1]Results!BG1384</f>
        <v>0.14036785952271646</v>
      </c>
      <c r="BE24" s="1">
        <f>[1]Results!BH1384</f>
        <v>0.15031976500954336</v>
      </c>
      <c r="BF24" s="1">
        <f>[1]Results!BI1384</f>
        <v>0.1603921557421506</v>
      </c>
    </row>
    <row r="25" spans="1:58" x14ac:dyDescent="0.35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-7.7149520254060633E-3</v>
      </c>
      <c r="D25" s="1">
        <f>[1]Results!G1385</f>
        <v>-1.2434295547170127E-2</v>
      </c>
      <c r="E25" s="1">
        <f>[1]Results!H1385</f>
        <v>-1.3838343020577959E-2</v>
      </c>
      <c r="F25" s="1">
        <f>[1]Results!I1385</f>
        <v>-1.3869418182199666E-2</v>
      </c>
      <c r="G25" s="1">
        <f>[1]Results!J1385</f>
        <v>-1.4327939360803121E-2</v>
      </c>
      <c r="H25" s="1">
        <f>[1]Results!K1385</f>
        <v>-1.6040720750065685E-2</v>
      </c>
      <c r="I25" s="1">
        <f>[1]Results!L1385</f>
        <v>-1.8932651548664303E-2</v>
      </c>
      <c r="J25" s="1">
        <f>[1]Results!M1385</f>
        <v>-2.2462997208727575E-2</v>
      </c>
      <c r="K25" s="1">
        <f>[1]Results!N1385</f>
        <v>-2.6038281221574255E-2</v>
      </c>
      <c r="L25" s="1">
        <f>[1]Results!O1385</f>
        <v>-2.9232850594229642E-2</v>
      </c>
      <c r="M25" s="1">
        <f>[1]Results!P1385</f>
        <v>-3.1884287814909484E-2</v>
      </c>
      <c r="N25" s="1">
        <f>[1]Results!Q1385</f>
        <v>-3.3925574253212964E-2</v>
      </c>
      <c r="O25" s="1">
        <f>[1]Results!R1385</f>
        <v>-3.5485996040274248E-2</v>
      </c>
      <c r="P25" s="1">
        <f>[1]Results!S1385</f>
        <v>-3.6760423385817642E-2</v>
      </c>
      <c r="Q25" s="1">
        <f>[1]Results!T1385</f>
        <v>-3.7942089555298431E-2</v>
      </c>
      <c r="R25" s="1">
        <f>[1]Results!U1385</f>
        <v>-3.9187212853408759E-2</v>
      </c>
      <c r="S25" s="1">
        <f>[1]Results!V1385</f>
        <v>-4.0641397919827238E-2</v>
      </c>
      <c r="T25" s="1">
        <f>[1]Results!W1385</f>
        <v>-4.2372127766177048E-2</v>
      </c>
      <c r="U25" s="1">
        <f>[1]Results!X1385</f>
        <v>-4.4430844533083214E-2</v>
      </c>
      <c r="V25" s="1">
        <f>[1]Results!Y1385</f>
        <v>-4.6838074059585288E-2</v>
      </c>
      <c r="W25" s="1">
        <f>[1]Results!Z1385</f>
        <v>-4.9539843699009101E-2</v>
      </c>
      <c r="X25" s="1">
        <f>[1]Results!AA1385</f>
        <v>-5.2587055967889818E-2</v>
      </c>
      <c r="Y25" s="1">
        <f>[1]Results!AB1385</f>
        <v>-5.5901770410460294E-2</v>
      </c>
      <c r="Z25" s="1">
        <f>[1]Results!AC1385</f>
        <v>-5.9418455264270698E-2</v>
      </c>
      <c r="AA25" s="1">
        <f>[1]Results!AD1385</f>
        <v>-6.3082572016504024E-2</v>
      </c>
      <c r="AB25" s="1">
        <f>[1]Results!AE1385</f>
        <v>-6.6693253880389936E-2</v>
      </c>
      <c r="AC25" s="1">
        <f>[1]Results!AF1385</f>
        <v>-7.0408440791236426E-2</v>
      </c>
      <c r="AD25" s="1">
        <f>[1]Results!AG1385</f>
        <v>-7.416229305566846E-2</v>
      </c>
      <c r="AE25" s="1">
        <f>[1]Results!AH1385</f>
        <v>-7.789916467806357E-2</v>
      </c>
      <c r="AF25" s="1">
        <f>[1]Results!AI1385</f>
        <v>-8.1587102937008549E-2</v>
      </c>
      <c r="AG25" s="1">
        <f>[1]Results!AJ1385</f>
        <v>-8.5216405410826201E-2</v>
      </c>
      <c r="AH25" s="1">
        <f>[1]Results!AK1385</f>
        <v>-8.8781904149093371E-2</v>
      </c>
      <c r="AI25" s="1">
        <f>[1]Results!AL1385</f>
        <v>-9.2299855280175702E-2</v>
      </c>
      <c r="AJ25" s="1">
        <f>[1]Results!AM1385</f>
        <v>-9.5785716474805493E-2</v>
      </c>
      <c r="AK25" s="1">
        <f>[1]Results!AN1385</f>
        <v>-9.925702759494559E-2</v>
      </c>
      <c r="AL25" s="1">
        <f>[1]Results!AO1385</f>
        <v>-0.10273359338272003</v>
      </c>
      <c r="AM25" s="1">
        <f>[1]Results!AP1385</f>
        <v>-0.10608057998875431</v>
      </c>
      <c r="AN25" s="1">
        <f>[1]Results!AQ1385</f>
        <v>-0.10937528440608801</v>
      </c>
      <c r="AO25" s="1">
        <f>[1]Results!AR1385</f>
        <v>-0.11260614987725903</v>
      </c>
      <c r="AP25" s="1">
        <f>[1]Results!AS1385</f>
        <v>-0.11574243983286658</v>
      </c>
      <c r="AQ25" s="1">
        <f>[1]Results!AT1385</f>
        <v>-0.11878049126257118</v>
      </c>
      <c r="AR25" s="1">
        <f>[1]Results!AU1385</f>
        <v>-0.12906884530154983</v>
      </c>
      <c r="AS25" s="1">
        <f>[1]Results!AV1385</f>
        <v>-0.14542808581711197</v>
      </c>
      <c r="AT25" s="1">
        <f>[1]Results!AW1385</f>
        <v>-0.16385534489413711</v>
      </c>
      <c r="AU25" s="1">
        <f>[1]Results!AX1385</f>
        <v>-0.18086520470703693</v>
      </c>
      <c r="AV25" s="1">
        <f>[1]Results!AY1385</f>
        <v>-0.19456150463552646</v>
      </c>
      <c r="AW25" s="1">
        <f>[1]Results!AZ1385</f>
        <v>-0.1944571781928639</v>
      </c>
      <c r="AX25" s="1">
        <f>[1]Results!BA1385</f>
        <v>-0.18280743863755555</v>
      </c>
      <c r="AY25" s="1">
        <f>[1]Results!BB1385</f>
        <v>-0.16612107311241298</v>
      </c>
      <c r="AZ25" s="1">
        <f>[1]Results!BC1385</f>
        <v>-0.1502113661499771</v>
      </c>
      <c r="BA25" s="1">
        <f>[1]Results!BD1385</f>
        <v>-0.13852612995914892</v>
      </c>
      <c r="BB25" s="1">
        <f>[1]Results!BE1385</f>
        <v>5.0694879674284543E-2</v>
      </c>
      <c r="BC25" s="1">
        <f>[1]Results!BF1385</f>
        <v>5.4749036903967152E-2</v>
      </c>
      <c r="BD25" s="1">
        <f>[1]Results!BG1385</f>
        <v>5.8653461274560392E-2</v>
      </c>
      <c r="BE25" s="1">
        <f>[1]Results!BH1385</f>
        <v>6.230993204430213E-2</v>
      </c>
      <c r="BF25" s="1">
        <f>[1]Results!BI1385</f>
        <v>6.5658514727173767E-2</v>
      </c>
    </row>
    <row r="26" spans="1:58" x14ac:dyDescent="0.35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-1.0046591429513363E-2</v>
      </c>
      <c r="D26" s="1">
        <f>[1]Results!G1386</f>
        <v>-1.9861129623066631E-2</v>
      </c>
      <c r="E26" s="1">
        <f>[1]Results!H1386</f>
        <v>-2.8088110685764445E-2</v>
      </c>
      <c r="F26" s="1">
        <f>[1]Results!I1386</f>
        <v>-3.4825331094634482E-2</v>
      </c>
      <c r="G26" s="1">
        <f>[1]Results!J1386</f>
        <v>-4.1314131342218285E-2</v>
      </c>
      <c r="H26" s="1">
        <f>[1]Results!K1386</f>
        <v>-4.8785428059605618E-2</v>
      </c>
      <c r="I26" s="1">
        <f>[1]Results!L1386</f>
        <v>-5.7715033397531812E-2</v>
      </c>
      <c r="J26" s="1">
        <f>[1]Results!M1386</f>
        <v>-6.8015044386937618E-2</v>
      </c>
      <c r="K26" s="1">
        <f>[1]Results!N1386</f>
        <v>-7.932502204525127E-2</v>
      </c>
      <c r="L26" s="1">
        <f>[1]Results!O1386</f>
        <v>-9.1204423259616529E-2</v>
      </c>
      <c r="M26" s="1">
        <f>[1]Results!P1386</f>
        <v>-0.10327395228162395</v>
      </c>
      <c r="N26" s="1">
        <f>[1]Results!Q1386</f>
        <v>-0.11530899353553448</v>
      </c>
      <c r="O26" s="1">
        <f>[1]Results!R1386</f>
        <v>-0.12706929822813295</v>
      </c>
      <c r="P26" s="1">
        <f>[1]Results!S1386</f>
        <v>-0.13847737506607061</v>
      </c>
      <c r="Q26" s="1">
        <f>[1]Results!T1386</f>
        <v>-0.14952626167872296</v>
      </c>
      <c r="R26" s="1">
        <f>[1]Results!U1386</f>
        <v>-0.1602348828492195</v>
      </c>
      <c r="S26" s="1">
        <f>[1]Results!V1386</f>
        <v>-0.17074551147071571</v>
      </c>
      <c r="T26" s="1">
        <f>[1]Results!W1386</f>
        <v>-0.18100927333052352</v>
      </c>
      <c r="U26" s="1">
        <f>[1]Results!X1386</f>
        <v>-0.19106445886495349</v>
      </c>
      <c r="V26" s="1">
        <f>[1]Results!Y1386</f>
        <v>-0.20096284293659172</v>
      </c>
      <c r="W26" s="1">
        <f>[1]Results!Z1386</f>
        <v>-0.21073663820037059</v>
      </c>
      <c r="X26" s="1">
        <f>[1]Results!AA1386</f>
        <v>-0.22046706397442772</v>
      </c>
      <c r="Y26" s="1">
        <f>[1]Results!AB1386</f>
        <v>-0.23015984572997139</v>
      </c>
      <c r="Z26" s="1">
        <f>[1]Results!AC1386</f>
        <v>-0.23981803138412028</v>
      </c>
      <c r="AA26" s="1">
        <f>[1]Results!AD1386</f>
        <v>-0.2494355841435647</v>
      </c>
      <c r="AB26" s="1">
        <f>[1]Results!AE1386</f>
        <v>-0.25894098240000218</v>
      </c>
      <c r="AC26" s="1">
        <f>[1]Results!AF1386</f>
        <v>-0.2683904786666802</v>
      </c>
      <c r="AD26" s="1">
        <f>[1]Results!AG1386</f>
        <v>-0.27778355592137371</v>
      </c>
      <c r="AE26" s="1">
        <f>[1]Results!AH1386</f>
        <v>-0.28708684828305797</v>
      </c>
      <c r="AF26" s="1">
        <f>[1]Results!AI1386</f>
        <v>-0.29625516749690606</v>
      </c>
      <c r="AG26" s="1">
        <f>[1]Results!AJ1386</f>
        <v>-0.30524564926901476</v>
      </c>
      <c r="AH26" s="1">
        <f>[1]Results!AK1386</f>
        <v>-0.31399504441589343</v>
      </c>
      <c r="AI26" s="1">
        <f>[1]Results!AL1386</f>
        <v>-0.32249714503441718</v>
      </c>
      <c r="AJ26" s="1">
        <f>[1]Results!AM1386</f>
        <v>-0.33073464414278275</v>
      </c>
      <c r="AK26" s="1">
        <f>[1]Results!AN1386</f>
        <v>-0.33869432341964156</v>
      </c>
      <c r="AL26" s="1">
        <f>[1]Results!AO1386</f>
        <v>-0.34636911416471294</v>
      </c>
      <c r="AM26" s="1">
        <f>[1]Results!AP1386</f>
        <v>-0.35347773006864092</v>
      </c>
      <c r="AN26" s="1">
        <f>[1]Results!AQ1386</f>
        <v>-0.36021709286575554</v>
      </c>
      <c r="AO26" s="1">
        <f>[1]Results!AR1386</f>
        <v>-0.36654107501867816</v>
      </c>
      <c r="AP26" s="1">
        <f>[1]Results!AS1386</f>
        <v>-0.3723693107249515</v>
      </c>
      <c r="AQ26" s="1">
        <f>[1]Results!AT1386</f>
        <v>-0.37765585025532067</v>
      </c>
      <c r="AR26" s="1">
        <f>[1]Results!AU1386</f>
        <v>-0.38912402147073255</v>
      </c>
      <c r="AS26" s="1">
        <f>[1]Results!AV1386</f>
        <v>-0.40949166166455164</v>
      </c>
      <c r="AT26" s="1">
        <f>[1]Results!AW1386</f>
        <v>-0.43825469614823254</v>
      </c>
      <c r="AU26" s="1">
        <f>[1]Results!AX1386</f>
        <v>-0.4732662131332277</v>
      </c>
      <c r="AV26" s="1">
        <f>[1]Results!AY1386</f>
        <v>-0.5120894542637866</v>
      </c>
      <c r="AW26" s="1">
        <f>[1]Results!AZ1386</f>
        <v>-0.54347262698257737</v>
      </c>
      <c r="AX26" s="1">
        <f>[1]Results!BA1386</f>
        <v>-0.56263219207883797</v>
      </c>
      <c r="AY26" s="1">
        <f>[1]Results!BB1386</f>
        <v>-0.56967807794725545</v>
      </c>
      <c r="AZ26" s="1">
        <f>[1]Results!BC1386</f>
        <v>-0.56729298042924592</v>
      </c>
      <c r="BA26" s="1">
        <f>[1]Results!BD1386</f>
        <v>-0.5587004508761706</v>
      </c>
      <c r="BB26" s="1">
        <f>[1]Results!BE1386</f>
        <v>-2.4029598338692892E-2</v>
      </c>
      <c r="BC26" s="1">
        <f>[1]Results!BF1386</f>
        <v>-2.9464789680022641E-3</v>
      </c>
      <c r="BD26" s="1">
        <f>[1]Results!BG1386</f>
        <v>1.9727906363664616E-2</v>
      </c>
      <c r="BE26" s="1">
        <f>[1]Results!BH1386</f>
        <v>4.3856441714518191E-2</v>
      </c>
      <c r="BF26" s="1">
        <f>[1]Results!BI1386</f>
        <v>6.9296504480398369E-2</v>
      </c>
    </row>
    <row r="27" spans="1:58" x14ac:dyDescent="0.35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-1.844959944382607E-2</v>
      </c>
      <c r="D27" s="1">
        <f>[1]Results!G1387</f>
        <v>-4.2655322695228648E-2</v>
      </c>
      <c r="E27" s="1">
        <f>[1]Results!H1387</f>
        <v>-5.66509587179298E-2</v>
      </c>
      <c r="F27" s="1">
        <f>[1]Results!I1387</f>
        <v>-6.4066906835891224E-2</v>
      </c>
      <c r="G27" s="1">
        <f>[1]Results!J1387</f>
        <v>-6.9973176384408031E-2</v>
      </c>
      <c r="H27" s="1">
        <f>[1]Results!K1387</f>
        <v>-7.8150135627130801E-2</v>
      </c>
      <c r="I27" s="1">
        <f>[1]Results!L1387</f>
        <v>-8.8360988021074505E-2</v>
      </c>
      <c r="J27" s="1">
        <f>[1]Results!M1387</f>
        <v>-9.9559305706486967E-2</v>
      </c>
      <c r="K27" s="1">
        <f>[1]Results!N1387</f>
        <v>-0.11059703155600342</v>
      </c>
      <c r="L27" s="1">
        <f>[1]Results!O1387</f>
        <v>-0.12059894654500303</v>
      </c>
      <c r="M27" s="1">
        <f>[1]Results!P1387</f>
        <v>-0.12912578225123816</v>
      </c>
      <c r="N27" s="1">
        <f>[1]Results!Q1387</f>
        <v>-0.13618444702760968</v>
      </c>
      <c r="O27" s="1">
        <f>[1]Results!R1387</f>
        <v>-0.14202260435123293</v>
      </c>
      <c r="P27" s="1">
        <f>[1]Results!S1387</f>
        <v>-0.14702712958992725</v>
      </c>
      <c r="Q27" s="1">
        <f>[1]Results!T1387</f>
        <v>-0.15156966035637653</v>
      </c>
      <c r="R27" s="1">
        <f>[1]Results!U1387</f>
        <v>-0.15590030592828041</v>
      </c>
      <c r="S27" s="1">
        <f>[1]Results!V1387</f>
        <v>-0.16031331686663375</v>
      </c>
      <c r="T27" s="1">
        <f>[1]Results!W1387</f>
        <v>-0.16490657296193145</v>
      </c>
      <c r="U27" s="1">
        <f>[1]Results!X1387</f>
        <v>-0.16975928795557316</v>
      </c>
      <c r="V27" s="1">
        <f>[1]Results!Y1387</f>
        <v>-0.17492671899086432</v>
      </c>
      <c r="W27" s="1">
        <f>[1]Results!Z1387</f>
        <v>-0.18042133789454295</v>
      </c>
      <c r="X27" s="1">
        <f>[1]Results!AA1387</f>
        <v>-0.18629216947473326</v>
      </c>
      <c r="Y27" s="1">
        <f>[1]Results!AB1387</f>
        <v>-0.19245538446813759</v>
      </c>
      <c r="Z27" s="1">
        <f>[1]Results!AC1387</f>
        <v>-0.19881915850638032</v>
      </c>
      <c r="AA27" s="1">
        <f>[1]Results!AD1387</f>
        <v>-0.20529346957470773</v>
      </c>
      <c r="AB27" s="1">
        <f>[1]Results!AE1387</f>
        <v>-0.21174493909017489</v>
      </c>
      <c r="AC27" s="1">
        <f>[1]Results!AF1387</f>
        <v>-0.21824960924986536</v>
      </c>
      <c r="AD27" s="1">
        <f>[1]Results!AG1387</f>
        <v>-0.22472275061078406</v>
      </c>
      <c r="AE27" s="1">
        <f>[1]Results!AH1387</f>
        <v>-0.23106958813705614</v>
      </c>
      <c r="AF27" s="1">
        <f>[1]Results!AI1387</f>
        <v>-0.23721014895857762</v>
      </c>
      <c r="AG27" s="1">
        <f>[1]Results!AJ1387</f>
        <v>-0.2430949203272692</v>
      </c>
      <c r="AH27" s="1">
        <f>[1]Results!AK1387</f>
        <v>-0.24867321932996456</v>
      </c>
      <c r="AI27" s="1">
        <f>[1]Results!AL1387</f>
        <v>-0.25395638588886493</v>
      </c>
      <c r="AJ27" s="1">
        <f>[1]Results!AM1387</f>
        <v>-0.25896659524621279</v>
      </c>
      <c r="AK27" s="1">
        <f>[1]Results!AN1387</f>
        <v>-0.26373198620400773</v>
      </c>
      <c r="AL27" s="1">
        <f>[1]Results!AO1387</f>
        <v>-0.26828354528877218</v>
      </c>
      <c r="AM27" s="1">
        <f>[1]Results!AP1387</f>
        <v>-0.27233451180342927</v>
      </c>
      <c r="AN27" s="1">
        <f>[1]Results!AQ1387</f>
        <v>-0.27602357280064327</v>
      </c>
      <c r="AO27" s="1">
        <f>[1]Results!AR1387</f>
        <v>-0.27901117785567031</v>
      </c>
      <c r="AP27" s="1">
        <f>[1]Results!AS1387</f>
        <v>-0.28103811694204506</v>
      </c>
      <c r="AQ27" s="1">
        <f>[1]Results!AT1387</f>
        <v>-0.28212129764569882</v>
      </c>
      <c r="AR27" s="1">
        <f>[1]Results!AU1387</f>
        <v>-0.29302386649249224</v>
      </c>
      <c r="AS27" s="1">
        <f>[1]Results!AV1387</f>
        <v>-0.31384898223718594</v>
      </c>
      <c r="AT27" s="1">
        <f>[1]Results!AW1387</f>
        <v>-0.33905445622449681</v>
      </c>
      <c r="AU27" s="1">
        <f>[1]Results!AX1387</f>
        <v>-0.36224625859648807</v>
      </c>
      <c r="AV27" s="1">
        <f>[1]Results!AY1387</f>
        <v>-0.37896408252938718</v>
      </c>
      <c r="AW27" s="1">
        <f>[1]Results!AZ1387</f>
        <v>-0.37295045770041613</v>
      </c>
      <c r="AX27" s="1">
        <f>[1]Results!BA1387</f>
        <v>-0.34540106149785199</v>
      </c>
      <c r="AY27" s="1">
        <f>[1]Results!BB1387</f>
        <v>-0.30617934299835836</v>
      </c>
      <c r="AZ27" s="1">
        <f>[1]Results!BC1387</f>
        <v>-0.26616649565897044</v>
      </c>
      <c r="BA27" s="1">
        <f>[1]Results!BD1387</f>
        <v>-0.23308153872807491</v>
      </c>
      <c r="BB27" s="1">
        <f>[1]Results!BE1387</f>
        <v>-0.17458533209651073</v>
      </c>
      <c r="BC27" s="1">
        <f>[1]Results!BF1387</f>
        <v>-0.18184727266860046</v>
      </c>
      <c r="BD27" s="1">
        <f>[1]Results!BG1387</f>
        <v>-0.18919186420462974</v>
      </c>
      <c r="BE27" s="1">
        <f>[1]Results!BH1387</f>
        <v>-0.19676894095761455</v>
      </c>
      <c r="BF27" s="1">
        <f>[1]Results!BI1387</f>
        <v>-0.20467680295104262</v>
      </c>
    </row>
    <row r="28" spans="1:58" x14ac:dyDescent="0.35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-6.028607038088829E-3</v>
      </c>
      <c r="D28" s="1">
        <f>[1]Results!G1388</f>
        <v>-1.2351028520740659E-2</v>
      </c>
      <c r="E28" s="1">
        <f>[1]Results!H1388</f>
        <v>-1.6678405604697577E-2</v>
      </c>
      <c r="F28" s="1">
        <f>[1]Results!I1388</f>
        <v>-1.9499993550442518E-2</v>
      </c>
      <c r="G28" s="1">
        <f>[1]Results!J1388</f>
        <v>-2.2019562982211749E-2</v>
      </c>
      <c r="H28" s="1">
        <f>[1]Results!K1388</f>
        <v>-2.514269848127304E-2</v>
      </c>
      <c r="I28" s="1">
        <f>[1]Results!L1388</f>
        <v>-2.9100226537703833E-2</v>
      </c>
      <c r="J28" s="1">
        <f>[1]Results!M1388</f>
        <v>-3.3712278631881087E-2</v>
      </c>
      <c r="K28" s="1">
        <f>[1]Results!N1388</f>
        <v>-3.8638949993363703E-2</v>
      </c>
      <c r="L28" s="1">
        <f>[1]Results!O1388</f>
        <v>-4.3534205315909347E-2</v>
      </c>
      <c r="M28" s="1">
        <f>[1]Results!P1388</f>
        <v>-4.812119995388775E-2</v>
      </c>
      <c r="N28" s="1">
        <f>[1]Results!Q1388</f>
        <v>-5.2224126112121461E-2</v>
      </c>
      <c r="O28" s="1">
        <f>[1]Results!R1388</f>
        <v>-5.5751533627390604E-2</v>
      </c>
      <c r="P28" s="1">
        <f>[1]Results!S1388</f>
        <v>-5.8696605317321016E-2</v>
      </c>
      <c r="Q28" s="1">
        <f>[1]Results!T1388</f>
        <v>-6.1095444506897856E-2</v>
      </c>
      <c r="R28" s="1">
        <f>[1]Results!U1388</f>
        <v>-6.3000270261948099E-2</v>
      </c>
      <c r="S28" s="1">
        <f>[1]Results!V1388</f>
        <v>-6.4484922925700516E-2</v>
      </c>
      <c r="T28" s="1">
        <f>[1]Results!W1388</f>
        <v>-6.5612559725614084E-2</v>
      </c>
      <c r="U28" s="1">
        <f>[1]Results!X1388</f>
        <v>-6.6464124131160318E-2</v>
      </c>
      <c r="V28" s="1">
        <f>[1]Results!Y1388</f>
        <v>-6.7120375654572406E-2</v>
      </c>
      <c r="W28" s="1">
        <f>[1]Results!Z1388</f>
        <v>-6.7651136876534235E-2</v>
      </c>
      <c r="X28" s="1">
        <f>[1]Results!AA1388</f>
        <v>-6.8122665374181768E-2</v>
      </c>
      <c r="Y28" s="1">
        <f>[1]Results!AB1388</f>
        <v>-6.8573215782752328E-2</v>
      </c>
      <c r="Z28" s="1">
        <f>[1]Results!AC1388</f>
        <v>-6.9023542888624334E-2</v>
      </c>
      <c r="AA28" s="1">
        <f>[1]Results!AD1388</f>
        <v>-6.9484562077182233E-2</v>
      </c>
      <c r="AB28" s="1">
        <f>[1]Results!AE1388</f>
        <v>-6.995237732029258E-2</v>
      </c>
      <c r="AC28" s="1">
        <f>[1]Results!AF1388</f>
        <v>-7.0451637468926798E-2</v>
      </c>
      <c r="AD28" s="1">
        <f>[1]Results!AG1388</f>
        <v>-7.0982553267262549E-2</v>
      </c>
      <c r="AE28" s="1">
        <f>[1]Results!AH1388</f>
        <v>-7.151917541579067E-2</v>
      </c>
      <c r="AF28" s="1">
        <f>[1]Results!AI1388</f>
        <v>-7.2031037260567032E-2</v>
      </c>
      <c r="AG28" s="1">
        <f>[1]Results!AJ1388</f>
        <v>-7.2492600931750584E-2</v>
      </c>
      <c r="AH28" s="1">
        <f>[1]Results!AK1388</f>
        <v>-7.2880830636501415E-2</v>
      </c>
      <c r="AI28" s="1">
        <f>[1]Results!AL1388</f>
        <v>-7.318528021774684E-2</v>
      </c>
      <c r="AJ28" s="1">
        <f>[1]Results!AM1388</f>
        <v>-7.3397537776298538E-2</v>
      </c>
      <c r="AK28" s="1">
        <f>[1]Results!AN1388</f>
        <v>-7.3513636026389939E-2</v>
      </c>
      <c r="AL28" s="1">
        <f>[1]Results!AO1388</f>
        <v>-7.3534622268656147E-2</v>
      </c>
      <c r="AM28" s="1">
        <f>[1]Results!AP1388</f>
        <v>-7.3411753865326723E-2</v>
      </c>
      <c r="AN28" s="1">
        <f>[1]Results!AQ1388</f>
        <v>-7.3169695347785613E-2</v>
      </c>
      <c r="AO28" s="1">
        <f>[1]Results!AR1388</f>
        <v>-7.2769934906058431E-2</v>
      </c>
      <c r="AP28" s="1">
        <f>[1]Results!AS1388</f>
        <v>-7.216572829528145E-2</v>
      </c>
      <c r="AQ28" s="1">
        <f>[1]Results!AT1388</f>
        <v>-7.1339125766134437E-2</v>
      </c>
      <c r="AR28" s="1">
        <f>[1]Results!AU1388</f>
        <v>-7.6118025276417089E-2</v>
      </c>
      <c r="AS28" s="1">
        <f>[1]Results!AV1388</f>
        <v>-8.758804522048802E-2</v>
      </c>
      <c r="AT28" s="1">
        <f>[1]Results!AW1388</f>
        <v>-0.10421601868952912</v>
      </c>
      <c r="AU28" s="1">
        <f>[1]Results!AX1388</f>
        <v>-0.12366689150780097</v>
      </c>
      <c r="AV28" s="1">
        <f>[1]Results!AY1388</f>
        <v>-0.14383440917203894</v>
      </c>
      <c r="AW28" s="1">
        <f>[1]Results!AZ1388</f>
        <v>-0.1552672872817018</v>
      </c>
      <c r="AX28" s="1">
        <f>[1]Results!BA1388</f>
        <v>-0.15572504459809844</v>
      </c>
      <c r="AY28" s="1">
        <f>[1]Results!BB1388</f>
        <v>-0.14697187644808762</v>
      </c>
      <c r="AZ28" s="1">
        <f>[1]Results!BC1388</f>
        <v>-0.13209915500279612</v>
      </c>
      <c r="BA28" s="1">
        <f>[1]Results!BD1388</f>
        <v>-0.11399639797912142</v>
      </c>
      <c r="BB28" s="1">
        <f>[1]Results!BE1388</f>
        <v>-4.6237572208673861E-2</v>
      </c>
      <c r="BC28" s="1">
        <f>[1]Results!BF1388</f>
        <v>-3.9788414709518438E-2</v>
      </c>
      <c r="BD28" s="1">
        <f>[1]Results!BG1388</f>
        <v>-3.2910111721817792E-2</v>
      </c>
      <c r="BE28" s="1">
        <f>[1]Results!BH1388</f>
        <v>-2.5688620004793439E-2</v>
      </c>
      <c r="BF28" s="1">
        <f>[1]Results!BI1388</f>
        <v>-1.8194280593819556E-2</v>
      </c>
    </row>
    <row r="29" spans="1:58" x14ac:dyDescent="0.35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8.2456910945882811E-3</v>
      </c>
      <c r="D29" s="1">
        <f>[1]Results!G1389</f>
        <v>1.7504830634229585E-2</v>
      </c>
      <c r="E29" s="1">
        <f>[1]Results!H1389</f>
        <v>2.678316654720625E-2</v>
      </c>
      <c r="F29" s="1">
        <f>[1]Results!I1389</f>
        <v>3.5858209023409415E-2</v>
      </c>
      <c r="G29" s="1">
        <f>[1]Results!J1389</f>
        <v>4.5249252714008037E-2</v>
      </c>
      <c r="H29" s="1">
        <f>[1]Results!K1389</f>
        <v>5.5588594383038092E-2</v>
      </c>
      <c r="I29" s="1">
        <f>[1]Results!L1389</f>
        <v>6.7457984308361141E-2</v>
      </c>
      <c r="J29" s="1">
        <f>[1]Results!M1389</f>
        <v>8.114953875877351E-2</v>
      </c>
      <c r="K29" s="1">
        <f>[1]Results!N1389</f>
        <v>9.6662601412234039E-2</v>
      </c>
      <c r="L29" s="1">
        <f>[1]Results!O1389</f>
        <v>0.11377778984222875</v>
      </c>
      <c r="M29" s="1">
        <f>[1]Results!P1389</f>
        <v>0.132114916656767</v>
      </c>
      <c r="N29" s="1">
        <f>[1]Results!Q1389</f>
        <v>0.15130159562379841</v>
      </c>
      <c r="O29" s="1">
        <f>[1]Results!R1389</f>
        <v>0.17094761207074871</v>
      </c>
      <c r="P29" s="1">
        <f>[1]Results!S1389</f>
        <v>0.19072574986154223</v>
      </c>
      <c r="Q29" s="1">
        <f>[1]Results!T1389</f>
        <v>0.21037723160486355</v>
      </c>
      <c r="R29" s="1">
        <f>[1]Results!U1389</f>
        <v>0.22971709953252262</v>
      </c>
      <c r="S29" s="1">
        <f>[1]Results!V1389</f>
        <v>0.24860608124022132</v>
      </c>
      <c r="T29" s="1">
        <f>[1]Results!W1389</f>
        <v>0.26699744919598256</v>
      </c>
      <c r="U29" s="1">
        <f>[1]Results!X1389</f>
        <v>0.28491195754620779</v>
      </c>
      <c r="V29" s="1">
        <f>[1]Results!Y1389</f>
        <v>0.30241309471861211</v>
      </c>
      <c r="W29" s="1">
        <f>[1]Results!Z1389</f>
        <v>0.31961522366155126</v>
      </c>
      <c r="X29" s="1">
        <f>[1]Results!AA1389</f>
        <v>0.33659490902919753</v>
      </c>
      <c r="Y29" s="1">
        <f>[1]Results!AB1389</f>
        <v>0.35345767301486752</v>
      </c>
      <c r="Z29" s="1">
        <f>[1]Results!AC1389</f>
        <v>0.37029625210340811</v>
      </c>
      <c r="AA29" s="1">
        <f>[1]Results!AD1389</f>
        <v>0.38719052039313251</v>
      </c>
      <c r="AB29" s="1">
        <f>[1]Results!AE1389</f>
        <v>0.40429441690570389</v>
      </c>
      <c r="AC29" s="1">
        <f>[1]Results!AF1389</f>
        <v>0.42162769773368414</v>
      </c>
      <c r="AD29" s="1">
        <f>[1]Results!AG1389</f>
        <v>0.43922828646625334</v>
      </c>
      <c r="AE29" s="1">
        <f>[1]Results!AH1389</f>
        <v>0.45710275773238607</v>
      </c>
      <c r="AF29" s="1">
        <f>[1]Results!AI1389</f>
        <v>0.47523517930481152</v>
      </c>
      <c r="AG29" s="1">
        <f>[1]Results!AJ1389</f>
        <v>0.49359731516926963</v>
      </c>
      <c r="AH29" s="1">
        <f>[1]Results!AK1389</f>
        <v>0.51216044670332472</v>
      </c>
      <c r="AI29" s="1">
        <f>[1]Results!AL1389</f>
        <v>0.53088795472280292</v>
      </c>
      <c r="AJ29" s="1">
        <f>[1]Results!AM1389</f>
        <v>0.54974112488070936</v>
      </c>
      <c r="AK29" s="1">
        <f>[1]Results!AN1389</f>
        <v>0.56868454784351208</v>
      </c>
      <c r="AL29" s="1">
        <f>[1]Results!AO1389</f>
        <v>0.58768870629872794</v>
      </c>
      <c r="AM29" s="1">
        <f>[1]Results!AP1389</f>
        <v>0.60678856429257078</v>
      </c>
      <c r="AN29" s="1">
        <f>[1]Results!AQ1389</f>
        <v>0.62593464557043621</v>
      </c>
      <c r="AO29" s="1">
        <f>[1]Results!AR1389</f>
        <v>0.64507431199711807</v>
      </c>
      <c r="AP29" s="1">
        <f>[1]Results!AS1389</f>
        <v>0.66416545275744809</v>
      </c>
      <c r="AQ29" s="1">
        <f>[1]Results!AT1389</f>
        <v>0.68316095954850109</v>
      </c>
      <c r="AR29" s="1">
        <f>[1]Results!AU1389</f>
        <v>0.70941374828663584</v>
      </c>
      <c r="AS29" s="1">
        <f>[1]Results!AV1389</f>
        <v>0.74667699879640281</v>
      </c>
      <c r="AT29" s="1">
        <f>[1]Results!AW1389</f>
        <v>0.79628659996586748</v>
      </c>
      <c r="AU29" s="1">
        <f>[1]Results!AX1389</f>
        <v>0.85755612244642343</v>
      </c>
      <c r="AV29" s="1">
        <f>[1]Results!AY1389</f>
        <v>0.92870645011247088</v>
      </c>
      <c r="AW29" s="1">
        <f>[1]Results!AZ1389</f>
        <v>0.99743637113705041</v>
      </c>
      <c r="AX29" s="1">
        <f>[1]Results!BA1389</f>
        <v>1.0563433970845137</v>
      </c>
      <c r="AY29" s="1">
        <f>[1]Results!BB1389</f>
        <v>1.1015586475412453</v>
      </c>
      <c r="AZ29" s="1">
        <f>[1]Results!BC1389</f>
        <v>1.1323267380551671</v>
      </c>
      <c r="BA29" s="1">
        <f>[1]Results!BD1389</f>
        <v>1.1497393223790731</v>
      </c>
      <c r="BB29" s="1">
        <f>[1]Results!BE1389</f>
        <v>0.8125431429759411</v>
      </c>
      <c r="BC29" s="1">
        <f>[1]Results!BF1389</f>
        <v>0.84413600174433334</v>
      </c>
      <c r="BD29" s="1">
        <f>[1]Results!BG1389</f>
        <v>0.87530829797670684</v>
      </c>
      <c r="BE29" s="1">
        <f>[1]Results!BH1389</f>
        <v>0.90604525289521565</v>
      </c>
      <c r="BF29" s="1">
        <f>[1]Results!BI1389</f>
        <v>0.93634214291802298</v>
      </c>
    </row>
    <row r="30" spans="1:58" x14ac:dyDescent="0.35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-1.1584992066882016E-2</v>
      </c>
      <c r="D30" s="1">
        <f>[1]Results!G1390</f>
        <v>-1.4504592457131871E-2</v>
      </c>
      <c r="E30" s="1">
        <f>[1]Results!H1390</f>
        <v>-1.4106896556720372E-2</v>
      </c>
      <c r="F30" s="1">
        <f>[1]Results!I1390</f>
        <v>-1.3663442513944801E-2</v>
      </c>
      <c r="G30" s="1">
        <f>[1]Results!J1390</f>
        <v>-1.4625357340514178E-2</v>
      </c>
      <c r="H30" s="1">
        <f>[1]Results!K1390</f>
        <v>-1.7137377639309115E-2</v>
      </c>
      <c r="I30" s="1">
        <f>[1]Results!L1390</f>
        <v>-2.0589987719454861E-2</v>
      </c>
      <c r="J30" s="1">
        <f>[1]Results!M1390</f>
        <v>-2.4287146473378485E-2</v>
      </c>
      <c r="K30" s="1">
        <f>[1]Results!N1390</f>
        <v>-2.771932322862547E-2</v>
      </c>
      <c r="L30" s="1">
        <f>[1]Results!O1390</f>
        <v>-3.0621892288040797E-2</v>
      </c>
      <c r="M30" s="1">
        <f>[1]Results!P1390</f>
        <v>-3.2987725012945113E-2</v>
      </c>
      <c r="N30" s="1">
        <f>[1]Results!Q1390</f>
        <v>-3.4820656930767413E-2</v>
      </c>
      <c r="O30" s="1">
        <f>[1]Results!R1390</f>
        <v>-3.6294146514070924E-2</v>
      </c>
      <c r="P30" s="1">
        <f>[1]Results!S1390</f>
        <v>-3.7606582073879125E-2</v>
      </c>
      <c r="Q30" s="1">
        <f>[1]Results!T1390</f>
        <v>-3.8920311185242085E-2</v>
      </c>
      <c r="R30" s="1">
        <f>[1]Results!U1390</f>
        <v>-4.0350950979295419E-2</v>
      </c>
      <c r="S30" s="1">
        <f>[1]Results!V1390</f>
        <v>-4.2028983477115922E-2</v>
      </c>
      <c r="T30" s="1">
        <f>[1]Results!W1390</f>
        <v>-4.3975307107868566E-2</v>
      </c>
      <c r="U30" s="1">
        <f>[1]Results!X1390</f>
        <v>-4.6237156122819201E-2</v>
      </c>
      <c r="V30" s="1">
        <f>[1]Results!Y1390</f>
        <v>-4.8824853736251228E-2</v>
      </c>
      <c r="W30" s="1">
        <f>[1]Results!Z1390</f>
        <v>-5.1665058633365568E-2</v>
      </c>
      <c r="X30" s="1">
        <f>[1]Results!AA1390</f>
        <v>-5.4839106952697669E-2</v>
      </c>
      <c r="Y30" s="1">
        <f>[1]Results!AB1390</f>
        <v>-5.8243414219782963E-2</v>
      </c>
      <c r="Z30" s="1">
        <f>[1]Results!AC1390</f>
        <v>-6.1823270840499767E-2</v>
      </c>
      <c r="AA30" s="1">
        <f>[1]Results!AD1390</f>
        <v>-6.5533155564745371E-2</v>
      </c>
      <c r="AB30" s="1">
        <f>[1]Results!AE1390</f>
        <v>-6.9135700222711094E-2</v>
      </c>
      <c r="AC30" s="1">
        <f>[1]Results!AF1390</f>
        <v>-7.2882003485830182E-2</v>
      </c>
      <c r="AD30" s="1">
        <f>[1]Results!AG1390</f>
        <v>-7.6661329028060443E-2</v>
      </c>
      <c r="AE30" s="1">
        <f>[1]Results!AH1390</f>
        <v>-8.0423060034306992E-2</v>
      </c>
      <c r="AF30" s="1">
        <f>[1]Results!AI1390</f>
        <v>-8.4143479784803965E-2</v>
      </c>
      <c r="AG30" s="1">
        <f>[1]Results!AJ1390</f>
        <v>-8.7818843486453524E-2</v>
      </c>
      <c r="AH30" s="1">
        <f>[1]Results!AK1390</f>
        <v>-9.1439755316047311E-2</v>
      </c>
      <c r="AI30" s="1">
        <f>[1]Results!AL1390</f>
        <v>-9.5028570456845429E-2</v>
      </c>
      <c r="AJ30" s="1">
        <f>[1]Results!AM1390</f>
        <v>-9.8595117886457473E-2</v>
      </c>
      <c r="AK30" s="1">
        <f>[1]Results!AN1390</f>
        <v>-0.10215479663566729</v>
      </c>
      <c r="AL30" s="1">
        <f>[1]Results!AO1390</f>
        <v>-0.10572561865407337</v>
      </c>
      <c r="AM30" s="1">
        <f>[1]Results!AP1390</f>
        <v>-0.10910180612375697</v>
      </c>
      <c r="AN30" s="1">
        <f>[1]Results!AQ1390</f>
        <v>-0.11245762178404561</v>
      </c>
      <c r="AO30" s="1">
        <f>[1]Results!AR1390</f>
        <v>-0.11573518566230234</v>
      </c>
      <c r="AP30" s="1">
        <f>[1]Results!AS1390</f>
        <v>-0.11890165358197091</v>
      </c>
      <c r="AQ30" s="1">
        <f>[1]Results!AT1390</f>
        <v>-0.12197142329699595</v>
      </c>
      <c r="AR30" s="1">
        <f>[1]Results!AU1390</f>
        <v>-0.13578032116547956</v>
      </c>
      <c r="AS30" s="1">
        <f>[1]Results!AV1390</f>
        <v>-0.15435858321264373</v>
      </c>
      <c r="AT30" s="1">
        <f>[1]Results!AW1390</f>
        <v>-0.1727108972038538</v>
      </c>
      <c r="AU30" s="1">
        <f>[1]Results!AX1390</f>
        <v>-0.18814624062162277</v>
      </c>
      <c r="AV30" s="1">
        <f>[1]Results!AY1390</f>
        <v>-0.19985602330998553</v>
      </c>
      <c r="AW30" s="1">
        <f>[1]Results!AZ1390</f>
        <v>-0.19323968954949589</v>
      </c>
      <c r="AX30" s="1">
        <f>[1]Results!BA1390</f>
        <v>-0.17757365065662611</v>
      </c>
      <c r="AY30" s="1">
        <f>[1]Results!BB1390</f>
        <v>-0.16075500001222487</v>
      </c>
      <c r="AZ30" s="1">
        <f>[1]Results!BC1390</f>
        <v>-0.14734182765574477</v>
      </c>
      <c r="BA30" s="1">
        <f>[1]Results!BD1390</f>
        <v>-0.13906010146123027</v>
      </c>
      <c r="BB30" s="1">
        <f>[1]Results!BE1390</f>
        <v>4.7498446736571331E-2</v>
      </c>
      <c r="BC30" s="1">
        <f>[1]Results!BF1390</f>
        <v>5.1407209653087094E-2</v>
      </c>
      <c r="BD30" s="1">
        <f>[1]Results!BG1390</f>
        <v>5.5114852930970848E-2</v>
      </c>
      <c r="BE30" s="1">
        <f>[1]Results!BH1390</f>
        <v>5.8544590700004839E-2</v>
      </c>
      <c r="BF30" s="1">
        <f>[1]Results!BI1390</f>
        <v>6.1660941499108723E-2</v>
      </c>
    </row>
    <row r="31" spans="1:58" x14ac:dyDescent="0.35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1.0526965438906188E-3</v>
      </c>
      <c r="D31" s="1">
        <f>[1]Results!G1391</f>
        <v>7.7945350522190537E-3</v>
      </c>
      <c r="E31" s="1">
        <f>[1]Results!H1391</f>
        <v>1.6477081554211459E-2</v>
      </c>
      <c r="F31" s="1">
        <f>[1]Results!I1391</f>
        <v>2.5499699130460129E-2</v>
      </c>
      <c r="G31" s="1">
        <f>[1]Results!J1391</f>
        <v>3.5183709755037818E-2</v>
      </c>
      <c r="H31" s="1">
        <f>[1]Results!K1391</f>
        <v>4.6508775809139813E-2</v>
      </c>
      <c r="I31" s="1">
        <f>[1]Results!L1391</f>
        <v>6.0182348382098461E-2</v>
      </c>
      <c r="J31" s="1">
        <f>[1]Results!M1391</f>
        <v>7.6451821072098802E-2</v>
      </c>
      <c r="K31" s="1">
        <f>[1]Results!N1391</f>
        <v>9.5155689764614415E-2</v>
      </c>
      <c r="L31" s="1">
        <f>[1]Results!O1391</f>
        <v>0.11588021901729473</v>
      </c>
      <c r="M31" s="1">
        <f>[1]Results!P1391</f>
        <v>0.13806955312415381</v>
      </c>
      <c r="N31" s="1">
        <f>[1]Results!Q1391</f>
        <v>0.16116748462083885</v>
      </c>
      <c r="O31" s="1">
        <f>[1]Results!R1391</f>
        <v>0.18474725686283833</v>
      </c>
      <c r="P31" s="1">
        <f>[1]Results!S1391</f>
        <v>0.2084791091196192</v>
      </c>
      <c r="Q31" s="1">
        <f>[1]Results!T1391</f>
        <v>0.23211747228992774</v>
      </c>
      <c r="R31" s="1">
        <f>[1]Results!U1391</f>
        <v>0.25548486089701505</v>
      </c>
      <c r="S31" s="1">
        <f>[1]Results!V1391</f>
        <v>0.27836680395627589</v>
      </c>
      <c r="T31" s="1">
        <f>[1]Results!W1391</f>
        <v>0.30073468261686553</v>
      </c>
      <c r="U31" s="1">
        <f>[1]Results!X1391</f>
        <v>0.32261542149013556</v>
      </c>
      <c r="V31" s="1">
        <f>[1]Results!Y1391</f>
        <v>0.34407437044420286</v>
      </c>
      <c r="W31" s="1">
        <f>[1]Results!Z1391</f>
        <v>0.36523441973523862</v>
      </c>
      <c r="X31" s="1">
        <f>[1]Results!AA1391</f>
        <v>0.38616187420433823</v>
      </c>
      <c r="Y31" s="1">
        <f>[1]Results!AB1391</f>
        <v>0.40696063782703629</v>
      </c>
      <c r="Z31" s="1">
        <f>[1]Results!AC1391</f>
        <v>0.42771882696448493</v>
      </c>
      <c r="AA31" s="1">
        <f>[1]Results!AD1391</f>
        <v>0.44851044873401857</v>
      </c>
      <c r="AB31" s="1">
        <f>[1]Results!AE1391</f>
        <v>0.46950991422072264</v>
      </c>
      <c r="AC31" s="1">
        <f>[1]Results!AF1391</f>
        <v>0.490735181618418</v>
      </c>
      <c r="AD31" s="1">
        <f>[1]Results!AG1391</f>
        <v>0.5122060045552046</v>
      </c>
      <c r="AE31" s="1">
        <f>[1]Results!AH1391</f>
        <v>0.53391380440742653</v>
      </c>
      <c r="AF31" s="1">
        <f>[1]Results!AI1391</f>
        <v>0.55583040061651934</v>
      </c>
      <c r="AG31" s="1">
        <f>[1]Results!AJ1391</f>
        <v>0.57791868988287254</v>
      </c>
      <c r="AH31" s="1">
        <f>[1]Results!AK1391</f>
        <v>0.60016063631525007</v>
      </c>
      <c r="AI31" s="1">
        <f>[1]Results!AL1391</f>
        <v>0.6225099319969063</v>
      </c>
      <c r="AJ31" s="1">
        <f>[1]Results!AM1391</f>
        <v>0.64492202332609994</v>
      </c>
      <c r="AK31" s="1">
        <f>[1]Results!AN1391</f>
        <v>0.66735766911745209</v>
      </c>
      <c r="AL31" s="1">
        <f>[1]Results!AO1391</f>
        <v>0.68978488558379958</v>
      </c>
      <c r="AM31" s="1">
        <f>[1]Results!AP1391</f>
        <v>0.71238533451835062</v>
      </c>
      <c r="AN31" s="1">
        <f>[1]Results!AQ1391</f>
        <v>0.73504228216618728</v>
      </c>
      <c r="AO31" s="1">
        <f>[1]Results!AR1391</f>
        <v>0.75760804052884545</v>
      </c>
      <c r="AP31" s="1">
        <f>[1]Results!AS1391</f>
        <v>0.77993891258970605</v>
      </c>
      <c r="AQ31" s="1">
        <f>[1]Results!AT1391</f>
        <v>0.80192027811289979</v>
      </c>
      <c r="AR31" s="1">
        <f>[1]Results!AU1391</f>
        <v>0.83180291164364206</v>
      </c>
      <c r="AS31" s="1">
        <f>[1]Results!AV1391</f>
        <v>0.87487598228255248</v>
      </c>
      <c r="AT31" s="1">
        <f>[1]Results!AW1391</f>
        <v>0.93334147726820138</v>
      </c>
      <c r="AU31" s="1">
        <f>[1]Results!AX1391</f>
        <v>1.0065763296689068</v>
      </c>
      <c r="AV31" s="1">
        <f>[1]Results!AY1391</f>
        <v>1.092400640544966</v>
      </c>
      <c r="AW31" s="1">
        <f>[1]Results!AZ1391</f>
        <v>1.1768101046256696</v>
      </c>
      <c r="AX31" s="1">
        <f>[1]Results!BA1391</f>
        <v>1.2499184026954935</v>
      </c>
      <c r="AY31" s="1">
        <f>[1]Results!BB1391</f>
        <v>1.3065223288145522</v>
      </c>
      <c r="AZ31" s="1">
        <f>[1]Results!BC1391</f>
        <v>1.3457259592803306</v>
      </c>
      <c r="BA31" s="1">
        <f>[1]Results!BD1391</f>
        <v>1.3691022348072179</v>
      </c>
      <c r="BB31" s="1">
        <f>[1]Results!BE1391</f>
        <v>0.67226973873200091</v>
      </c>
      <c r="BC31" s="1">
        <f>[1]Results!BF1391</f>
        <v>0.69672447596293985</v>
      </c>
      <c r="BD31" s="1">
        <f>[1]Results!BG1391</f>
        <v>0.72048719210395795</v>
      </c>
      <c r="BE31" s="1">
        <f>[1]Results!BH1391</f>
        <v>0.74351876459619604</v>
      </c>
      <c r="BF31" s="1">
        <f>[1]Results!BI1391</f>
        <v>0.76583071177447337</v>
      </c>
    </row>
    <row r="32" spans="1:58" x14ac:dyDescent="0.35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-1.8777986617579678E-2</v>
      </c>
      <c r="D32" s="1">
        <f>[1]Results!G1392</f>
        <v>-2.4214888039142402E-2</v>
      </c>
      <c r="E32" s="1">
        <f>[1]Results!H1392</f>
        <v>-2.4412981549715163E-2</v>
      </c>
      <c r="F32" s="1">
        <f>[1]Results!I1392</f>
        <v>-2.4021952406894087E-2</v>
      </c>
      <c r="G32" s="1">
        <f>[1]Results!J1392</f>
        <v>-2.4690900299484397E-2</v>
      </c>
      <c r="H32" s="1">
        <f>[1]Results!K1392</f>
        <v>-2.6217196213207394E-2</v>
      </c>
      <c r="I32" s="1">
        <f>[1]Results!L1392</f>
        <v>-2.7865623645717541E-2</v>
      </c>
      <c r="J32" s="1">
        <f>[1]Results!M1392</f>
        <v>-2.8984864160053192E-2</v>
      </c>
      <c r="K32" s="1">
        <f>[1]Results!N1392</f>
        <v>-2.9226234876245094E-2</v>
      </c>
      <c r="L32" s="1">
        <f>[1]Results!O1392</f>
        <v>-2.8519463112974819E-2</v>
      </c>
      <c r="M32" s="1">
        <f>[1]Results!P1392</f>
        <v>-2.7033088545558304E-2</v>
      </c>
      <c r="N32" s="1">
        <f>[1]Results!Q1392</f>
        <v>-2.4954767933726973E-2</v>
      </c>
      <c r="O32" s="1">
        <f>[1]Results!R1392</f>
        <v>-2.2494501721981308E-2</v>
      </c>
      <c r="P32" s="1">
        <f>[1]Results!S1392</f>
        <v>-1.9853222815802152E-2</v>
      </c>
      <c r="Q32" s="1">
        <f>[1]Results!T1392</f>
        <v>-1.7180070500177891E-2</v>
      </c>
      <c r="R32" s="1">
        <f>[1]Results!U1392</f>
        <v>-1.4583189614802983E-2</v>
      </c>
      <c r="S32" s="1">
        <f>[1]Results!V1392</f>
        <v>-1.2268260761061356E-2</v>
      </c>
      <c r="T32" s="1">
        <f>[1]Results!W1392</f>
        <v>-1.0238073686985594E-2</v>
      </c>
      <c r="U32" s="1">
        <f>[1]Results!X1392</f>
        <v>-8.5336921788914388E-3</v>
      </c>
      <c r="V32" s="1">
        <f>[1]Results!Y1392</f>
        <v>-7.1635780106604763E-3</v>
      </c>
      <c r="W32" s="1">
        <f>[1]Results!Z1392</f>
        <v>-6.0458625596782056E-3</v>
      </c>
      <c r="X32" s="1">
        <f>[1]Results!AA1392</f>
        <v>-5.2721417775569712E-3</v>
      </c>
      <c r="Y32" s="1">
        <f>[1]Results!AB1392</f>
        <v>-4.7404494076142001E-3</v>
      </c>
      <c r="Z32" s="1">
        <f>[1]Results!AC1392</f>
        <v>-4.4006959794229417E-3</v>
      </c>
      <c r="AA32" s="1">
        <f>[1]Results!AD1392</f>
        <v>-4.213227223859306E-3</v>
      </c>
      <c r="AB32" s="1">
        <f>[1]Results!AE1392</f>
        <v>-3.9202029076923495E-3</v>
      </c>
      <c r="AC32" s="1">
        <f>[1]Results!AF1392</f>
        <v>-3.7745196010963156E-3</v>
      </c>
      <c r="AD32" s="1">
        <f>[1]Results!AG1392</f>
        <v>-3.6836109391091831E-3</v>
      </c>
      <c r="AE32" s="1">
        <f>[1]Results!AH1392</f>
        <v>-3.6120133592665304E-3</v>
      </c>
      <c r="AF32" s="1">
        <f>[1]Results!AI1392</f>
        <v>-3.5482584730961442E-3</v>
      </c>
      <c r="AG32" s="1">
        <f>[1]Results!AJ1392</f>
        <v>-3.4974687728506204E-3</v>
      </c>
      <c r="AH32" s="1">
        <f>[1]Results!AK1392</f>
        <v>-3.4395657041219607E-3</v>
      </c>
      <c r="AI32" s="1">
        <f>[1]Results!AL1392</f>
        <v>-3.406593182742057E-3</v>
      </c>
      <c r="AJ32" s="1">
        <f>[1]Results!AM1392</f>
        <v>-3.4142194410669013E-3</v>
      </c>
      <c r="AK32" s="1">
        <f>[1]Results!AN1392</f>
        <v>-3.4816753617272767E-3</v>
      </c>
      <c r="AL32" s="1">
        <f>[1]Results!AO1392</f>
        <v>-3.6294393690017301E-3</v>
      </c>
      <c r="AM32" s="1">
        <f>[1]Results!AP1392</f>
        <v>-3.5050358979771268E-3</v>
      </c>
      <c r="AN32" s="1">
        <f>[1]Results!AQ1392</f>
        <v>-3.3499851882945464E-3</v>
      </c>
      <c r="AO32" s="1">
        <f>[1]Results!AR1392</f>
        <v>-3.2014571305749584E-3</v>
      </c>
      <c r="AP32" s="1">
        <f>[1]Results!AS1392</f>
        <v>-3.1281937497129597E-3</v>
      </c>
      <c r="AQ32" s="1">
        <f>[1]Results!AT1392</f>
        <v>-3.212104732597254E-3</v>
      </c>
      <c r="AR32" s="1">
        <f>[1]Results!AU1392</f>
        <v>-1.3391157808473331E-2</v>
      </c>
      <c r="AS32" s="1">
        <f>[1]Results!AV1392</f>
        <v>-2.6159599726494065E-2</v>
      </c>
      <c r="AT32" s="1">
        <f>[1]Results!AW1392</f>
        <v>-3.5656019901519898E-2</v>
      </c>
      <c r="AU32" s="1">
        <f>[1]Results!AX1392</f>
        <v>-3.9126033399139448E-2</v>
      </c>
      <c r="AV32" s="1">
        <f>[1]Results!AY1392</f>
        <v>-3.6161832877490419E-2</v>
      </c>
      <c r="AW32" s="1">
        <f>[1]Results!AZ1392</f>
        <v>-1.3865956060876705E-2</v>
      </c>
      <c r="AX32" s="1">
        <f>[1]Results!BA1392</f>
        <v>1.6001354954353619E-2</v>
      </c>
      <c r="AY32" s="1">
        <f>[1]Results!BB1392</f>
        <v>4.4208681261082017E-2</v>
      </c>
      <c r="AZ32" s="1">
        <f>[1]Results!BC1392</f>
        <v>6.6057393569418643E-2</v>
      </c>
      <c r="BA32" s="1">
        <f>[1]Results!BD1392</f>
        <v>8.0302810966914606E-2</v>
      </c>
      <c r="BB32" s="1">
        <f>[1]Results!BE1392</f>
        <v>-9.277495750736886E-2</v>
      </c>
      <c r="BC32" s="1">
        <f>[1]Results!BF1392</f>
        <v>-9.6004316128306399E-2</v>
      </c>
      <c r="BD32" s="1">
        <f>[1]Results!BG1392</f>
        <v>-9.970625294177804E-2</v>
      </c>
      <c r="BE32" s="1">
        <f>[1]Results!BH1392</f>
        <v>-0.10398189759901477</v>
      </c>
      <c r="BF32" s="1">
        <f>[1]Results!BI1392</f>
        <v>-0.10885048964444088</v>
      </c>
    </row>
    <row r="33" spans="1:58" x14ac:dyDescent="0.35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  <c r="AM33" s="1">
        <f>[1]Results!AP1393</f>
        <v>0</v>
      </c>
      <c r="AN33" s="1">
        <f>[1]Results!AQ1393</f>
        <v>0</v>
      </c>
      <c r="AO33" s="1">
        <f>[1]Results!AR1393</f>
        <v>0</v>
      </c>
      <c r="AP33" s="1">
        <f>[1]Results!AS1393</f>
        <v>0</v>
      </c>
      <c r="AQ33" s="1">
        <f>[1]Results!AT1393</f>
        <v>0</v>
      </c>
      <c r="AR33" s="1">
        <f>[1]Results!AU1393</f>
        <v>0</v>
      </c>
      <c r="AS33" s="1">
        <f>[1]Results!AV1393</f>
        <v>0</v>
      </c>
      <c r="AT33" s="1">
        <f>[1]Results!AW1393</f>
        <v>0</v>
      </c>
      <c r="AU33" s="1">
        <f>[1]Results!AX1393</f>
        <v>0</v>
      </c>
      <c r="AV33" s="1">
        <f>[1]Results!AY1393</f>
        <v>0</v>
      </c>
      <c r="AW33" s="1">
        <f>[1]Results!AZ1393</f>
        <v>0</v>
      </c>
      <c r="AX33" s="1">
        <f>[1]Results!BA1393</f>
        <v>0</v>
      </c>
      <c r="AY33" s="1">
        <f>[1]Results!BB1393</f>
        <v>0</v>
      </c>
      <c r="AZ33" s="1">
        <f>[1]Results!BC1393</f>
        <v>0</v>
      </c>
      <c r="BA33" s="1">
        <f>[1]Results!BD1393</f>
        <v>0</v>
      </c>
      <c r="BB33" s="1">
        <f>[1]Results!BE1393</f>
        <v>0</v>
      </c>
      <c r="BC33" s="1">
        <f>[1]Results!BF1393</f>
        <v>0</v>
      </c>
      <c r="BD33" s="1">
        <f>[1]Results!BG1393</f>
        <v>0</v>
      </c>
      <c r="BE33" s="1">
        <f>[1]Results!BH1393</f>
        <v>0</v>
      </c>
      <c r="BF33" s="1">
        <f>[1]Results!BI1393</f>
        <v>0</v>
      </c>
    </row>
    <row r="34" spans="1:58" x14ac:dyDescent="0.35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-1.1584992066882016E-2</v>
      </c>
      <c r="D34" s="1">
        <f>[1]Results!G1394</f>
        <v>-1.4504592457131871E-2</v>
      </c>
      <c r="E34" s="1">
        <f>[1]Results!H1394</f>
        <v>-1.4106896556720372E-2</v>
      </c>
      <c r="F34" s="1">
        <f>[1]Results!I1394</f>
        <v>-1.3663442513944801E-2</v>
      </c>
      <c r="G34" s="1">
        <f>[1]Results!J1394</f>
        <v>-1.4625357340514178E-2</v>
      </c>
      <c r="H34" s="1">
        <f>[1]Results!K1394</f>
        <v>-1.7137377639309115E-2</v>
      </c>
      <c r="I34" s="1">
        <f>[1]Results!L1394</f>
        <v>-2.0589987719454861E-2</v>
      </c>
      <c r="J34" s="1">
        <f>[1]Results!M1394</f>
        <v>-2.4287146473378485E-2</v>
      </c>
      <c r="K34" s="1">
        <f>[1]Results!N1394</f>
        <v>-2.771932322862547E-2</v>
      </c>
      <c r="L34" s="1">
        <f>[1]Results!O1394</f>
        <v>-3.0621892288040797E-2</v>
      </c>
      <c r="M34" s="1">
        <f>[1]Results!P1394</f>
        <v>-3.2987725012945113E-2</v>
      </c>
      <c r="N34" s="1">
        <f>[1]Results!Q1394</f>
        <v>-3.4820656930767413E-2</v>
      </c>
      <c r="O34" s="1">
        <f>[1]Results!R1394</f>
        <v>-3.6294146514070924E-2</v>
      </c>
      <c r="P34" s="1">
        <f>[1]Results!S1394</f>
        <v>-3.7606582073879125E-2</v>
      </c>
      <c r="Q34" s="1">
        <f>[1]Results!T1394</f>
        <v>-3.8920311185242085E-2</v>
      </c>
      <c r="R34" s="1">
        <f>[1]Results!U1394</f>
        <v>-4.0350950979295419E-2</v>
      </c>
      <c r="S34" s="1">
        <f>[1]Results!V1394</f>
        <v>-4.2028983477115922E-2</v>
      </c>
      <c r="T34" s="1">
        <f>[1]Results!W1394</f>
        <v>-4.3975307107868566E-2</v>
      </c>
      <c r="U34" s="1">
        <f>[1]Results!X1394</f>
        <v>-4.6237156122819201E-2</v>
      </c>
      <c r="V34" s="1">
        <f>[1]Results!Y1394</f>
        <v>-4.8824853736251228E-2</v>
      </c>
      <c r="W34" s="1">
        <f>[1]Results!Z1394</f>
        <v>-5.1665058633365568E-2</v>
      </c>
      <c r="X34" s="1">
        <f>[1]Results!AA1394</f>
        <v>-5.4839106952697669E-2</v>
      </c>
      <c r="Y34" s="1">
        <f>[1]Results!AB1394</f>
        <v>-5.8243414219782963E-2</v>
      </c>
      <c r="Z34" s="1">
        <f>[1]Results!AC1394</f>
        <v>-6.1823270840499767E-2</v>
      </c>
      <c r="AA34" s="1">
        <f>[1]Results!AD1394</f>
        <v>-6.5533155564745371E-2</v>
      </c>
      <c r="AB34" s="1">
        <f>[1]Results!AE1394</f>
        <v>-6.9135700222711094E-2</v>
      </c>
      <c r="AC34" s="1">
        <f>[1]Results!AF1394</f>
        <v>-7.2882003485830182E-2</v>
      </c>
      <c r="AD34" s="1">
        <f>[1]Results!AG1394</f>
        <v>-7.6661329028060443E-2</v>
      </c>
      <c r="AE34" s="1">
        <f>[1]Results!AH1394</f>
        <v>-8.0423060034306992E-2</v>
      </c>
      <c r="AF34" s="1">
        <f>[1]Results!AI1394</f>
        <v>-8.4143479784803965E-2</v>
      </c>
      <c r="AG34" s="1">
        <f>[1]Results!AJ1394</f>
        <v>-8.7818843486453524E-2</v>
      </c>
      <c r="AH34" s="1">
        <f>[1]Results!AK1394</f>
        <v>-9.1439755316047311E-2</v>
      </c>
      <c r="AI34" s="1">
        <f>[1]Results!AL1394</f>
        <v>-9.5028570456845429E-2</v>
      </c>
      <c r="AJ34" s="1">
        <f>[1]Results!AM1394</f>
        <v>-9.8595117886457473E-2</v>
      </c>
      <c r="AK34" s="1">
        <f>[1]Results!AN1394</f>
        <v>-0.10215479663566729</v>
      </c>
      <c r="AL34" s="1">
        <f>[1]Results!AO1394</f>
        <v>-0.10572561865407337</v>
      </c>
      <c r="AM34" s="1">
        <f>[1]Results!AP1394</f>
        <v>-0.10910180612375697</v>
      </c>
      <c r="AN34" s="1">
        <f>[1]Results!AQ1394</f>
        <v>-0.11245762178404561</v>
      </c>
      <c r="AO34" s="1">
        <f>[1]Results!AR1394</f>
        <v>-0.11573518566230234</v>
      </c>
      <c r="AP34" s="1">
        <f>[1]Results!AS1394</f>
        <v>-0.11890165358197091</v>
      </c>
      <c r="AQ34" s="1">
        <f>[1]Results!AT1394</f>
        <v>-0.12197142329699595</v>
      </c>
      <c r="AR34" s="1">
        <f>[1]Results!AU1394</f>
        <v>-0.13578032116547956</v>
      </c>
      <c r="AS34" s="1">
        <f>[1]Results!AV1394</f>
        <v>-0.15435858321264373</v>
      </c>
      <c r="AT34" s="1">
        <f>[1]Results!AW1394</f>
        <v>-0.1727108972038538</v>
      </c>
      <c r="AU34" s="1">
        <f>[1]Results!AX1394</f>
        <v>-0.18814624062162277</v>
      </c>
      <c r="AV34" s="1">
        <f>[1]Results!AY1394</f>
        <v>-0.19985602330998553</v>
      </c>
      <c r="AW34" s="1">
        <f>[1]Results!AZ1394</f>
        <v>-0.19323968954949589</v>
      </c>
      <c r="AX34" s="1">
        <f>[1]Results!BA1394</f>
        <v>-0.17757365065662611</v>
      </c>
      <c r="AY34" s="1">
        <f>[1]Results!BB1394</f>
        <v>-0.16075500001222487</v>
      </c>
      <c r="AZ34" s="1">
        <f>[1]Results!BC1394</f>
        <v>-0.14734182765574477</v>
      </c>
      <c r="BA34" s="1">
        <f>[1]Results!BD1394</f>
        <v>-0.13906010146123027</v>
      </c>
      <c r="BB34" s="1">
        <f>[1]Results!BE1394</f>
        <v>4.7498446736571331E-2</v>
      </c>
      <c r="BC34" s="1">
        <f>[1]Results!BF1394</f>
        <v>5.1407209653087094E-2</v>
      </c>
      <c r="BD34" s="1">
        <f>[1]Results!BG1394</f>
        <v>5.5114852930970848E-2</v>
      </c>
      <c r="BE34" s="1">
        <f>[1]Results!BH1394</f>
        <v>5.8544590700004839E-2</v>
      </c>
      <c r="BF34" s="1">
        <f>[1]Results!BI1394</f>
        <v>6.1660941499108723E-2</v>
      </c>
    </row>
    <row r="35" spans="1:58" x14ac:dyDescent="0.35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1.311768508929223E-2</v>
      </c>
      <c r="D35" s="1">
        <f>[1]Results!G1395</f>
        <v>2.3632055728017853E-2</v>
      </c>
      <c r="E35" s="1">
        <f>[1]Results!H1395</f>
        <v>3.2071271750155894E-2</v>
      </c>
      <c r="F35" s="1">
        <f>[1]Results!I1395</f>
        <v>4.0551080563577813E-2</v>
      </c>
      <c r="G35" s="1">
        <f>[1]Results!J1395</f>
        <v>5.0693502973597759E-2</v>
      </c>
      <c r="H35" s="1">
        <f>[1]Results!K1395</f>
        <v>6.3173337534139229E-2</v>
      </c>
      <c r="I35" s="1">
        <f>[1]Results!L1395</f>
        <v>7.7953980532718958E-2</v>
      </c>
      <c r="J35" s="1">
        <f>[1]Results!M1395</f>
        <v>9.4672762995351434E-2</v>
      </c>
      <c r="K35" s="1">
        <f>[1]Results!N1395</f>
        <v>0.1128718849687127</v>
      </c>
      <c r="L35" s="1">
        <f>[1]Results!O1395</f>
        <v>0.13212632095669363</v>
      </c>
      <c r="M35" s="1">
        <f>[1]Results!P1395</f>
        <v>0.15209626362786555</v>
      </c>
      <c r="N35" s="1">
        <f>[1]Results!Q1395</f>
        <v>0.17244619501097791</v>
      </c>
      <c r="O35" s="1">
        <f>[1]Results!R1395</f>
        <v>0.19300282356202736</v>
      </c>
      <c r="P35" s="1">
        <f>[1]Results!S1395</f>
        <v>0.21363408750478818</v>
      </c>
      <c r="Q35" s="1">
        <f>[1]Results!T1395</f>
        <v>0.23423115651730608</v>
      </c>
      <c r="R35" s="1">
        <f>[1]Results!U1395</f>
        <v>0.25470441709476432</v>
      </c>
      <c r="S35" s="1">
        <f>[1]Results!V1395</f>
        <v>0.27498752900669832</v>
      </c>
      <c r="T35" s="1">
        <f>[1]Results!W1395</f>
        <v>0.29506789701108094</v>
      </c>
      <c r="U35" s="1">
        <f>[1]Results!X1395</f>
        <v>0.31498485774053009</v>
      </c>
      <c r="V35" s="1">
        <f>[1]Results!Y1395</f>
        <v>0.33479333654338195</v>
      </c>
      <c r="W35" s="1">
        <f>[1]Results!Z1395</f>
        <v>0.35453108993201976</v>
      </c>
      <c r="X35" s="1">
        <f>[1]Results!AA1395</f>
        <v>0.37432035001094821</v>
      </c>
      <c r="Y35" s="1">
        <f>[1]Results!AB1395</f>
        <v>0.39418212063029312</v>
      </c>
      <c r="Z35" s="1">
        <f>[1]Results!AC1395</f>
        <v>0.41415899987571336</v>
      </c>
      <c r="AA35" s="1">
        <f>[1]Results!AD1395</f>
        <v>0.43429151342782024</v>
      </c>
      <c r="AB35" s="1">
        <f>[1]Results!AE1395</f>
        <v>0.4545350860842845</v>
      </c>
      <c r="AC35" s="1">
        <f>[1]Results!AF1395</f>
        <v>0.47509609867497637</v>
      </c>
      <c r="AD35" s="1">
        <f>[1]Results!AG1395</f>
        <v>0.49593193100221367</v>
      </c>
      <c r="AE35" s="1">
        <f>[1]Results!AH1395</f>
        <v>0.51701619642736674</v>
      </c>
      <c r="AF35" s="1">
        <f>[1]Results!AI1395</f>
        <v>0.53832156799444864</v>
      </c>
      <c r="AG35" s="1">
        <f>[1]Results!AJ1395</f>
        <v>0.55982493648352172</v>
      </c>
      <c r="AH35" s="1">
        <f>[1]Results!AK1395</f>
        <v>0.58150124106743917</v>
      </c>
      <c r="AI35" s="1">
        <f>[1]Results!AL1395</f>
        <v>0.60333056461465695</v>
      </c>
      <c r="AJ35" s="1">
        <f>[1]Results!AM1395</f>
        <v>0.62528712644183138</v>
      </c>
      <c r="AK35" s="1">
        <f>[1]Results!AN1395</f>
        <v>0.64734962023380582</v>
      </c>
      <c r="AL35" s="1">
        <f>[1]Results!AO1395</f>
        <v>0.66950395507745508</v>
      </c>
      <c r="AM35" s="1">
        <f>[1]Results!AP1395</f>
        <v>0.69164647366795062</v>
      </c>
      <c r="AN35" s="1">
        <f>[1]Results!AQ1395</f>
        <v>0.71380078521903201</v>
      </c>
      <c r="AO35" s="1">
        <f>[1]Results!AR1395</f>
        <v>0.73587837938176026</v>
      </c>
      <c r="AP35" s="1">
        <f>[1]Results!AS1395</f>
        <v>0.75781370221690292</v>
      </c>
      <c r="AQ35" s="1">
        <f>[1]Results!AT1395</f>
        <v>0.77957930988616919</v>
      </c>
      <c r="AR35" s="1">
        <f>[1]Results!AU1395</f>
        <v>0.81897679994771266</v>
      </c>
      <c r="AS35" s="1">
        <f>[1]Results!AV1395</f>
        <v>0.87396526174270406</v>
      </c>
      <c r="AT35" s="1">
        <f>[1]Results!AW1395</f>
        <v>0.94090799967947447</v>
      </c>
      <c r="AU35" s="1">
        <f>[1]Results!AX1395</f>
        <v>1.0164934637283185</v>
      </c>
      <c r="AV35" s="1">
        <f>[1]Results!AY1395</f>
        <v>1.0982962451668854</v>
      </c>
      <c r="AW35" s="1">
        <f>[1]Results!AZ1395</f>
        <v>1.1603755266397675</v>
      </c>
      <c r="AX35" s="1">
        <f>[1]Results!BA1395</f>
        <v>1.2044102948052915</v>
      </c>
      <c r="AY35" s="1">
        <f>[1]Results!BB1395</f>
        <v>1.2344841175792709</v>
      </c>
      <c r="AZ35" s="1">
        <f>[1]Results!BC1395</f>
        <v>1.2543233261967046</v>
      </c>
      <c r="BA35" s="1">
        <f>[1]Results!BD1395</f>
        <v>1.2664772860919271</v>
      </c>
      <c r="BB35" s="1">
        <f>[1]Results!BE1395</f>
        <v>0.92349145427912394</v>
      </c>
      <c r="BC35" s="1">
        <f>[1]Results!BF1395</f>
        <v>0.95712879840108567</v>
      </c>
      <c r="BD35" s="1">
        <f>[1]Results!BG1395</f>
        <v>0.99049300470144264</v>
      </c>
      <c r="BE35" s="1">
        <f>[1]Results!BH1395</f>
        <v>1.0236628073144516</v>
      </c>
      <c r="BF35" s="1">
        <f>[1]Results!BI1395</f>
        <v>1.0566729836185118</v>
      </c>
    </row>
    <row r="36" spans="1:58" x14ac:dyDescent="0.35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8.2283138356453733E-3</v>
      </c>
      <c r="D36" s="1">
        <f>[1]Results!G1396</f>
        <v>1.6124844191534038E-2</v>
      </c>
      <c r="E36" s="1">
        <f>[1]Results!H1396</f>
        <v>2.3280815020632062E-2</v>
      </c>
      <c r="F36" s="1">
        <f>[1]Results!I1396</f>
        <v>3.1037233132225062E-2</v>
      </c>
      <c r="G36" s="1">
        <f>[1]Results!J1396</f>
        <v>4.0580712929805252E-2</v>
      </c>
      <c r="H36" s="1">
        <f>[1]Results!K1396</f>
        <v>5.2387521549945859E-2</v>
      </c>
      <c r="I36" s="1">
        <f>[1]Results!L1396</f>
        <v>6.6344031513021484E-2</v>
      </c>
      <c r="J36" s="1">
        <f>[1]Results!M1396</f>
        <v>8.2069860768663183E-2</v>
      </c>
      <c r="K36" s="1">
        <f>[1]Results!N1396</f>
        <v>9.9115589315301733E-2</v>
      </c>
      <c r="L36" s="1">
        <f>[1]Results!O1396</f>
        <v>0.1170747761702895</v>
      </c>
      <c r="M36" s="1">
        <f>[1]Results!P1396</f>
        <v>0.13562442592578439</v>
      </c>
      <c r="N36" s="1">
        <f>[1]Results!Q1396</f>
        <v>0.1544617349266586</v>
      </c>
      <c r="O36" s="1">
        <f>[1]Results!R1396</f>
        <v>0.17345210075701001</v>
      </c>
      <c r="P36" s="1">
        <f>[1]Results!S1396</f>
        <v>0.19250400899681885</v>
      </c>
      <c r="Q36" s="1">
        <f>[1]Results!T1396</f>
        <v>0.21154319739777883</v>
      </c>
      <c r="R36" s="1">
        <f>[1]Results!U1396</f>
        <v>0.23050986021859732</v>
      </c>
      <c r="S36" s="1">
        <f>[1]Results!V1396</f>
        <v>0.24933790827732505</v>
      </c>
      <c r="T36" s="1">
        <f>[1]Results!W1396</f>
        <v>0.26806148516396178</v>
      </c>
      <c r="U36" s="1">
        <f>[1]Results!X1396</f>
        <v>0.2867405706023618</v>
      </c>
      <c r="V36" s="1">
        <f>[1]Results!Y1396</f>
        <v>0.30544064575863672</v>
      </c>
      <c r="W36" s="1">
        <f>[1]Results!Z1396</f>
        <v>0.32421637780388757</v>
      </c>
      <c r="X36" s="1">
        <f>[1]Results!AA1396</f>
        <v>0.34315347058206935</v>
      </c>
      <c r="Y36" s="1">
        <f>[1]Results!AB1396</f>
        <v>0.36229204562769901</v>
      </c>
      <c r="Z36" s="1">
        <f>[1]Results!AC1396</f>
        <v>0.38166965435391109</v>
      </c>
      <c r="AA36" s="1">
        <f>[1]Results!AD1396</f>
        <v>0.40132045234522185</v>
      </c>
      <c r="AB36" s="1">
        <f>[1]Results!AE1396</f>
        <v>0.42123901223547477</v>
      </c>
      <c r="AC36" s="1">
        <f>[1]Results!AF1396</f>
        <v>0.44153091776208964</v>
      </c>
      <c r="AD36" s="1">
        <f>[1]Results!AG1396</f>
        <v>0.46217558639816136</v>
      </c>
      <c r="AE36" s="1">
        <f>[1]Results!AH1396</f>
        <v>0.48314079935913856</v>
      </c>
      <c r="AF36" s="1">
        <f>[1]Results!AI1396</f>
        <v>0.50439765304697293</v>
      </c>
      <c r="AG36" s="1">
        <f>[1]Results!AJ1396</f>
        <v>0.52592356116718531</v>
      </c>
      <c r="AH36" s="1">
        <f>[1]Results!AK1396</f>
        <v>0.54770068611407208</v>
      </c>
      <c r="AI36" s="1">
        <f>[1]Results!AL1396</f>
        <v>0.56970357057632981</v>
      </c>
      <c r="AJ36" s="1">
        <f>[1]Results!AM1396</f>
        <v>0.59190797889898672</v>
      </c>
      <c r="AK36" s="1">
        <f>[1]Results!AN1396</f>
        <v>0.61429573163538365</v>
      </c>
      <c r="AL36" s="1">
        <f>[1]Results!AO1396</f>
        <v>0.63685592588595963</v>
      </c>
      <c r="AM36" s="1">
        <f>[1]Results!AP1396</f>
        <v>0.65955037570755159</v>
      </c>
      <c r="AN36" s="1">
        <f>[1]Results!AQ1396</f>
        <v>0.68230306259708939</v>
      </c>
      <c r="AO36" s="1">
        <f>[1]Results!AR1396</f>
        <v>0.70501816274595175</v>
      </c>
      <c r="AP36" s="1">
        <f>[1]Results!AS1396</f>
        <v>0.72763138728471066</v>
      </c>
      <c r="AQ36" s="1">
        <f>[1]Results!AT1396</f>
        <v>0.75012122774940071</v>
      </c>
      <c r="AR36" s="1">
        <f>[1]Results!AU1396</f>
        <v>0.79446165386800605</v>
      </c>
      <c r="AS36" s="1">
        <f>[1]Results!AV1396</f>
        <v>0.85665559204353148</v>
      </c>
      <c r="AT36" s="1">
        <f>[1]Results!AW1396</f>
        <v>0.93179682923985041</v>
      </c>
      <c r="AU36" s="1">
        <f>[1]Results!AX1396</f>
        <v>1.0157814734968573</v>
      </c>
      <c r="AV36" s="1">
        <f>[1]Results!AY1396</f>
        <v>1.1057394253870978</v>
      </c>
      <c r="AW36" s="1">
        <f>[1]Results!AZ1396</f>
        <v>1.1697540728925038</v>
      </c>
      <c r="AX36" s="1">
        <f>[1]Results!BA1396</f>
        <v>1.2123312082353177</v>
      </c>
      <c r="AY36" s="1">
        <f>[1]Results!BB1396</f>
        <v>1.2394827007962794</v>
      </c>
      <c r="AZ36" s="1">
        <f>[1]Results!BC1396</f>
        <v>1.2562148152414965</v>
      </c>
      <c r="BA36" s="1">
        <f>[1]Results!BD1396</f>
        <v>1.2658779925992736</v>
      </c>
      <c r="BB36" s="1">
        <f>[1]Results!BE1396</f>
        <v>0.76004335846093785</v>
      </c>
      <c r="BC36" s="1">
        <f>[1]Results!BF1396</f>
        <v>0.7871795426503958</v>
      </c>
      <c r="BD36" s="1">
        <f>[1]Results!BG1396</f>
        <v>0.81408310092607739</v>
      </c>
      <c r="BE36" s="1">
        <f>[1]Results!BH1396</f>
        <v>0.8408317434181356</v>
      </c>
      <c r="BF36" s="1">
        <f>[1]Results!BI1396</f>
        <v>0.86746467176475051</v>
      </c>
    </row>
    <row r="37" spans="1:58" x14ac:dyDescent="0.35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1.0903752971103131E-2</v>
      </c>
      <c r="D37" s="1">
        <f>[1]Results!G1397</f>
        <v>1.7481041350442261E-2</v>
      </c>
      <c r="E37" s="1">
        <f>[1]Results!H1397</f>
        <v>2.4982384382599143E-2</v>
      </c>
      <c r="F37" s="1">
        <f>[1]Results!I1397</f>
        <v>3.3302472690421858E-2</v>
      </c>
      <c r="G37" s="1">
        <f>[1]Results!J1397</f>
        <v>4.2321830649560965E-2</v>
      </c>
      <c r="H37" s="1">
        <f>[1]Results!K1397</f>
        <v>5.1906994670192219E-2</v>
      </c>
      <c r="I37" s="1">
        <f>[1]Results!L1397</f>
        <v>6.1959280367873681E-2</v>
      </c>
      <c r="J37" s="1">
        <f>[1]Results!M1397</f>
        <v>7.2345665310202811E-2</v>
      </c>
      <c r="K37" s="1">
        <f>[1]Results!N1397</f>
        <v>8.2955114707528033E-2</v>
      </c>
      <c r="L37" s="1">
        <f>[1]Results!O1397</f>
        <v>9.3699024512150508E-2</v>
      </c>
      <c r="M37" s="1">
        <f>[1]Results!P1397</f>
        <v>0.10458789826770509</v>
      </c>
      <c r="N37" s="1">
        <f>[1]Results!Q1397</f>
        <v>0.11568131515855562</v>
      </c>
      <c r="O37" s="1">
        <f>[1]Results!R1397</f>
        <v>0.12687931108912309</v>
      </c>
      <c r="P37" s="1">
        <f>[1]Results!S1397</f>
        <v>0.13816955145975474</v>
      </c>
      <c r="Q37" s="1">
        <f>[1]Results!T1397</f>
        <v>0.14955688634485931</v>
      </c>
      <c r="R37" s="1">
        <f>[1]Results!U1397</f>
        <v>0.1610566589359097</v>
      </c>
      <c r="S37" s="1">
        <f>[1]Results!V1397</f>
        <v>0.17302284824116665</v>
      </c>
      <c r="T37" s="1">
        <f>[1]Results!W1397</f>
        <v>0.18523132827548139</v>
      </c>
      <c r="U37" s="1">
        <f>[1]Results!X1397</f>
        <v>0.19770370426830386</v>
      </c>
      <c r="V37" s="1">
        <f>[1]Results!Y1397</f>
        <v>0.21045897391895885</v>
      </c>
      <c r="W37" s="1">
        <f>[1]Results!Z1397</f>
        <v>0.2234116900603933</v>
      </c>
      <c r="X37" s="1">
        <f>[1]Results!AA1397</f>
        <v>0.2368247672335011</v>
      </c>
      <c r="Y37" s="1">
        <f>[1]Results!AB1397</f>
        <v>0.25052993166669868</v>
      </c>
      <c r="Z37" s="1">
        <f>[1]Results!AC1397</f>
        <v>0.26454218665523666</v>
      </c>
      <c r="AA37" s="1">
        <f>[1]Results!AD1397</f>
        <v>0.27886590816208479</v>
      </c>
      <c r="AB37" s="1">
        <f>[1]Results!AE1397</f>
        <v>0.29314277845102765</v>
      </c>
      <c r="AC37" s="1">
        <f>[1]Results!AF1397</f>
        <v>0.3079375436213283</v>
      </c>
      <c r="AD37" s="1">
        <f>[1]Results!AG1397</f>
        <v>0.32300798836739641</v>
      </c>
      <c r="AE37" s="1">
        <f>[1]Results!AH1397</f>
        <v>0.33835240427944058</v>
      </c>
      <c r="AF37" s="1">
        <f>[1]Results!AI1397</f>
        <v>0.35396012314439229</v>
      </c>
      <c r="AG37" s="1">
        <f>[1]Results!AJ1397</f>
        <v>0.36982029144114748</v>
      </c>
      <c r="AH37" s="1">
        <f>[1]Results!AK1397</f>
        <v>0.38582745031086052</v>
      </c>
      <c r="AI37" s="1">
        <f>[1]Results!AL1397</f>
        <v>0.40205157401691505</v>
      </c>
      <c r="AJ37" s="1">
        <f>[1]Results!AM1397</f>
        <v>0.41849154482167528</v>
      </c>
      <c r="AK37" s="1">
        <f>[1]Results!AN1397</f>
        <v>0.43514997149367574</v>
      </c>
      <c r="AL37" s="1">
        <f>[1]Results!AO1397</f>
        <v>0.45203196405843027</v>
      </c>
      <c r="AM37" s="1">
        <f>[1]Results!AP1397</f>
        <v>0.46811883785604635</v>
      </c>
      <c r="AN37" s="1">
        <f>[1]Results!AQ1397</f>
        <v>0.48432287619626369</v>
      </c>
      <c r="AO37" s="1">
        <f>[1]Results!AR1397</f>
        <v>0.50063839365446228</v>
      </c>
      <c r="AP37" s="1">
        <f>[1]Results!AS1397</f>
        <v>0.51707816935024908</v>
      </c>
      <c r="AQ37" s="1">
        <f>[1]Results!AT1397</f>
        <v>0.53366167325372693</v>
      </c>
      <c r="AR37" s="1">
        <f>[1]Results!AU1397</f>
        <v>0.56198476725275448</v>
      </c>
      <c r="AS37" s="1">
        <f>[1]Results!AV1397</f>
        <v>0.59539364480516443</v>
      </c>
      <c r="AT37" s="1">
        <f>[1]Results!AW1397</f>
        <v>0.63040856747893503</v>
      </c>
      <c r="AU37" s="1">
        <f>[1]Results!AX1397</f>
        <v>0.66537319519537341</v>
      </c>
      <c r="AV37" s="1">
        <f>[1]Results!AY1397</f>
        <v>0.69959278601579022</v>
      </c>
      <c r="AW37" s="1">
        <f>[1]Results!AZ1397</f>
        <v>0.71735377641053422</v>
      </c>
      <c r="AX37" s="1">
        <f>[1]Results!BA1397</f>
        <v>0.72785868362739148</v>
      </c>
      <c r="AY37" s="1">
        <f>[1]Results!BB1397</f>
        <v>0.73574988774831596</v>
      </c>
      <c r="AZ37" s="1">
        <f>[1]Results!BC1397</f>
        <v>0.74332034898130228</v>
      </c>
      <c r="BA37" s="1">
        <f>[1]Results!BD1397</f>
        <v>0.7516014726825393</v>
      </c>
      <c r="BB37" s="1">
        <f>[1]Results!BE1397</f>
        <v>0</v>
      </c>
      <c r="BC37" s="1">
        <f>[1]Results!BF1397</f>
        <v>0</v>
      </c>
      <c r="BD37" s="1">
        <f>[1]Results!BG1397</f>
        <v>0</v>
      </c>
      <c r="BE37" s="1">
        <f>[1]Results!BH1397</f>
        <v>0</v>
      </c>
      <c r="BF37" s="1">
        <f>[1]Results!BI1397</f>
        <v>0</v>
      </c>
    </row>
    <row r="38" spans="1:58" x14ac:dyDescent="0.35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-6.4143832509966359E-3</v>
      </c>
      <c r="D38" s="1">
        <f>[1]Results!G1398</f>
        <v>-5.7784936763671801E-3</v>
      </c>
      <c r="E38" s="1">
        <f>[1]Results!H1398</f>
        <v>-1.2726906577165131E-3</v>
      </c>
      <c r="F38" s="1">
        <f>[1]Results!I1398</f>
        <v>4.5935442427369466E-3</v>
      </c>
      <c r="G38" s="1">
        <f>[1]Results!J1398</f>
        <v>1.0862005708656142E-2</v>
      </c>
      <c r="H38" s="1">
        <f>[1]Results!K1398</f>
        <v>1.7614225014117579E-2</v>
      </c>
      <c r="I38" s="1">
        <f>[1]Results!L1398</f>
        <v>2.52979117687957E-2</v>
      </c>
      <c r="J38" s="1">
        <f>[1]Results!M1398</f>
        <v>3.4369364796504875E-2</v>
      </c>
      <c r="K38" s="1">
        <f>[1]Results!N1398</f>
        <v>4.5083845299154213E-2</v>
      </c>
      <c r="L38" s="1">
        <f>[1]Results!O1398</f>
        <v>5.747403669722484E-2</v>
      </c>
      <c r="M38" s="1">
        <f>[1]Results!P1398</f>
        <v>7.1392037268358521E-2</v>
      </c>
      <c r="N38" s="1">
        <f>[1]Results!Q1398</f>
        <v>8.6509019061020709E-2</v>
      </c>
      <c r="O38" s="1">
        <f>[1]Results!R1398</f>
        <v>0.10254929448616501</v>
      </c>
      <c r="P38" s="1">
        <f>[1]Results!S1398</f>
        <v>0.11921568182107212</v>
      </c>
      <c r="Q38" s="1">
        <f>[1]Results!T1398</f>
        <v>0.13623656786185823</v>
      </c>
      <c r="R38" s="1">
        <f>[1]Results!U1398</f>
        <v>0.15338226217096462</v>
      </c>
      <c r="S38" s="1">
        <f>[1]Results!V1398</f>
        <v>0.17037686395158236</v>
      </c>
      <c r="T38" s="1">
        <f>[1]Results!W1398</f>
        <v>0.18713462190207419</v>
      </c>
      <c r="U38" s="1">
        <f>[1]Results!X1398</f>
        <v>0.20359251610375662</v>
      </c>
      <c r="V38" s="1">
        <f>[1]Results!Y1398</f>
        <v>0.21973156549981443</v>
      </c>
      <c r="W38" s="1">
        <f>[1]Results!Z1398</f>
        <v>0.23557762814323535</v>
      </c>
      <c r="X38" s="1">
        <f>[1]Results!AA1398</f>
        <v>0.25116450212265828</v>
      </c>
      <c r="Y38" s="1">
        <f>[1]Results!AB1398</f>
        <v>0.26657616607863588</v>
      </c>
      <c r="Z38" s="1">
        <f>[1]Results!AC1398</f>
        <v>0.28189096513033807</v>
      </c>
      <c r="AA38" s="1">
        <f>[1]Results!AD1398</f>
        <v>0.29718142801102854</v>
      </c>
      <c r="AB38" s="1">
        <f>[1]Results!AE1398</f>
        <v>0.31253098260630718</v>
      </c>
      <c r="AC38" s="1">
        <f>[1]Results!AF1398</f>
        <v>0.32798725204257195</v>
      </c>
      <c r="AD38" s="1">
        <f>[1]Results!AG1398</f>
        <v>0.34361628110615161</v>
      </c>
      <c r="AE38" s="1">
        <f>[1]Results!AH1398</f>
        <v>0.35946794850774122</v>
      </c>
      <c r="AF38" s="1">
        <f>[1]Results!AI1398</f>
        <v>0.37556666436069364</v>
      </c>
      <c r="AG38" s="1">
        <f>[1]Results!AJ1398</f>
        <v>0.39191522274208968</v>
      </c>
      <c r="AH38" s="1">
        <f>[1]Results!AK1398</f>
        <v>0.40852429770841248</v>
      </c>
      <c r="AI38" s="1">
        <f>[1]Results!AL1398</f>
        <v>0.42536102676167253</v>
      </c>
      <c r="AJ38" s="1">
        <f>[1]Results!AM1398</f>
        <v>0.44239541428994222</v>
      </c>
      <c r="AK38" s="1">
        <f>[1]Results!AN1398</f>
        <v>0.45959608590566692</v>
      </c>
      <c r="AL38" s="1">
        <f>[1]Results!AO1398</f>
        <v>0.47693351232529491</v>
      </c>
      <c r="AM38" s="1">
        <f>[1]Results!AP1398</f>
        <v>0.49458368383612505</v>
      </c>
      <c r="AN38" s="1">
        <f>[1]Results!AQ1398</f>
        <v>0.51239183341869055</v>
      </c>
      <c r="AO38" s="1">
        <f>[1]Results!AR1398</f>
        <v>0.53029007232283654</v>
      </c>
      <c r="AP38" s="1">
        <f>[1]Results!AS1398</f>
        <v>0.54822455711223128</v>
      </c>
      <c r="AQ38" s="1">
        <f>[1]Results!AT1398</f>
        <v>0.56614348246266655</v>
      </c>
      <c r="AR38" s="1">
        <f>[1]Results!AU1398</f>
        <v>0.58342274133207361</v>
      </c>
      <c r="AS38" s="1">
        <f>[1]Results!AV1398</f>
        <v>0.60487709716603444</v>
      </c>
      <c r="AT38" s="1">
        <f>[1]Results!AW1398</f>
        <v>0.63467467217022122</v>
      </c>
      <c r="AU38" s="1">
        <f>[1]Results!AX1398</f>
        <v>0.67485717390349809</v>
      </c>
      <c r="AV38" s="1">
        <f>[1]Results!AY1398</f>
        <v>0.7256102402299458</v>
      </c>
      <c r="AW38" s="1">
        <f>[1]Results!AZ1398</f>
        <v>0.78685725980729426</v>
      </c>
      <c r="AX38" s="1">
        <f>[1]Results!BA1398</f>
        <v>0.85031156008736897</v>
      </c>
      <c r="AY38" s="1">
        <f>[1]Results!BB1398</f>
        <v>0.90849362362206421</v>
      </c>
      <c r="AZ38" s="1">
        <f>[1]Results!BC1398</f>
        <v>0.95692230049493343</v>
      </c>
      <c r="BA38" s="1">
        <f>[1]Results!BD1398</f>
        <v>0.99382968691446028</v>
      </c>
      <c r="BB38" s="1">
        <f>[1]Results!BE1398</f>
        <v>0.52299662863573015</v>
      </c>
      <c r="BC38" s="1">
        <f>[1]Results!BF1398</f>
        <v>0.54651107442689195</v>
      </c>
      <c r="BD38" s="1">
        <f>[1]Results!BG1398</f>
        <v>0.5699060909814424</v>
      </c>
      <c r="BE38" s="1">
        <f>[1]Results!BH1398</f>
        <v>0.5931206808498013</v>
      </c>
      <c r="BF38" s="1">
        <f>[1]Results!BI1398</f>
        <v>0.61613815686294426</v>
      </c>
    </row>
    <row r="39" spans="1:58" x14ac:dyDescent="0.35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-2.6239862868404629E-2</v>
      </c>
      <c r="D39" s="1">
        <f>[1]Results!G1399</f>
        <v>-3.7775824944086267E-2</v>
      </c>
      <c r="E39" s="1">
        <f>[1]Results!H1399</f>
        <v>-4.2145520431735584E-2</v>
      </c>
      <c r="F39" s="1">
        <f>[1]Results!I1399</f>
        <v>-4.4905869166589341E-2</v>
      </c>
      <c r="G39" s="1">
        <f>[1]Results!J1399</f>
        <v>-4.8983275800484893E-2</v>
      </c>
      <c r="H39" s="1">
        <f>[1]Results!K1399</f>
        <v>-5.5071695582287195E-2</v>
      </c>
      <c r="I39" s="1">
        <f>[1]Results!L1399</f>
        <v>-6.2694858707357248E-2</v>
      </c>
      <c r="J39" s="1">
        <f>[1]Results!M1399</f>
        <v>-7.0992468330266512E-2</v>
      </c>
      <c r="K39" s="1">
        <f>[1]Results!N1399</f>
        <v>-7.9199569393006986E-2</v>
      </c>
      <c r="L39" s="1">
        <f>[1]Results!O1399</f>
        <v>-8.6800306066980859E-2</v>
      </c>
      <c r="M39" s="1">
        <f>[1]Results!P1399</f>
        <v>-9.3556140741568594E-2</v>
      </c>
      <c r="N39" s="1">
        <f>[1]Results!Q1399</f>
        <v>-9.9428175533577967E-2</v>
      </c>
      <c r="O39" s="1">
        <f>[1]Results!R1399</f>
        <v>-0.10447594631022294</v>
      </c>
      <c r="P39" s="1">
        <f>[1]Results!S1399</f>
        <v>-0.10886806911341029</v>
      </c>
      <c r="Q39" s="1">
        <f>[1]Results!T1399</f>
        <v>-0.11277981761417255</v>
      </c>
      <c r="R39" s="1">
        <f>[1]Results!U1399</f>
        <v>-0.11637150608303504</v>
      </c>
      <c r="S39" s="1">
        <f>[1]Results!V1399</f>
        <v>-0.11990970112827348</v>
      </c>
      <c r="T39" s="1">
        <f>[1]Results!W1399</f>
        <v>-0.12345422539429274</v>
      </c>
      <c r="U39" s="1">
        <f>[1]Results!X1399</f>
        <v>-0.12713558918850953</v>
      </c>
      <c r="V39" s="1">
        <f>[1]Results!Y1399</f>
        <v>-0.13104609932423905</v>
      </c>
      <c r="W39" s="1">
        <f>[1]Results!Z1399</f>
        <v>-0.13520068068276769</v>
      </c>
      <c r="X39" s="1">
        <f>[1]Results!AA1399</f>
        <v>-0.13972259210572879</v>
      </c>
      <c r="Y39" s="1">
        <f>[1]Results!AB1399</f>
        <v>-0.14452989002741168</v>
      </c>
      <c r="Z39" s="1">
        <f>[1]Results!AC1399</f>
        <v>-0.14958218399369061</v>
      </c>
      <c r="AA39" s="1">
        <f>[1]Results!AD1399</f>
        <v>-0.15484124497073815</v>
      </c>
      <c r="AB39" s="1">
        <f>[1]Results!AE1399</f>
        <v>-0.16014097889813783</v>
      </c>
      <c r="AC39" s="1">
        <f>[1]Results!AF1399</f>
        <v>-0.16570303161043132</v>
      </c>
      <c r="AD39" s="1">
        <f>[1]Results!AG1399</f>
        <v>-0.1713891555326752</v>
      </c>
      <c r="AE39" s="1">
        <f>[1]Results!AH1399</f>
        <v>-0.17710587943221556</v>
      </c>
      <c r="AF39" s="1">
        <f>[1]Results!AI1399</f>
        <v>-0.18278950922325787</v>
      </c>
      <c r="AG39" s="1">
        <f>[1]Results!AJ1399</f>
        <v>-0.1884055158009712</v>
      </c>
      <c r="AH39" s="1">
        <f>[1]Results!AK1399</f>
        <v>-0.19390549037930915</v>
      </c>
      <c r="AI39" s="1">
        <f>[1]Results!AL1399</f>
        <v>-0.19930799673045785</v>
      </c>
      <c r="AJ39" s="1">
        <f>[1]Results!AM1399</f>
        <v>-0.20461424020016272</v>
      </c>
      <c r="AK39" s="1">
        <f>[1]Results!AN1399</f>
        <v>-0.20983559881793123</v>
      </c>
      <c r="AL39" s="1">
        <f>[1]Results!AO1399</f>
        <v>-0.21499004088676443</v>
      </c>
      <c r="AM39" s="1">
        <f>[1]Results!AP1399</f>
        <v>-0.21973363464918849</v>
      </c>
      <c r="AN39" s="1">
        <f>[1]Results!AQ1399</f>
        <v>-0.22434389595575865</v>
      </c>
      <c r="AO39" s="1">
        <f>[1]Results!AR1399</f>
        <v>-0.22877885408606469</v>
      </c>
      <c r="AP39" s="1">
        <f>[1]Results!AS1399</f>
        <v>-0.23301786299023686</v>
      </c>
      <c r="AQ39" s="1">
        <f>[1]Results!AT1399</f>
        <v>-0.23708009179054246</v>
      </c>
      <c r="AR39" s="1">
        <f>[1]Results!AU1399</f>
        <v>-0.25957739536873747</v>
      </c>
      <c r="AS39" s="1">
        <f>[1]Results!AV1399</f>
        <v>-0.29351382087878797</v>
      </c>
      <c r="AT39" s="1">
        <f>[1]Results!AW1399</f>
        <v>-0.33111433537693635</v>
      </c>
      <c r="AU39" s="1">
        <f>[1]Results!AX1399</f>
        <v>-0.36700738427455359</v>
      </c>
      <c r="AV39" s="1">
        <f>[1]Results!AY1399</f>
        <v>-0.39845541490654002</v>
      </c>
      <c r="AW39" s="1">
        <f>[1]Results!AZ1399</f>
        <v>-0.39906720322437916</v>
      </c>
      <c r="AX39" s="1">
        <f>[1]Results!BA1399</f>
        <v>-0.3789298081519954</v>
      </c>
      <c r="AY39" s="1">
        <f>[1]Results!BB1399</f>
        <v>-0.34940938162137947</v>
      </c>
      <c r="AZ39" s="1">
        <f>[1]Results!BC1399</f>
        <v>-0.31866836630353168</v>
      </c>
      <c r="BA39" s="1">
        <f>[1]Results!BD1399</f>
        <v>-0.29121653983825713</v>
      </c>
      <c r="BB39" s="1">
        <f>[1]Results!BE1399</f>
        <v>-0.24021035105309396</v>
      </c>
      <c r="BC39" s="1">
        <f>[1]Results!BF1399</f>
        <v>-0.24428123002031565</v>
      </c>
      <c r="BD39" s="1">
        <f>[1]Results!BG1399</f>
        <v>-0.24825121388079019</v>
      </c>
      <c r="BE39" s="1">
        <f>[1]Results!BH1399</f>
        <v>-0.25224222680291231</v>
      </c>
      <c r="BF39" s="1">
        <f>[1]Results!BI1399</f>
        <v>-0.25630122591391302</v>
      </c>
    </row>
    <row r="40" spans="1:58" x14ac:dyDescent="0.35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-6.4143697055984994E-3</v>
      </c>
      <c r="D40" s="1">
        <f>[1]Results!G1400</f>
        <v>-5.7784997606113997E-3</v>
      </c>
      <c r="E40" s="1">
        <f>[1]Results!H1400</f>
        <v>-1.2726828052866956E-3</v>
      </c>
      <c r="F40" s="1">
        <f>[1]Results!I1400</f>
        <v>4.5935671076025031E-3</v>
      </c>
      <c r="G40" s="1">
        <f>[1]Results!J1400</f>
        <v>1.0862011443113495E-2</v>
      </c>
      <c r="H40" s="1">
        <f>[1]Results!K1400</f>
        <v>1.7614224216844221E-2</v>
      </c>
      <c r="I40" s="1">
        <f>[1]Results!L1400</f>
        <v>2.5297920288114284E-2</v>
      </c>
      <c r="J40" s="1">
        <f>[1]Results!M1400</f>
        <v>3.4369347282336982E-2</v>
      </c>
      <c r="K40" s="1">
        <f>[1]Results!N1400</f>
        <v>4.5083832327974527E-2</v>
      </c>
      <c r="L40" s="1">
        <f>[1]Results!O1400</f>
        <v>5.7474033288862358E-2</v>
      </c>
      <c r="M40" s="1">
        <f>[1]Results!P1400</f>
        <v>7.1392048101870387E-2</v>
      </c>
      <c r="N40" s="1">
        <f>[1]Results!Q1400</f>
        <v>8.6509015933500244E-2</v>
      </c>
      <c r="O40" s="1">
        <f>[1]Results!R1400</f>
        <v>0.10254928908901562</v>
      </c>
      <c r="P40" s="1">
        <f>[1]Results!S1400</f>
        <v>0.11921568018455897</v>
      </c>
      <c r="Q40" s="1">
        <f>[1]Results!T1400</f>
        <v>0.13623655776002774</v>
      </c>
      <c r="R40" s="1">
        <f>[1]Results!U1400</f>
        <v>0.15338226169328006</v>
      </c>
      <c r="S40" s="1">
        <f>[1]Results!V1400</f>
        <v>0.17037685914695899</v>
      </c>
      <c r="T40" s="1">
        <f>[1]Results!W1400</f>
        <v>0.18713461644177531</v>
      </c>
      <c r="U40" s="1">
        <f>[1]Results!X1400</f>
        <v>0.20359252259614102</v>
      </c>
      <c r="V40" s="1">
        <f>[1]Results!Y1400</f>
        <v>0.21973156862971077</v>
      </c>
      <c r="W40" s="1">
        <f>[1]Results!Z1400</f>
        <v>0.23557761597332583</v>
      </c>
      <c r="X40" s="1">
        <f>[1]Results!AA1400</f>
        <v>0.25116442290016305</v>
      </c>
      <c r="Y40" s="1">
        <f>[1]Results!AB1400</f>
        <v>0.26657615127299028</v>
      </c>
      <c r="Z40" s="1">
        <f>[1]Results!AC1400</f>
        <v>0.28189095554500554</v>
      </c>
      <c r="AA40" s="1">
        <f>[1]Results!AD1400</f>
        <v>0.29718140565031526</v>
      </c>
      <c r="AB40" s="1">
        <f>[1]Results!AE1400</f>
        <v>0.31253096620809107</v>
      </c>
      <c r="AC40" s="1">
        <f>[1]Results!AF1400</f>
        <v>0.32798720199200826</v>
      </c>
      <c r="AD40" s="1">
        <f>[1]Results!AG1400</f>
        <v>0.34361634033550637</v>
      </c>
      <c r="AE40" s="1">
        <f>[1]Results!AH1400</f>
        <v>0.35946792436380992</v>
      </c>
      <c r="AF40" s="1">
        <f>[1]Results!AI1400</f>
        <v>0.37556670143881199</v>
      </c>
      <c r="AG40" s="1">
        <f>[1]Results!AJ1400</f>
        <v>0.39191525040482844</v>
      </c>
      <c r="AH40" s="1">
        <f>[1]Results!AK1400</f>
        <v>0.40852431520459476</v>
      </c>
      <c r="AI40" s="1">
        <f>[1]Results!AL1400</f>
        <v>0.42536110391604431</v>
      </c>
      <c r="AJ40" s="1">
        <f>[1]Results!AM1400</f>
        <v>0.44239533789589558</v>
      </c>
      <c r="AK40" s="1">
        <f>[1]Results!AN1400</f>
        <v>0.45959607715744255</v>
      </c>
      <c r="AL40" s="1">
        <f>[1]Results!AO1400</f>
        <v>0.47693354149513922</v>
      </c>
      <c r="AM40" s="1">
        <f>[1]Results!AP1400</f>
        <v>0.49458366597849857</v>
      </c>
      <c r="AN40" s="1">
        <f>[1]Results!AQ1400</f>
        <v>0.51239182049733767</v>
      </c>
      <c r="AO40" s="1">
        <f>[1]Results!AR1400</f>
        <v>0.53029004300537697</v>
      </c>
      <c r="AP40" s="1">
        <f>[1]Results!AS1400</f>
        <v>0.54822455594785158</v>
      </c>
      <c r="AQ40" s="1">
        <f>[1]Results!AT1400</f>
        <v>0.56614344831842356</v>
      </c>
      <c r="AR40" s="1">
        <f>[1]Results!AU1400</f>
        <v>0.5834227598259023</v>
      </c>
      <c r="AS40" s="1">
        <f>[1]Results!AV1400</f>
        <v>0.60487711763559382</v>
      </c>
      <c r="AT40" s="1">
        <f>[1]Results!AW1400</f>
        <v>0.63467461387751722</v>
      </c>
      <c r="AU40" s="1">
        <f>[1]Results!AX1400</f>
        <v>0.67485713051858021</v>
      </c>
      <c r="AV40" s="1">
        <f>[1]Results!AY1400</f>
        <v>0.7256101761074607</v>
      </c>
      <c r="AW40" s="1">
        <f>[1]Results!AZ1400</f>
        <v>0.78685726481770857</v>
      </c>
      <c r="AX40" s="1">
        <f>[1]Results!BA1400</f>
        <v>0.85031152934744725</v>
      </c>
      <c r="AY40" s="1">
        <f>[1]Results!BB1400</f>
        <v>0.9084936274168065</v>
      </c>
      <c r="AZ40" s="1">
        <f>[1]Results!BC1400</f>
        <v>0.95692229242188009</v>
      </c>
      <c r="BA40" s="1">
        <f>[1]Results!BD1400</f>
        <v>0.99382967152479296</v>
      </c>
      <c r="BB40" s="1">
        <f>[1]Results!BE1400</f>
        <v>0.52299658260768211</v>
      </c>
      <c r="BC40" s="1">
        <f>[1]Results!BF1400</f>
        <v>0.54651106337506583</v>
      </c>
      <c r="BD40" s="1">
        <f>[1]Results!BG1400</f>
        <v>0.5699060494213759</v>
      </c>
      <c r="BE40" s="1">
        <f>[1]Results!BH1400</f>
        <v>0.59312071470607464</v>
      </c>
      <c r="BF40" s="1">
        <f>[1]Results!BI1400</f>
        <v>0.61613814107257525</v>
      </c>
    </row>
    <row r="41" spans="1:58" x14ac:dyDescent="0.35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-2.3184665281972272E-2</v>
      </c>
      <c r="D41" s="1">
        <f>[1]Results!G1401</f>
        <v>-3.4666398625171624E-2</v>
      </c>
      <c r="E41" s="1">
        <f>[1]Results!H1401</f>
        <v>-3.8519750884158377E-2</v>
      </c>
      <c r="F41" s="1">
        <f>[1]Results!I1401</f>
        <v>-4.0422009504481604E-2</v>
      </c>
      <c r="G41" s="1">
        <f>[1]Results!J1401</f>
        <v>-4.3630540759886927E-2</v>
      </c>
      <c r="H41" s="1">
        <f>[1]Results!K1401</f>
        <v>-4.9032784290603537E-2</v>
      </c>
      <c r="I41" s="1">
        <f>[1]Results!L1401</f>
        <v>-5.6200693198493745E-2</v>
      </c>
      <c r="J41" s="1">
        <f>[1]Results!M1401</f>
        <v>-6.4250452450276274E-2</v>
      </c>
      <c r="K41" s="1">
        <f>[1]Results!N1401</f>
        <v>-7.2384734456376609E-2</v>
      </c>
      <c r="L41" s="1">
        <f>[1]Results!O1401</f>
        <v>-8.0067382167314793E-2</v>
      </c>
      <c r="M41" s="1">
        <f>[1]Results!P1401</f>
        <v>-8.7017462528593548E-2</v>
      </c>
      <c r="N41" s="1">
        <f>[1]Results!Q1401</f>
        <v>-9.3196176887944127E-2</v>
      </c>
      <c r="O41" s="1">
        <f>[1]Results!R1401</f>
        <v>-9.8656438967525961E-2</v>
      </c>
      <c r="P41" s="1">
        <f>[1]Results!S1401</f>
        <v>-0.1035499512780258</v>
      </c>
      <c r="Q41" s="1">
        <f>[1]Results!T1401</f>
        <v>-0.10802522775857915</v>
      </c>
      <c r="R41" s="1">
        <f>[1]Results!U1401</f>
        <v>-0.11220771672380003</v>
      </c>
      <c r="S41" s="1">
        <f>[1]Results!V1401</f>
        <v>-0.11622621095148666</v>
      </c>
      <c r="T41" s="1">
        <f>[1]Results!W1401</f>
        <v>-0.12019272265643144</v>
      </c>
      <c r="U41" s="1">
        <f>[1]Results!X1401</f>
        <v>-0.12421220890378448</v>
      </c>
      <c r="V41" s="1">
        <f>[1]Results!Y1401</f>
        <v>-0.12836424442929095</v>
      </c>
      <c r="W41" s="1">
        <f>[1]Results!Z1401</f>
        <v>-0.1327015900395967</v>
      </c>
      <c r="X41" s="1">
        <f>[1]Results!AA1401</f>
        <v>-0.13723684016175852</v>
      </c>
      <c r="Y41" s="1">
        <f>[1]Results!AB1401</f>
        <v>-0.14197726178650782</v>
      </c>
      <c r="Z41" s="1">
        <f>[1]Results!AC1401</f>
        <v>-0.14688500893560441</v>
      </c>
      <c r="AA41" s="1">
        <f>[1]Results!AD1401</f>
        <v>-0.15193227740537552</v>
      </c>
      <c r="AB41" s="1">
        <f>[1]Results!AE1401</f>
        <v>-0.15711265607004643</v>
      </c>
      <c r="AC41" s="1">
        <f>[1]Results!AF1401</f>
        <v>-0.16239679879841429</v>
      </c>
      <c r="AD41" s="1">
        <f>[1]Results!AG1401</f>
        <v>-0.1677892236510381</v>
      </c>
      <c r="AE41" s="1">
        <f>[1]Results!AH1401</f>
        <v>-0.17320366288634537</v>
      </c>
      <c r="AF41" s="1">
        <f>[1]Results!AI1401</f>
        <v>-0.17858408767368328</v>
      </c>
      <c r="AG41" s="1">
        <f>[1]Results!AJ1401</f>
        <v>-0.18390328193810257</v>
      </c>
      <c r="AH41" s="1">
        <f>[1]Results!AK1401</f>
        <v>-0.18914668572619364</v>
      </c>
      <c r="AI41" s="1">
        <f>[1]Results!AL1401</f>
        <v>-0.19430941443511207</v>
      </c>
      <c r="AJ41" s="1">
        <f>[1]Results!AM1401</f>
        <v>-0.19939259902751472</v>
      </c>
      <c r="AK41" s="1">
        <f>[1]Results!AN1401</f>
        <v>-0.20440244047460476</v>
      </c>
      <c r="AL41" s="1">
        <f>[1]Results!AO1401</f>
        <v>-0.20935124673279182</v>
      </c>
      <c r="AM41" s="1">
        <f>[1]Results!AP1401</f>
        <v>-0.21419670542215385</v>
      </c>
      <c r="AN41" s="1">
        <f>[1]Results!AQ1401</f>
        <v>-0.21888933877520778</v>
      </c>
      <c r="AO41" s="1">
        <f>[1]Results!AR1401</f>
        <v>-0.22340115436504382</v>
      </c>
      <c r="AP41" s="1">
        <f>[1]Results!AS1401</f>
        <v>-0.22770753669932864</v>
      </c>
      <c r="AQ41" s="1">
        <f>[1]Results!AT1401</f>
        <v>-0.23182222621989101</v>
      </c>
      <c r="AR41" s="1">
        <f>[1]Results!AU1401</f>
        <v>-0.25357412289110925</v>
      </c>
      <c r="AS41" s="1">
        <f>[1]Results!AV1401</f>
        <v>-0.28821171277834123</v>
      </c>
      <c r="AT41" s="1">
        <f>[1]Results!AW1401</f>
        <v>-0.32833223592423355</v>
      </c>
      <c r="AU41" s="1">
        <f>[1]Results!AX1401</f>
        <v>-0.36836463601280789</v>
      </c>
      <c r="AV41" s="1">
        <f>[1]Results!AY1401</f>
        <v>-0.40536243249020831</v>
      </c>
      <c r="AW41" s="1">
        <f>[1]Results!AZ1401</f>
        <v>-0.41385234667741244</v>
      </c>
      <c r="AX41" s="1">
        <f>[1]Results!BA1401</f>
        <v>-0.40081621285205093</v>
      </c>
      <c r="AY41" s="1">
        <f>[1]Results!BB1401</f>
        <v>-0.37711689476473964</v>
      </c>
      <c r="AZ41" s="1">
        <f>[1]Results!BC1401</f>
        <v>-0.35106905557720225</v>
      </c>
      <c r="BA41" s="1">
        <f>[1]Results!BD1401</f>
        <v>-0.32727217320296376</v>
      </c>
      <c r="BB41" s="1">
        <f>[1]Results!BE1401</f>
        <v>-0.55346485136600343</v>
      </c>
      <c r="BC41" s="1">
        <f>[1]Results!BF1401</f>
        <v>-0.56941968367145712</v>
      </c>
      <c r="BD41" s="1">
        <f>[1]Results!BG1401</f>
        <v>-0.58518679972733301</v>
      </c>
      <c r="BE41" s="1">
        <f>[1]Results!BH1401</f>
        <v>-0.60091463051668015</v>
      </c>
      <c r="BF41" s="1">
        <f>[1]Results!BI1401</f>
        <v>-0.61665616465492734</v>
      </c>
    </row>
    <row r="42" spans="1:58" x14ac:dyDescent="0.35">
      <c r="A42" s="3" t="str">
        <f>[1]Results!E1402</f>
        <v>((F_L_2/F_L_0)-1)*100</v>
      </c>
      <c r="B42" t="str">
        <f>[1]Results!C1402</f>
        <v>Emploi en %</v>
      </c>
      <c r="C42" s="1">
        <f>[1]Results!F1402</f>
        <v>7.1929945506976622E-3</v>
      </c>
      <c r="D42" s="1">
        <f>[1]Results!G1402</f>
        <v>9.7102955820105308E-3</v>
      </c>
      <c r="E42" s="1">
        <f>[1]Results!H1402</f>
        <v>1.0306084992994791E-2</v>
      </c>
      <c r="F42" s="1">
        <f>[1]Results!I1402</f>
        <v>1.0358509892949286E-2</v>
      </c>
      <c r="G42" s="1">
        <f>[1]Results!J1402</f>
        <v>1.0065542958970219E-2</v>
      </c>
      <c r="H42" s="1">
        <f>[1]Results!K1402</f>
        <v>9.0798185738982795E-3</v>
      </c>
      <c r="I42" s="1">
        <f>[1]Results!L1402</f>
        <v>7.2756359262626802E-3</v>
      </c>
      <c r="J42" s="1">
        <f>[1]Results!M1402</f>
        <v>4.6977176866747072E-3</v>
      </c>
      <c r="K42" s="1">
        <f>[1]Results!N1402</f>
        <v>1.5069116476196243E-3</v>
      </c>
      <c r="L42" s="1">
        <f>[1]Results!O1402</f>
        <v>-2.1024291750659785E-3</v>
      </c>
      <c r="M42" s="1">
        <f>[1]Results!P1402</f>
        <v>-5.9546364673868091E-3</v>
      </c>
      <c r="N42" s="1">
        <f>[1]Results!Q1402</f>
        <v>-9.8658889970404395E-3</v>
      </c>
      <c r="O42" s="1">
        <f>[1]Results!R1402</f>
        <v>-1.3799644792089616E-2</v>
      </c>
      <c r="P42" s="1">
        <f>[1]Results!S1402</f>
        <v>-1.7753359258076973E-2</v>
      </c>
      <c r="Q42" s="1">
        <f>[1]Results!T1402</f>
        <v>-2.1740240685064194E-2</v>
      </c>
      <c r="R42" s="1">
        <f>[1]Results!U1402</f>
        <v>-2.5767761364492436E-2</v>
      </c>
      <c r="S42" s="1">
        <f>[1]Results!V1402</f>
        <v>-2.9760722716054566E-2</v>
      </c>
      <c r="T42" s="1">
        <f>[1]Results!W1402</f>
        <v>-3.3737233420882973E-2</v>
      </c>
      <c r="U42" s="1">
        <f>[1]Results!X1402</f>
        <v>-3.7703463943927762E-2</v>
      </c>
      <c r="V42" s="1">
        <f>[1]Results!Y1402</f>
        <v>-4.1661275725590752E-2</v>
      </c>
      <c r="W42" s="1">
        <f>[1]Results!Z1402</f>
        <v>-4.5619196073687363E-2</v>
      </c>
      <c r="X42" s="1">
        <f>[1]Results!AA1402</f>
        <v>-4.9566965175140698E-2</v>
      </c>
      <c r="Y42" s="1">
        <f>[1]Results!AB1402</f>
        <v>-5.3502964812168763E-2</v>
      </c>
      <c r="Z42" s="1">
        <f>[1]Results!AC1402</f>
        <v>-5.7422574861076825E-2</v>
      </c>
      <c r="AA42" s="1">
        <f>[1]Results!AD1402</f>
        <v>-6.1319928340886065E-2</v>
      </c>
      <c r="AB42" s="1">
        <f>[1]Results!AE1402</f>
        <v>-6.5215497315018744E-2</v>
      </c>
      <c r="AC42" s="1">
        <f>[1]Results!AF1402</f>
        <v>-6.9107483884733867E-2</v>
      </c>
      <c r="AD42" s="1">
        <f>[1]Results!AG1402</f>
        <v>-7.297771808895126E-2</v>
      </c>
      <c r="AE42" s="1">
        <f>[1]Results!AH1402</f>
        <v>-7.6811046675040462E-2</v>
      </c>
      <c r="AF42" s="1">
        <f>[1]Results!AI1402</f>
        <v>-8.0595221311707821E-2</v>
      </c>
      <c r="AG42" s="1">
        <f>[1]Results!AJ1402</f>
        <v>-8.4321374713602903E-2</v>
      </c>
      <c r="AH42" s="1">
        <f>[1]Results!AK1402</f>
        <v>-8.800018961192535E-2</v>
      </c>
      <c r="AI42" s="1">
        <f>[1]Results!AL1402</f>
        <v>-9.1621977274103372E-2</v>
      </c>
      <c r="AJ42" s="1">
        <f>[1]Results!AM1402</f>
        <v>-9.5180898445390572E-2</v>
      </c>
      <c r="AK42" s="1">
        <f>[1]Results!AN1402</f>
        <v>-9.8673121273940012E-2</v>
      </c>
      <c r="AL42" s="1">
        <f>[1]Results!AO1402</f>
        <v>-0.10209617928507164</v>
      </c>
      <c r="AM42" s="1">
        <f>[1]Results!AP1402</f>
        <v>-0.10559677022577985</v>
      </c>
      <c r="AN42" s="1">
        <f>[1]Results!AQ1402</f>
        <v>-0.10910763659575107</v>
      </c>
      <c r="AO42" s="1">
        <f>[1]Results!AR1402</f>
        <v>-0.11253372853172738</v>
      </c>
      <c r="AP42" s="1">
        <f>[1]Results!AS1402</f>
        <v>-0.11577345983225795</v>
      </c>
      <c r="AQ42" s="1">
        <f>[1]Results!AT1402</f>
        <v>-0.1187593185643987</v>
      </c>
      <c r="AR42" s="1">
        <f>[1]Results!AU1402</f>
        <v>-0.12238916335700623</v>
      </c>
      <c r="AS42" s="1">
        <f>[1]Results!AV1402</f>
        <v>-0.12819898348614966</v>
      </c>
      <c r="AT42" s="1">
        <f>[1]Results!AW1402</f>
        <v>-0.1370548773023339</v>
      </c>
      <c r="AU42" s="1">
        <f>[1]Results!AX1402</f>
        <v>-0.14902020722248333</v>
      </c>
      <c r="AV42" s="1">
        <f>[1]Results!AY1402</f>
        <v>-0.16369419043249511</v>
      </c>
      <c r="AW42" s="1">
        <f>[1]Results!AZ1402</f>
        <v>-0.17937373348861918</v>
      </c>
      <c r="AX42" s="1">
        <f>[1]Results!BA1402</f>
        <v>-0.19357500561097973</v>
      </c>
      <c r="AY42" s="1">
        <f>[1]Results!BB1402</f>
        <v>-0.20496368127330689</v>
      </c>
      <c r="AZ42" s="1">
        <f>[1]Results!BC1402</f>
        <v>-0.21339922122516342</v>
      </c>
      <c r="BA42" s="1">
        <f>[1]Results!BD1402</f>
        <v>-0.21936291242814487</v>
      </c>
      <c r="BB42" s="1">
        <f>[1]Results!BE1402</f>
        <v>0.14027340424394019</v>
      </c>
      <c r="BC42" s="1">
        <f>[1]Results!BF1402</f>
        <v>0.14741152578139349</v>
      </c>
      <c r="BD42" s="1">
        <f>[1]Results!BG1402</f>
        <v>0.15482110587274889</v>
      </c>
      <c r="BE42" s="1">
        <f>[1]Results!BH1402</f>
        <v>0.16252648829901961</v>
      </c>
      <c r="BF42" s="1">
        <f>[1]Results!BI1402</f>
        <v>0.17051143114354961</v>
      </c>
    </row>
    <row r="43" spans="1:58" x14ac:dyDescent="0.35">
      <c r="A43" s="3" t="str">
        <f>[1]Results!E1403</f>
        <v>F_L_2-F_L_0</v>
      </c>
      <c r="B43" t="str">
        <f>[1]Results!C1403</f>
        <v>Emploi en millier</v>
      </c>
      <c r="C43" s="1">
        <f>[1]Results!F1403</f>
        <v>1.9688999999998487</v>
      </c>
      <c r="D43" s="1">
        <f>[1]Results!G1403</f>
        <v>2.6610799999980372</v>
      </c>
      <c r="E43" s="1">
        <f>[1]Results!H1403</f>
        <v>2.828590000000986</v>
      </c>
      <c r="F43" s="1">
        <f>[1]Results!I1403</f>
        <v>2.8489899999985937</v>
      </c>
      <c r="G43" s="1">
        <f>[1]Results!J1403</f>
        <v>2.7762299999994866</v>
      </c>
      <c r="H43" s="1">
        <f>[1]Results!K1403</f>
        <v>2.5131399999991118</v>
      </c>
      <c r="I43" s="1">
        <f>[1]Results!L1403</f>
        <v>2.0212499999979627</v>
      </c>
      <c r="J43" s="1">
        <f>[1]Results!M1403</f>
        <v>1.3101500000011583</v>
      </c>
      <c r="K43" s="1">
        <f>[1]Results!N1403</f>
        <v>0.42195999999967171</v>
      </c>
      <c r="L43" s="1">
        <f>[1]Results!O1403</f>
        <v>-0.59115999999994528</v>
      </c>
      <c r="M43" s="1">
        <f>[1]Results!P1403</f>
        <v>-1.6824999999989814</v>
      </c>
      <c r="N43" s="1">
        <f>[1]Results!Q1403</f>
        <v>-2.8010299999987183</v>
      </c>
      <c r="O43" s="1">
        <f>[1]Results!R1403</f>
        <v>-3.9362299999993411</v>
      </c>
      <c r="P43" s="1">
        <f>[1]Results!S1403</f>
        <v>-5.0871399999996356</v>
      </c>
      <c r="Q43" s="1">
        <f>[1]Results!T1403</f>
        <v>-6.2573599999996077</v>
      </c>
      <c r="R43" s="1">
        <f>[1]Results!U1403</f>
        <v>-7.4489400000020396</v>
      </c>
      <c r="S43" s="1">
        <f>[1]Results!V1403</f>
        <v>-8.6400100000028033</v>
      </c>
      <c r="T43" s="1">
        <f>[1]Results!W1403</f>
        <v>-9.8355800000026647</v>
      </c>
      <c r="U43" s="1">
        <f>[1]Results!X1403</f>
        <v>-11.037299999999959</v>
      </c>
      <c r="V43" s="1">
        <f>[1]Results!Y1403</f>
        <v>-12.245620000001509</v>
      </c>
      <c r="W43" s="1">
        <f>[1]Results!Z1403</f>
        <v>-13.457480000000942</v>
      </c>
      <c r="X43" s="1">
        <f>[1]Results!AA1403</f>
        <v>-14.67554999999993</v>
      </c>
      <c r="Y43" s="1">
        <f>[1]Results!AB1403</f>
        <v>-15.899720000001253</v>
      </c>
      <c r="Z43" s="1">
        <f>[1]Results!AC1403</f>
        <v>-17.12865999999849</v>
      </c>
      <c r="AA43" s="1">
        <f>[1]Results!AD1403</f>
        <v>-18.36055000000124</v>
      </c>
      <c r="AB43" s="1">
        <f>[1]Results!AE1403</f>
        <v>-19.579879999997502</v>
      </c>
      <c r="AC43" s="1">
        <f>[1]Results!AF1403</f>
        <v>-20.798699999999371</v>
      </c>
      <c r="AD43" s="1">
        <f>[1]Results!AG1403</f>
        <v>-22.013039999998</v>
      </c>
      <c r="AE43" s="1">
        <f>[1]Results!AH1403</f>
        <v>-23.219289999997272</v>
      </c>
      <c r="AF43" s="1">
        <f>[1]Results!AI1403</f>
        <v>-24.4145099999987</v>
      </c>
      <c r="AG43" s="1">
        <f>[1]Results!AJ1403</f>
        <v>-25.596619999996619</v>
      </c>
      <c r="AH43" s="1">
        <f>[1]Results!AK1403</f>
        <v>-26.769309999999678</v>
      </c>
      <c r="AI43" s="1">
        <f>[1]Results!AL1403</f>
        <v>-27.929920000002312</v>
      </c>
      <c r="AJ43" s="1">
        <f>[1]Results!AM1403</f>
        <v>-29.076779999999417</v>
      </c>
      <c r="AK43" s="1">
        <f>[1]Results!AN1403</f>
        <v>-30.208679999999731</v>
      </c>
      <c r="AL43" s="1">
        <f>[1]Results!AO1403</f>
        <v>-31.324710000000778</v>
      </c>
      <c r="AM43" s="1">
        <f>[1]Results!AP1403</f>
        <v>-32.462289999999484</v>
      </c>
      <c r="AN43" s="1">
        <f>[1]Results!AQ1403</f>
        <v>-33.601459999998042</v>
      </c>
      <c r="AO43" s="1">
        <f>[1]Results!AR1403</f>
        <v>-34.713850000000093</v>
      </c>
      <c r="AP43" s="1">
        <f>[1]Results!AS1403</f>
        <v>-35.768830000000889</v>
      </c>
      <c r="AQ43" s="1">
        <f>[1]Results!AT1403</f>
        <v>-36.746020000002318</v>
      </c>
      <c r="AR43" s="1">
        <f>[1]Results!AU1403</f>
        <v>-37.924280000002909</v>
      </c>
      <c r="AS43" s="1">
        <f>[1]Results!AV1403</f>
        <v>-39.782259999999951</v>
      </c>
      <c r="AT43" s="1">
        <f>[1]Results!AW1403</f>
        <v>-42.592900000003283</v>
      </c>
      <c r="AU43" s="1">
        <f>[1]Results!AX1403</f>
        <v>-46.380600000000413</v>
      </c>
      <c r="AV43" s="1">
        <f>[1]Results!AY1403</f>
        <v>-51.025050000000192</v>
      </c>
      <c r="AW43" s="1">
        <f>[1]Results!AZ1403</f>
        <v>-55.999579999999696</v>
      </c>
      <c r="AX43" s="1">
        <f>[1]Results!BA1403</f>
        <v>-60.529099999999744</v>
      </c>
      <c r="AY43" s="1">
        <f>[1]Results!BB1403</f>
        <v>-64.193449999998847</v>
      </c>
      <c r="AZ43" s="1">
        <f>[1]Results!BC1403</f>
        <v>-66.944139999999607</v>
      </c>
      <c r="BA43" s="1">
        <f>[1]Results!BD1403</f>
        <v>-68.927690000000439</v>
      </c>
      <c r="BB43" s="1">
        <f>[1]Results!BE1403</f>
        <v>43.635760000001028</v>
      </c>
      <c r="BC43" s="1">
        <f>[1]Results!BF1403</f>
        <v>45.909630000001926</v>
      </c>
      <c r="BD43" s="1">
        <f>[1]Results!BG1403</f>
        <v>48.272320000000036</v>
      </c>
      <c r="BE43" s="1">
        <f>[1]Results!BH1403</f>
        <v>50.7316000000028</v>
      </c>
      <c r="BF43" s="1">
        <f>[1]Results!BI1403</f>
        <v>53.282609999998385</v>
      </c>
    </row>
    <row r="44" spans="1:58" x14ac:dyDescent="0.35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-5.2507899999998386E-3</v>
      </c>
      <c r="D44" s="1">
        <f>[1]Results!G1404</f>
        <v>-6.6874100000002823E-3</v>
      </c>
      <c r="E44" s="1">
        <f>[1]Results!H1404</f>
        <v>-6.8059299999978506E-3</v>
      </c>
      <c r="F44" s="1">
        <f>[1]Results!I1404</f>
        <v>-6.6742299999977828E-3</v>
      </c>
      <c r="G44" s="1">
        <f>[1]Results!J1404</f>
        <v>-6.3849300000001774E-3</v>
      </c>
      <c r="H44" s="1">
        <f>[1]Results!K1404</f>
        <v>-5.6531500000012169E-3</v>
      </c>
      <c r="I44" s="1">
        <f>[1]Results!L1404</f>
        <v>-4.3935299999992017E-3</v>
      </c>
      <c r="J44" s="1">
        <f>[1]Results!M1404</f>
        <v>-2.6414999999974098E-3</v>
      </c>
      <c r="K44" s="1">
        <f>[1]Results!N1404</f>
        <v>-5.1447999999953975E-4</v>
      </c>
      <c r="L44" s="1">
        <f>[1]Results!O1404</f>
        <v>1.8551899999996735E-3</v>
      </c>
      <c r="M44" s="1">
        <f>[1]Results!P1404</f>
        <v>4.3514599999988635E-3</v>
      </c>
      <c r="N44" s="1">
        <f>[1]Results!Q1404</f>
        <v>6.8637499999996132E-3</v>
      </c>
      <c r="O44" s="1">
        <f>[1]Results!R1404</f>
        <v>9.3781300000012058E-3</v>
      </c>
      <c r="P44" s="1">
        <f>[1]Results!S1404</f>
        <v>1.1901170000000461E-2</v>
      </c>
      <c r="Q44" s="1">
        <f>[1]Results!T1404</f>
        <v>1.4445999999998516E-2</v>
      </c>
      <c r="R44" s="1">
        <f>[1]Results!U1404</f>
        <v>1.7018750000000193E-2</v>
      </c>
      <c r="S44" s="1">
        <f>[1]Results!V1404</f>
        <v>1.956432000000119E-2</v>
      </c>
      <c r="T44" s="1">
        <f>[1]Results!W1404</f>
        <v>2.2099680000001176E-2</v>
      </c>
      <c r="U44" s="1">
        <f>[1]Results!X1404</f>
        <v>2.4629939999998296E-2</v>
      </c>
      <c r="V44" s="1">
        <f>[1]Results!Y1404</f>
        <v>2.7156289999999417E-2</v>
      </c>
      <c r="W44" s="1">
        <f>[1]Results!Z1404</f>
        <v>2.9698170000000412E-2</v>
      </c>
      <c r="X44" s="1">
        <f>[1]Results!AA1404</f>
        <v>3.2212090000000027E-2</v>
      </c>
      <c r="Y44" s="1">
        <f>[1]Results!AB1404</f>
        <v>3.4722119999999745E-2</v>
      </c>
      <c r="Z44" s="1">
        <f>[1]Results!AC1404</f>
        <v>3.7223940000000177E-2</v>
      </c>
      <c r="AA44" s="1">
        <f>[1]Results!AD1404</f>
        <v>3.9712960000001796E-2</v>
      </c>
      <c r="AB44" s="1">
        <f>[1]Results!AE1404</f>
        <v>4.2255650000000422E-2</v>
      </c>
      <c r="AC44" s="1">
        <f>[1]Results!AF1404</f>
        <v>4.4738769999999595E-2</v>
      </c>
      <c r="AD44" s="1">
        <f>[1]Results!AG1404</f>
        <v>4.7205129999999818E-2</v>
      </c>
      <c r="AE44" s="1">
        <f>[1]Results!AH1404</f>
        <v>4.9644579999999494E-2</v>
      </c>
      <c r="AF44" s="1">
        <f>[1]Results!AI1404</f>
        <v>5.2049930000000466E-2</v>
      </c>
      <c r="AG44" s="1">
        <f>[1]Results!AJ1404</f>
        <v>5.4416489999997708E-2</v>
      </c>
      <c r="AH44" s="1">
        <f>[1]Results!AK1404</f>
        <v>5.675357000000103E-2</v>
      </c>
      <c r="AI44" s="1">
        <f>[1]Results!AL1404</f>
        <v>5.9054280000001014E-2</v>
      </c>
      <c r="AJ44" s="1">
        <f>[1]Results!AM1404</f>
        <v>6.1314949999999313E-2</v>
      </c>
      <c r="AK44" s="1">
        <f>[1]Results!AN1404</f>
        <v>6.3533269999999087E-2</v>
      </c>
      <c r="AL44" s="1">
        <f>[1]Results!AO1404</f>
        <v>6.5707749999999177E-2</v>
      </c>
      <c r="AM44" s="1">
        <f>[1]Results!AP1404</f>
        <v>6.7963369999998746E-2</v>
      </c>
      <c r="AN44" s="1">
        <f>[1]Results!AQ1404</f>
        <v>7.021446999999903E-2</v>
      </c>
      <c r="AO44" s="1">
        <f>[1]Results!AR1404</f>
        <v>7.2395629999999489E-2</v>
      </c>
      <c r="AP44" s="1">
        <f>[1]Results!AS1404</f>
        <v>7.4439869999998187E-2</v>
      </c>
      <c r="AQ44" s="1">
        <f>[1]Results!AT1404</f>
        <v>7.6306870000000804E-2</v>
      </c>
      <c r="AR44" s="1">
        <f>[1]Results!AU1404</f>
        <v>7.8663619999999601E-2</v>
      </c>
      <c r="AS44" s="1">
        <f>[1]Results!AV1404</f>
        <v>8.2591710000001761E-2</v>
      </c>
      <c r="AT44" s="1">
        <f>[1]Results!AW1404</f>
        <v>8.8623459999997989E-2</v>
      </c>
      <c r="AU44" s="1">
        <f>[1]Results!AX1404</f>
        <v>9.6714300000000364E-2</v>
      </c>
      <c r="AV44" s="1">
        <f>[1]Results!AY1404</f>
        <v>0.106528119999999</v>
      </c>
      <c r="AW44" s="1">
        <f>[1]Results!AZ1404</f>
        <v>0.1168179200000008</v>
      </c>
      <c r="AX44" s="1">
        <f>[1]Results!BA1404</f>
        <v>0.12586079999999944</v>
      </c>
      <c r="AY44" s="1">
        <f>[1]Results!BB1404</f>
        <v>0.13285356999999942</v>
      </c>
      <c r="AZ44" s="1">
        <f>[1]Results!BC1404</f>
        <v>0.13784025999999949</v>
      </c>
      <c r="BA44" s="1">
        <f>[1]Results!BD1404</f>
        <v>0.14124367999999998</v>
      </c>
      <c r="BB44" s="1">
        <f>[1]Results!BE1404</f>
        <v>-8.9909590000000761E-2</v>
      </c>
      <c r="BC44" s="1">
        <f>[1]Results!BF1404</f>
        <v>-9.4422660000001435E-2</v>
      </c>
      <c r="BD44" s="1">
        <f>[1]Results!BG1404</f>
        <v>-9.911473000000226E-2</v>
      </c>
      <c r="BE44" s="1">
        <f>[1]Results!BH1404</f>
        <v>-0.10399653000000009</v>
      </c>
      <c r="BF44" s="1">
        <f>[1]Results!BI1404</f>
        <v>-0.10905186999999872</v>
      </c>
    </row>
    <row r="45" spans="1:58" x14ac:dyDescent="0.35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2.4026845405551028E-3</v>
      </c>
      <c r="D45" s="1">
        <f>[1]Results!G1405</f>
        <v>3.4509256851833481E-3</v>
      </c>
      <c r="E45" s="1">
        <f>[1]Results!H1405</f>
        <v>3.6142513750545002E-3</v>
      </c>
      <c r="F45" s="1">
        <f>[1]Results!I1405</f>
        <v>3.3246386016693233E-3</v>
      </c>
      <c r="G45" s="1">
        <f>[1]Results!J1405</f>
        <v>3.077953671063241E-3</v>
      </c>
      <c r="H45" s="1">
        <f>[1]Results!K1405</f>
        <v>3.0894072926375069E-3</v>
      </c>
      <c r="I45" s="1">
        <f>[1]Results!L1405</f>
        <v>3.4059166066314692E-3</v>
      </c>
      <c r="J45" s="1">
        <f>[1]Results!M1405</f>
        <v>3.877752699812595E-3</v>
      </c>
      <c r="K45" s="1">
        <f>[1]Results!N1405</f>
        <v>4.3400760177121633E-3</v>
      </c>
      <c r="L45" s="1">
        <f>[1]Results!O1405</f>
        <v>4.6741928857391493E-3</v>
      </c>
      <c r="M45" s="1">
        <f>[1]Results!P1405</f>
        <v>4.8097495515130213E-3</v>
      </c>
      <c r="N45" s="1">
        <f>[1]Results!Q1405</f>
        <v>4.7557403742554301E-3</v>
      </c>
      <c r="O45" s="1">
        <f>[1]Results!R1405</f>
        <v>4.5020807506861507E-3</v>
      </c>
      <c r="P45" s="1">
        <f>[1]Results!S1405</f>
        <v>4.0971006036097726E-3</v>
      </c>
      <c r="Q45" s="1">
        <f>[1]Results!T1405</f>
        <v>3.5822076173977306E-3</v>
      </c>
      <c r="R45" s="1">
        <f>[1]Results!U1405</f>
        <v>2.9893510972976191E-3</v>
      </c>
      <c r="S45" s="1">
        <f>[1]Results!V1405</f>
        <v>2.3315550856221195E-3</v>
      </c>
      <c r="T45" s="1">
        <f>[1]Results!W1405</f>
        <v>1.6248989141944524E-3</v>
      </c>
      <c r="U45" s="1">
        <f>[1]Results!X1405</f>
        <v>8.9550602991620917E-4</v>
      </c>
      <c r="V45" s="1">
        <f>[1]Results!Y1405</f>
        <v>1.5891032769015448E-4</v>
      </c>
      <c r="W45" s="1">
        <f>[1]Results!Z1405</f>
        <v>-5.5723242855191396E-4</v>
      </c>
      <c r="X45" s="1">
        <f>[1]Results!AA1405</f>
        <v>-1.3061235044949625E-3</v>
      </c>
      <c r="Y45" s="1">
        <f>[1]Results!AB1405</f>
        <v>-2.0511095368676464E-3</v>
      </c>
      <c r="Z45" s="1">
        <f>[1]Results!AC1405</f>
        <v>-2.8038384366583027E-3</v>
      </c>
      <c r="AA45" s="1">
        <f>[1]Results!AD1405</f>
        <v>-3.5722096137313572E-3</v>
      </c>
      <c r="AB45" s="1">
        <f>[1]Results!AE1405</f>
        <v>-4.2898125295939837E-3</v>
      </c>
      <c r="AC45" s="1">
        <f>[1]Results!AF1405</f>
        <v>-5.1110964872572509E-3</v>
      </c>
      <c r="AD45" s="1">
        <f>[1]Results!AG1405</f>
        <v>-5.9566884097628052E-3</v>
      </c>
      <c r="AE45" s="1">
        <f>[1]Results!AH1405</f>
        <v>-6.8464389972238381E-3</v>
      </c>
      <c r="AF45" s="1">
        <f>[1]Results!AI1405</f>
        <v>-7.7906020079234264E-3</v>
      </c>
      <c r="AG45" s="1">
        <f>[1]Results!AJ1405</f>
        <v>-8.7931071830600355E-3</v>
      </c>
      <c r="AH45" s="1">
        <f>[1]Results!AK1405</f>
        <v>-9.8508503267860301E-3</v>
      </c>
      <c r="AI45" s="1">
        <f>[1]Results!AL1405</f>
        <v>-1.0964355882257717E-2</v>
      </c>
      <c r="AJ45" s="1">
        <f>[1]Results!AM1405</f>
        <v>-1.2134912921882898E-2</v>
      </c>
      <c r="AK45" s="1">
        <f>[1]Results!AN1405</f>
        <v>-1.3362276452731246E-2</v>
      </c>
      <c r="AL45" s="1">
        <f>[1]Results!AO1405</f>
        <v>-1.4644928821934758E-2</v>
      </c>
      <c r="AM45" s="1">
        <f>[1]Results!AP1405</f>
        <v>-1.5923814549514796E-2</v>
      </c>
      <c r="AN45" s="1">
        <f>[1]Results!AQ1405</f>
        <v>-1.7257388251777507E-2</v>
      </c>
      <c r="AO45" s="1">
        <f>[1]Results!AR1405</f>
        <v>-1.8662317507196314E-2</v>
      </c>
      <c r="AP45" s="1">
        <f>[1]Results!AS1405</f>
        <v>-2.0152613261771916E-2</v>
      </c>
      <c r="AQ45" s="1">
        <f>[1]Results!AT1405</f>
        <v>-2.1732703486904842E-2</v>
      </c>
      <c r="AR45" s="1">
        <f>[1]Results!AU1405</f>
        <v>-2.1045732084798537E-2</v>
      </c>
      <c r="AS45" s="1">
        <f>[1]Results!AV1405</f>
        <v>-1.8311419396414376E-2</v>
      </c>
      <c r="AT45" s="1">
        <f>[1]Results!AW1405</f>
        <v>-1.4670344244330023E-2</v>
      </c>
      <c r="AU45" s="1">
        <f>[1]Results!AX1405</f>
        <v>-1.1158185876075519E-2</v>
      </c>
      <c r="AV45" s="1">
        <f>[1]Results!AY1405</f>
        <v>-8.3740503039871315E-3</v>
      </c>
      <c r="AW45" s="1">
        <f>[1]Results!AZ1405</f>
        <v>-9.9439820014355015E-3</v>
      </c>
      <c r="AX45" s="1">
        <f>[1]Results!BA1405</f>
        <v>-1.5384611651044995E-2</v>
      </c>
      <c r="AY45" s="1">
        <f>[1]Results!BB1405</f>
        <v>-2.2911509236457725E-2</v>
      </c>
      <c r="AZ45" s="1">
        <f>[1]Results!BC1405</f>
        <v>-3.0901004480820268E-2</v>
      </c>
      <c r="BA45" s="1">
        <f>[1]Results!BD1405</f>
        <v>-3.837529214727347E-2</v>
      </c>
      <c r="BB45" s="1">
        <f>[1]Results!BE1405</f>
        <v>2.5088340241877227E-2</v>
      </c>
      <c r="BC45" s="1">
        <f>[1]Results!BF1405</f>
        <v>2.3677838209086803E-2</v>
      </c>
      <c r="BD45" s="1">
        <f>[1]Results!BG1405</f>
        <v>2.2157323216682578E-2</v>
      </c>
      <c r="BE45" s="1">
        <f>[1]Results!BH1405</f>
        <v>2.0562063689133103E-2</v>
      </c>
      <c r="BF45" s="1">
        <f>[1]Results!BI1405</f>
        <v>1.8911098973554932E-2</v>
      </c>
    </row>
    <row r="46" spans="1:58" x14ac:dyDescent="0.35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-6.1793029364903829E-4</v>
      </c>
      <c r="D46" s="1">
        <f>[1]Results!G1406</f>
        <v>1.1764530558500824E-4</v>
      </c>
      <c r="E46" s="1">
        <f>[1]Results!H1406</f>
        <v>7.7688437487549028E-4</v>
      </c>
      <c r="F46" s="1">
        <f>[1]Results!I1406</f>
        <v>1.3553701310509148E-3</v>
      </c>
      <c r="G46" s="1">
        <f>[1]Results!J1406</f>
        <v>1.9187027463016607E-3</v>
      </c>
      <c r="H46" s="1">
        <f>[1]Results!K1406</f>
        <v>2.5524520160816189E-3</v>
      </c>
      <c r="I46" s="1">
        <f>[1]Results!L1406</f>
        <v>3.1189268812417681E-3</v>
      </c>
      <c r="J46" s="1">
        <f>[1]Results!M1406</f>
        <v>3.5771795333136569E-3</v>
      </c>
      <c r="K46" s="1">
        <f>[1]Results!N1406</f>
        <v>3.9363701263676193E-3</v>
      </c>
      <c r="L46" s="1">
        <f>[1]Results!O1406</f>
        <v>4.2170402004907889E-3</v>
      </c>
      <c r="M46" s="1">
        <f>[1]Results!P1406</f>
        <v>4.4334744153029168E-3</v>
      </c>
      <c r="N46" s="1">
        <f>[1]Results!Q1406</f>
        <v>4.6177306444556906E-3</v>
      </c>
      <c r="O46" s="1">
        <f>[1]Results!R1406</f>
        <v>4.7779423064959331E-3</v>
      </c>
      <c r="P46" s="1">
        <f>[1]Results!S1406</f>
        <v>4.9243779174232977E-3</v>
      </c>
      <c r="Q46" s="1">
        <f>[1]Results!T1406</f>
        <v>5.0619205767300779E-3</v>
      </c>
      <c r="R46" s="1">
        <f>[1]Results!U1406</f>
        <v>5.1883101743753143E-3</v>
      </c>
      <c r="S46" s="1">
        <f>[1]Results!V1406</f>
        <v>5.3039973782654723E-3</v>
      </c>
      <c r="T46" s="1">
        <f>[1]Results!W1406</f>
        <v>5.4059117000604048E-3</v>
      </c>
      <c r="U46" s="1">
        <f>[1]Results!X1406</f>
        <v>5.4940317351551138E-3</v>
      </c>
      <c r="V46" s="1">
        <f>[1]Results!Y1406</f>
        <v>5.5700091250525038E-3</v>
      </c>
      <c r="W46" s="1">
        <f>[1]Results!Z1406</f>
        <v>5.6418356399629346E-3</v>
      </c>
      <c r="X46" s="1">
        <f>[1]Results!AA1406</f>
        <v>5.7025525562080445E-3</v>
      </c>
      <c r="Y46" s="1">
        <f>[1]Results!AB1406</f>
        <v>5.7581800869847127E-3</v>
      </c>
      <c r="Z46" s="1">
        <f>[1]Results!AC1406</f>
        <v>5.8097088131503841E-3</v>
      </c>
      <c r="AA46" s="1">
        <f>[1]Results!AD1406</f>
        <v>5.8570920988144232E-3</v>
      </c>
      <c r="AB46" s="1">
        <f>[1]Results!AE1406</f>
        <v>5.9161333855049791E-3</v>
      </c>
      <c r="AC46" s="1">
        <f>[1]Results!AF1406</f>
        <v>5.9644414254723596E-3</v>
      </c>
      <c r="AD46" s="1">
        <f>[1]Results!AG1406</f>
        <v>6.0077766737921812E-3</v>
      </c>
      <c r="AE46" s="1">
        <f>[1]Results!AH1406</f>
        <v>6.0451932284398546E-3</v>
      </c>
      <c r="AF46" s="1">
        <f>[1]Results!AI1406</f>
        <v>6.0753808642767526E-3</v>
      </c>
      <c r="AG46" s="1">
        <f>[1]Results!AJ1406</f>
        <v>6.0969898490123575E-3</v>
      </c>
      <c r="AH46" s="1">
        <f>[1]Results!AK1406</f>
        <v>6.1082509474981797E-3</v>
      </c>
      <c r="AI46" s="1">
        <f>[1]Results!AL1406</f>
        <v>6.1084363916903001E-3</v>
      </c>
      <c r="AJ46" s="1">
        <f>[1]Results!AM1406</f>
        <v>6.096927070391514E-3</v>
      </c>
      <c r="AK46" s="1">
        <f>[1]Results!AN1406</f>
        <v>6.073329073907896E-3</v>
      </c>
      <c r="AL46" s="1">
        <f>[1]Results!AO1406</f>
        <v>6.0374212910711822E-3</v>
      </c>
      <c r="AM46" s="1">
        <f>[1]Results!AP1406</f>
        <v>5.9892483576016661E-3</v>
      </c>
      <c r="AN46" s="1">
        <f>[1]Results!AQ1406</f>
        <v>5.9280221283389278E-3</v>
      </c>
      <c r="AO46" s="1">
        <f>[1]Results!AR1406</f>
        <v>5.8252282353869408E-3</v>
      </c>
      <c r="AP46" s="1">
        <f>[1]Results!AS1406</f>
        <v>5.6625056244258634E-3</v>
      </c>
      <c r="AQ46" s="1">
        <f>[1]Results!AT1406</f>
        <v>5.4423215790352225E-3</v>
      </c>
      <c r="AR46" s="1">
        <f>[1]Results!AU1406</f>
        <v>5.1174512070728886E-3</v>
      </c>
      <c r="AS46" s="1">
        <f>[1]Results!AV1406</f>
        <v>4.7170476298109484E-3</v>
      </c>
      <c r="AT46" s="1">
        <f>[1]Results!AW1406</f>
        <v>4.2661687789909489E-3</v>
      </c>
      <c r="AU46" s="1">
        <f>[1]Results!AX1406</f>
        <v>3.7685588641991896E-3</v>
      </c>
      <c r="AV46" s="1">
        <f>[1]Results!AY1406</f>
        <v>3.2116805576498306E-3</v>
      </c>
      <c r="AW46" s="1">
        <f>[1]Results!AZ1406</f>
        <v>2.6874317135496331E-3</v>
      </c>
      <c r="AX46" s="1">
        <f>[1]Results!BA1406</f>
        <v>2.2156251539177246E-3</v>
      </c>
      <c r="AY46" s="1">
        <f>[1]Results!BB1406</f>
        <v>1.8089301260666366E-3</v>
      </c>
      <c r="AZ46" s="1">
        <f>[1]Results!BC1406</f>
        <v>1.4746238067929462E-3</v>
      </c>
      <c r="BA46" s="1">
        <f>[1]Results!BD1406</f>
        <v>1.2183455088181361E-3</v>
      </c>
      <c r="BB46" s="1">
        <f>[1]Results!BE1406</f>
        <v>-1.4290277810535823E-2</v>
      </c>
      <c r="BC46" s="1">
        <f>[1]Results!BF1406</f>
        <v>-1.4575120011606733E-2</v>
      </c>
      <c r="BD46" s="1">
        <f>[1]Results!BG1406</f>
        <v>-1.4850600843896618E-2</v>
      </c>
      <c r="BE46" s="1">
        <f>[1]Results!BH1406</f>
        <v>-1.5118730917251105E-2</v>
      </c>
      <c r="BF46" s="1">
        <f>[1]Results!BI1406</f>
        <v>-1.5380040732979224E-2</v>
      </c>
    </row>
    <row r="47" spans="1:58" x14ac:dyDescent="0.35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1.9217254976474155E-3</v>
      </c>
      <c r="D47" s="1">
        <f>[1]Results!G1407</f>
        <v>1.7589870984175554E-3</v>
      </c>
      <c r="E47" s="1">
        <f>[1]Results!H1407</f>
        <v>1.2160332379331298E-3</v>
      </c>
      <c r="F47" s="1">
        <f>[1]Results!I1407</f>
        <v>8.5187885193876989E-4</v>
      </c>
      <c r="G47" s="1">
        <f>[1]Results!J1407</f>
        <v>9.2598811015677518E-4</v>
      </c>
      <c r="H47" s="1">
        <f>[1]Results!K1407</f>
        <v>1.4514427919712011E-3</v>
      </c>
      <c r="I47" s="1">
        <f>[1]Results!L1407</f>
        <v>2.2922712736669903E-3</v>
      </c>
      <c r="J47" s="1">
        <f>[1]Results!M1407</f>
        <v>3.251001275976842E-3</v>
      </c>
      <c r="K47" s="1">
        <f>[1]Results!N1407</f>
        <v>4.1765428544815117E-3</v>
      </c>
      <c r="L47" s="1">
        <f>[1]Results!O1407</f>
        <v>4.9953336757205605E-3</v>
      </c>
      <c r="M47" s="1">
        <f>[1]Results!P1407</f>
        <v>5.7265049887766581E-3</v>
      </c>
      <c r="N47" s="1">
        <f>[1]Results!Q1407</f>
        <v>6.368105818442462E-3</v>
      </c>
      <c r="O47" s="1">
        <f>[1]Results!R1407</f>
        <v>6.9864449726520124E-3</v>
      </c>
      <c r="P47" s="1">
        <f>[1]Results!S1407</f>
        <v>7.6475726193540525E-3</v>
      </c>
      <c r="Q47" s="1">
        <f>[1]Results!T1407</f>
        <v>8.4025333499288674E-3</v>
      </c>
      <c r="R47" s="1">
        <f>[1]Results!U1407</f>
        <v>9.2824550601783382E-3</v>
      </c>
      <c r="S47" s="1">
        <f>[1]Results!V1407</f>
        <v>1.0314559141705185E-2</v>
      </c>
      <c r="T47" s="1">
        <f>[1]Results!W1407</f>
        <v>1.1487469283114039E-2</v>
      </c>
      <c r="U47" s="1">
        <f>[1]Results!X1407</f>
        <v>1.2791207012645281E-2</v>
      </c>
      <c r="V47" s="1">
        <f>[1]Results!Y1407</f>
        <v>1.4206970208365075E-2</v>
      </c>
      <c r="W47" s="1">
        <f>[1]Results!Z1407</f>
        <v>1.568122861633589E-2</v>
      </c>
      <c r="X47" s="1">
        <f>[1]Results!AA1407</f>
        <v>1.7251074217874432E-2</v>
      </c>
      <c r="Y47" s="1">
        <f>[1]Results!AB1407</f>
        <v>1.886236838875336E-2</v>
      </c>
      <c r="Z47" s="1">
        <f>[1]Results!AC1407</f>
        <v>2.0491763025876488E-2</v>
      </c>
      <c r="AA47" s="1">
        <f>[1]Results!AD1407</f>
        <v>2.2122910316471796E-2</v>
      </c>
      <c r="AB47" s="1">
        <f>[1]Results!AE1407</f>
        <v>2.3637939521909582E-2</v>
      </c>
      <c r="AC47" s="1">
        <f>[1]Results!AF1407</f>
        <v>2.5190562463153286E-2</v>
      </c>
      <c r="AD47" s="1">
        <f>[1]Results!AG1407</f>
        <v>2.6726438975551096E-2</v>
      </c>
      <c r="AE47" s="1">
        <f>[1]Results!AH1407</f>
        <v>2.8236181508585478E-2</v>
      </c>
      <c r="AF47" s="1">
        <f>[1]Results!AI1407</f>
        <v>2.9718511649286718E-2</v>
      </c>
      <c r="AG47" s="1">
        <f>[1]Results!AJ1407</f>
        <v>3.1177387747522704E-2</v>
      </c>
      <c r="AH47" s="1">
        <f>[1]Results!AK1407</f>
        <v>3.261456956724193E-2</v>
      </c>
      <c r="AI47" s="1">
        <f>[1]Results!AL1407</f>
        <v>3.4039388364405725E-2</v>
      </c>
      <c r="AJ47" s="1">
        <f>[1]Results!AM1407</f>
        <v>3.5457459710641667E-2</v>
      </c>
      <c r="AK47" s="1">
        <f>[1]Results!AN1407</f>
        <v>3.6874155211292149E-2</v>
      </c>
      <c r="AL47" s="1">
        <f>[1]Results!AO1407</f>
        <v>3.8294402708921552E-2</v>
      </c>
      <c r="AM47" s="1">
        <f>[1]Results!AP1407</f>
        <v>3.9646892620551599E-2</v>
      </c>
      <c r="AN47" s="1">
        <f>[1]Results!AQ1407</f>
        <v>4.0996630656025754E-2</v>
      </c>
      <c r="AO47" s="1">
        <f>[1]Results!AR1407</f>
        <v>4.2344022389196288E-2</v>
      </c>
      <c r="AP47" s="1">
        <f>[1]Results!AS1407</f>
        <v>4.3678839847587428E-2</v>
      </c>
      <c r="AQ47" s="1">
        <f>[1]Results!AT1407</f>
        <v>4.4992706918447971E-2</v>
      </c>
      <c r="AR47" s="1">
        <f>[1]Results!AU1407</f>
        <v>4.766829501757848E-2</v>
      </c>
      <c r="AS47" s="1">
        <f>[1]Results!AV1407</f>
        <v>5.0664018277195709E-2</v>
      </c>
      <c r="AT47" s="1">
        <f>[1]Results!AW1407</f>
        <v>5.3171943806698867E-2</v>
      </c>
      <c r="AU47" s="1">
        <f>[1]Results!AX1407</f>
        <v>5.489781584069478E-2</v>
      </c>
      <c r="AV47" s="1">
        <f>[1]Results!AY1407</f>
        <v>5.5935519505835044E-2</v>
      </c>
      <c r="AW47" s="1">
        <f>[1]Results!AZ1407</f>
        <v>5.4695856398830178E-2</v>
      </c>
      <c r="AX47" s="1">
        <f>[1]Results!BA1407</f>
        <v>5.2974715489571528E-2</v>
      </c>
      <c r="AY47" s="1">
        <f>[1]Results!BB1407</f>
        <v>5.2210772576848391E-2</v>
      </c>
      <c r="AZ47" s="1">
        <f>[1]Results!BC1407</f>
        <v>5.3058870266263228E-2</v>
      </c>
      <c r="BA47" s="1">
        <f>[1]Results!BD1407</f>
        <v>5.5536233829490189E-2</v>
      </c>
      <c r="BB47" s="1">
        <f>[1]Results!BE1407</f>
        <v>-3.3322679994021893E-2</v>
      </c>
      <c r="BC47" s="1">
        <f>[1]Results!BF1407</f>
        <v>-3.5692533237813295E-2</v>
      </c>
      <c r="BD47" s="1">
        <f>[1]Results!BG1407</f>
        <v>-3.8023948859414007E-2</v>
      </c>
      <c r="BE47" s="1">
        <f>[1]Results!BH1407</f>
        <v>-4.0292657603382964E-2</v>
      </c>
      <c r="BF47" s="1">
        <f>[1]Results!BI1407</f>
        <v>-4.248222650924012E-2</v>
      </c>
    </row>
    <row r="48" spans="1:58" x14ac:dyDescent="0.35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1.6913892462885188E-3</v>
      </c>
      <c r="D48" s="1">
        <f>[1]Results!G1408</f>
        <v>1.0818965656031118E-2</v>
      </c>
      <c r="E48" s="1">
        <f>[1]Results!H1408</f>
        <v>1.1476739204699729E-2</v>
      </c>
      <c r="F48" s="1">
        <f>[1]Results!I1408</f>
        <v>1.0215049002255949E-2</v>
      </c>
      <c r="G48" s="1">
        <f>[1]Results!J1408</f>
        <v>9.72499662734716E-3</v>
      </c>
      <c r="H48" s="1">
        <f>[1]Results!K1408</f>
        <v>1.0767622378160882E-2</v>
      </c>
      <c r="I48" s="1">
        <f>[1]Results!L1408</f>
        <v>1.3044929916160297E-2</v>
      </c>
      <c r="J48" s="1">
        <f>[1]Results!M1408</f>
        <v>1.5894690067288705E-2</v>
      </c>
      <c r="K48" s="1">
        <f>[1]Results!N1408</f>
        <v>1.875807533339123E-2</v>
      </c>
      <c r="L48" s="1">
        <f>[1]Results!O1408</f>
        <v>2.1303164786103113E-2</v>
      </c>
      <c r="M48" s="1">
        <f>[1]Results!P1408</f>
        <v>2.3408914824963115E-2</v>
      </c>
      <c r="N48" s="1">
        <f>[1]Results!Q1408</f>
        <v>2.5100743555002761E-2</v>
      </c>
      <c r="O48" s="1">
        <f>[1]Results!R1408</f>
        <v>2.6421393379853775E-2</v>
      </c>
      <c r="P48" s="1">
        <f>[1]Results!S1408</f>
        <v>2.7510117786759547E-2</v>
      </c>
      <c r="Q48" s="1">
        <f>[1]Results!T1408</f>
        <v>2.8498430147063172E-2</v>
      </c>
      <c r="R48" s="1">
        <f>[1]Results!U1408</f>
        <v>2.9475981598152748E-2</v>
      </c>
      <c r="S48" s="1">
        <f>[1]Results!V1408</f>
        <v>3.0514850001573876E-2</v>
      </c>
      <c r="T48" s="1">
        <f>[1]Results!W1408</f>
        <v>3.1654772396024974E-2</v>
      </c>
      <c r="U48" s="1">
        <f>[1]Results!X1408</f>
        <v>3.2904218725911955E-2</v>
      </c>
      <c r="V48" s="1">
        <f>[1]Results!Y1408</f>
        <v>3.4294392459027767E-2</v>
      </c>
      <c r="W48" s="1">
        <f>[1]Results!Z1408</f>
        <v>3.5813153035748474E-2</v>
      </c>
      <c r="X48" s="1">
        <f>[1]Results!AA1408</f>
        <v>3.7463059571347934E-2</v>
      </c>
      <c r="Y48" s="1">
        <f>[1]Results!AB1408</f>
        <v>3.9257657367580343E-2</v>
      </c>
      <c r="Z48" s="1">
        <f>[1]Results!AC1408</f>
        <v>4.1131623526920007E-2</v>
      </c>
      <c r="AA48" s="1">
        <f>[1]Results!AD1408</f>
        <v>4.3060451114771206E-2</v>
      </c>
      <c r="AB48" s="1">
        <f>[1]Results!AE1408</f>
        <v>4.4960858791774118E-2</v>
      </c>
      <c r="AC48" s="1">
        <f>[1]Results!AF1408</f>
        <v>4.6858374439728151E-2</v>
      </c>
      <c r="AD48" s="1">
        <f>[1]Results!AG1408</f>
        <v>4.8844904786107292E-2</v>
      </c>
      <c r="AE48" s="1">
        <f>[1]Results!AH1408</f>
        <v>5.0839652497279737E-2</v>
      </c>
      <c r="AF48" s="1">
        <f>[1]Results!AI1408</f>
        <v>5.2815740706511037E-2</v>
      </c>
      <c r="AG48" s="1">
        <f>[1]Results!AJ1408</f>
        <v>5.4766277943976184E-2</v>
      </c>
      <c r="AH48" s="1">
        <f>[1]Results!AK1408</f>
        <v>5.6690692161782963E-2</v>
      </c>
      <c r="AI48" s="1">
        <f>[1]Results!AL1408</f>
        <v>5.8595896951389725E-2</v>
      </c>
      <c r="AJ48" s="1">
        <f>[1]Results!AM1408</f>
        <v>6.0495589860027135E-2</v>
      </c>
      <c r="AK48" s="1">
        <f>[1]Results!AN1408</f>
        <v>6.2395245989392729E-2</v>
      </c>
      <c r="AL48" s="1">
        <f>[1]Results!AO1408</f>
        <v>6.4303622946820446E-2</v>
      </c>
      <c r="AM48" s="1">
        <f>[1]Results!AP1408</f>
        <v>6.6165127606421237E-2</v>
      </c>
      <c r="AN48" s="1">
        <f>[1]Results!AQ1408</f>
        <v>6.7979989960718218E-2</v>
      </c>
      <c r="AO48" s="1">
        <f>[1]Results!AR1408</f>
        <v>6.9822654927497424E-2</v>
      </c>
      <c r="AP48" s="1">
        <f>[1]Results!AS1408</f>
        <v>7.1646968666222791E-2</v>
      </c>
      <c r="AQ48" s="1">
        <f>[1]Results!AT1408</f>
        <v>7.3438631389604811E-2</v>
      </c>
      <c r="AR48" s="1">
        <f>[1]Results!AU1408</f>
        <v>7.6460601258824049E-2</v>
      </c>
      <c r="AS48" s="1">
        <f>[1]Results!AV1408</f>
        <v>8.5099294843114265E-2</v>
      </c>
      <c r="AT48" s="1">
        <f>[1]Results!AW1408</f>
        <v>9.5158876279052493E-2</v>
      </c>
      <c r="AU48" s="1">
        <f>[1]Results!AX1408</f>
        <v>0.10427313303582475</v>
      </c>
      <c r="AV48" s="1">
        <f>[1]Results!AY1408</f>
        <v>0.11161515419017415</v>
      </c>
      <c r="AW48" s="1">
        <f>[1]Results!AZ1408</f>
        <v>0.11555429708095324</v>
      </c>
      <c r="AX48" s="1">
        <f>[1]Results!BA1408</f>
        <v>0.11096262014922612</v>
      </c>
      <c r="AY48" s="1">
        <f>[1]Results!BB1408</f>
        <v>0.10394176979600084</v>
      </c>
      <c r="AZ48" s="1">
        <f>[1]Results!BC1408</f>
        <v>9.8037430716877913E-2</v>
      </c>
      <c r="BA48" s="1">
        <f>[1]Results!BD1408</f>
        <v>9.4628780710813265E-2</v>
      </c>
      <c r="BB48" s="1">
        <f>[1]Results!BE1408</f>
        <v>-2.889316514713032E-2</v>
      </c>
      <c r="BC48" s="1">
        <f>[1]Results!BF1408</f>
        <v>-3.2486357194434073E-2</v>
      </c>
      <c r="BD48" s="1">
        <f>[1]Results!BG1408</f>
        <v>-3.6087102957965168E-2</v>
      </c>
      <c r="BE48" s="1">
        <f>[1]Results!BH1408</f>
        <v>-3.964266266881554E-2</v>
      </c>
      <c r="BF48" s="1">
        <f>[1]Results!BI1408</f>
        <v>-4.3128238461639587E-2</v>
      </c>
    </row>
    <row r="49" spans="1:58" x14ac:dyDescent="0.35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-8.8973279669279925E-3</v>
      </c>
      <c r="D49" s="1">
        <f>[1]Results!G1409</f>
        <v>-4.2060717812764103E-3</v>
      </c>
      <c r="E49" s="1">
        <f>[1]Results!H1409</f>
        <v>2.3493590371459483E-3</v>
      </c>
      <c r="F49" s="1">
        <f>[1]Results!I1409</f>
        <v>7.1350281190984965E-3</v>
      </c>
      <c r="G49" s="1">
        <f>[1]Results!J1409</f>
        <v>1.0058926645195587E-2</v>
      </c>
      <c r="H49" s="1">
        <f>[1]Results!K1409</f>
        <v>1.2522556630600867E-2</v>
      </c>
      <c r="I49" s="1">
        <f>[1]Results!L1409</f>
        <v>1.5817710553955866E-2</v>
      </c>
      <c r="J49" s="1">
        <f>[1]Results!M1409</f>
        <v>2.0674395074671281E-2</v>
      </c>
      <c r="K49" s="1">
        <f>[1]Results!N1409</f>
        <v>2.7257936268998417E-2</v>
      </c>
      <c r="L49" s="1">
        <f>[1]Results!O1409</f>
        <v>3.5388291861959686E-2</v>
      </c>
      <c r="M49" s="1">
        <f>[1]Results!P1409</f>
        <v>4.4755153684106208E-2</v>
      </c>
      <c r="N49" s="1">
        <f>[1]Results!Q1409</f>
        <v>5.5158970998914203E-2</v>
      </c>
      <c r="O49" s="1">
        <f>[1]Results!R1409</f>
        <v>6.6365251000688463E-2</v>
      </c>
      <c r="P49" s="1">
        <f>[1]Results!S1409</f>
        <v>7.8266499946011425E-2</v>
      </c>
      <c r="Q49" s="1">
        <f>[1]Results!T1409</f>
        <v>9.0886189598071709E-2</v>
      </c>
      <c r="R49" s="1">
        <f>[1]Results!U1409</f>
        <v>0.10431339104207682</v>
      </c>
      <c r="S49" s="1">
        <f>[1]Results!V1409</f>
        <v>0.11869998645595015</v>
      </c>
      <c r="T49" s="1">
        <f>[1]Results!W1409</f>
        <v>0.13415587215616087</v>
      </c>
      <c r="U49" s="1">
        <f>[1]Results!X1409</f>
        <v>0.15073083113400498</v>
      </c>
      <c r="V49" s="1">
        <f>[1]Results!Y1409</f>
        <v>0.16849140546675301</v>
      </c>
      <c r="W49" s="1">
        <f>[1]Results!Z1409</f>
        <v>0.18758162665487577</v>
      </c>
      <c r="X49" s="1">
        <f>[1]Results!AA1409</f>
        <v>0.20786832300291325</v>
      </c>
      <c r="Y49" s="1">
        <f>[1]Results!AB1409</f>
        <v>0.22946907716339116</v>
      </c>
      <c r="Z49" s="1">
        <f>[1]Results!AC1409</f>
        <v>0.25237690069305208</v>
      </c>
      <c r="AA49" s="1">
        <f>[1]Results!AD1409</f>
        <v>0.27656453187828722</v>
      </c>
      <c r="AB49" s="1">
        <f>[1]Results!AE1409</f>
        <v>0.30240099353566752</v>
      </c>
      <c r="AC49" s="1">
        <f>[1]Results!AF1409</f>
        <v>0.32924288431384063</v>
      </c>
      <c r="AD49" s="1">
        <f>[1]Results!AG1409</f>
        <v>0.35728223076952892</v>
      </c>
      <c r="AE49" s="1">
        <f>[1]Results!AH1409</f>
        <v>0.38649857798799259</v>
      </c>
      <c r="AF49" s="1">
        <f>[1]Results!AI1409</f>
        <v>0.41684415573951528</v>
      </c>
      <c r="AG49" s="1">
        <f>[1]Results!AJ1409</f>
        <v>0.44826530926262986</v>
      </c>
      <c r="AH49" s="1">
        <f>[1]Results!AK1409</f>
        <v>0.4807048934139635</v>
      </c>
      <c r="AI49" s="1">
        <f>[1]Results!AL1409</f>
        <v>0.51412259410970051</v>
      </c>
      <c r="AJ49" s="1">
        <f>[1]Results!AM1409</f>
        <v>0.5484986205692044</v>
      </c>
      <c r="AK49" s="1">
        <f>[1]Results!AN1409</f>
        <v>0.58381526514291737</v>
      </c>
      <c r="AL49" s="1">
        <f>[1]Results!AO1409</f>
        <v>0.62006008054079631</v>
      </c>
      <c r="AM49" s="1">
        <f>[1]Results!AP1409</f>
        <v>0.65736193818151101</v>
      </c>
      <c r="AN49" s="1">
        <f>[1]Results!AQ1409</f>
        <v>0.69552463344196847</v>
      </c>
      <c r="AO49" s="1">
        <f>[1]Results!AR1409</f>
        <v>0.73459079277463646</v>
      </c>
      <c r="AP49" s="1">
        <f>[1]Results!AS1409</f>
        <v>0.77452353905552718</v>
      </c>
      <c r="AQ49" s="1">
        <f>[1]Results!AT1409</f>
        <v>0.81525721032637</v>
      </c>
      <c r="AR49" s="1">
        <f>[1]Results!AU1409</f>
        <v>0.85140939758092671</v>
      </c>
      <c r="AS49" s="1">
        <f>[1]Results!AV1409</f>
        <v>0.88949673841058896</v>
      </c>
      <c r="AT49" s="1">
        <f>[1]Results!AW1409</f>
        <v>0.93208626103317149</v>
      </c>
      <c r="AU49" s="1">
        <f>[1]Results!AX1409</f>
        <v>0.97912169485148137</v>
      </c>
      <c r="AV49" s="1">
        <f>[1]Results!AY1409</f>
        <v>1.0294641164214968</v>
      </c>
      <c r="AW49" s="1">
        <f>[1]Results!AZ1409</f>
        <v>1.0888035388252337</v>
      </c>
      <c r="AX49" s="1">
        <f>[1]Results!BA1409</f>
        <v>1.1478502521279021</v>
      </c>
      <c r="AY49" s="1">
        <f>[1]Results!BB1409</f>
        <v>1.203171839377426</v>
      </c>
      <c r="AZ49" s="1">
        <f>[1]Results!BC1409</f>
        <v>1.255211008277668</v>
      </c>
      <c r="BA49" s="1">
        <f>[1]Results!BD1409</f>
        <v>1.3060569450224602</v>
      </c>
      <c r="BB49" s="1">
        <f>[1]Results!BE1409</f>
        <v>-0.31622750646672637</v>
      </c>
      <c r="BC49" s="1">
        <f>[1]Results!BF1409</f>
        <v>-0.35047498363949825</v>
      </c>
      <c r="BD49" s="1">
        <f>[1]Results!BG1409</f>
        <v>-0.38649508567719648</v>
      </c>
      <c r="BE49" s="1">
        <f>[1]Results!BH1409</f>
        <v>-0.42419383410826628</v>
      </c>
      <c r="BF49" s="1">
        <f>[1]Results!BI1409</f>
        <v>-0.46344306992865403</v>
      </c>
    </row>
    <row r="50" spans="1:58" x14ac:dyDescent="0.35">
      <c r="A50" s="3" t="str">
        <f>[1]Results!E1410</f>
        <v>GDP_2</v>
      </c>
      <c r="B50" t="str">
        <f>[1]Results!C1410</f>
        <v>PIB</v>
      </c>
      <c r="C50" s="1">
        <f>[1]Results!F1410</f>
        <v>2200495.5989999999</v>
      </c>
      <c r="D50" s="1">
        <f>[1]Results!G1410</f>
        <v>2228086.3130000001</v>
      </c>
      <c r="E50" s="1">
        <f>[1]Results!H1410</f>
        <v>2258687.5619999999</v>
      </c>
      <c r="F50" s="1">
        <f>[1]Results!I1410</f>
        <v>2291372.7409999999</v>
      </c>
      <c r="G50" s="1">
        <f>[1]Results!J1410</f>
        <v>2326043.6800000002</v>
      </c>
      <c r="H50" s="1">
        <f>[1]Results!K1410</f>
        <v>2362554.469</v>
      </c>
      <c r="I50" s="1">
        <f>[1]Results!L1410</f>
        <v>2399174.4700000002</v>
      </c>
      <c r="J50" s="1">
        <f>[1]Results!M1410</f>
        <v>2436858.048</v>
      </c>
      <c r="K50" s="1">
        <f>[1]Results!N1410</f>
        <v>2475527.898</v>
      </c>
      <c r="L50" s="1">
        <f>[1]Results!O1410</f>
        <v>2515111.7220000001</v>
      </c>
      <c r="M50" s="1">
        <f>[1]Results!P1410</f>
        <v>2558300.1869999999</v>
      </c>
      <c r="N50" s="1">
        <f>[1]Results!Q1410</f>
        <v>2600299.3560000001</v>
      </c>
      <c r="O50" s="1">
        <f>[1]Results!R1410</f>
        <v>2642882.6630000002</v>
      </c>
      <c r="P50" s="1">
        <f>[1]Results!S1410</f>
        <v>2686002.9569999999</v>
      </c>
      <c r="Q50" s="1">
        <f>[1]Results!T1410</f>
        <v>2729640.6069999998</v>
      </c>
      <c r="R50" s="1">
        <f>[1]Results!U1410</f>
        <v>2773793.844</v>
      </c>
      <c r="S50" s="1">
        <f>[1]Results!V1410</f>
        <v>2818476.0010000002</v>
      </c>
      <c r="T50" s="1">
        <f>[1]Results!W1410</f>
        <v>2863706.1320000002</v>
      </c>
      <c r="U50" s="1">
        <f>[1]Results!X1410</f>
        <v>2909509.2710000002</v>
      </c>
      <c r="V50" s="1">
        <f>[1]Results!Y1410</f>
        <v>2955911.55</v>
      </c>
      <c r="W50" s="1">
        <f>[1]Results!Z1410</f>
        <v>3000873.41</v>
      </c>
      <c r="X50" s="1">
        <f>[1]Results!AA1410</f>
        <v>3047956.26</v>
      </c>
      <c r="Y50" s="1">
        <f>[1]Results!AB1410</f>
        <v>3095818.4580000001</v>
      </c>
      <c r="Z50" s="1">
        <f>[1]Results!AC1410</f>
        <v>3144483.3679999998</v>
      </c>
      <c r="AA50" s="1">
        <f>[1]Results!AD1410</f>
        <v>3193959.4210000001</v>
      </c>
      <c r="AB50" s="1">
        <f>[1]Results!AE1410</f>
        <v>3238258.2009999999</v>
      </c>
      <c r="AC50" s="1">
        <f>[1]Results!AF1410</f>
        <v>3284785.2689999999</v>
      </c>
      <c r="AD50" s="1">
        <f>[1]Results!AG1410</f>
        <v>3331575.6340000001</v>
      </c>
      <c r="AE50" s="1">
        <f>[1]Results!AH1410</f>
        <v>3378774.801</v>
      </c>
      <c r="AF50" s="1">
        <f>[1]Results!AI1410</f>
        <v>3426497.287</v>
      </c>
      <c r="AG50" s="1">
        <f>[1]Results!AJ1410</f>
        <v>3474831.3509999998</v>
      </c>
      <c r="AH50" s="1">
        <f>[1]Results!AK1410</f>
        <v>3523838.5630000001</v>
      </c>
      <c r="AI50" s="1">
        <f>[1]Results!AL1410</f>
        <v>3573558.3629999999</v>
      </c>
      <c r="AJ50" s="1">
        <f>[1]Results!AM1410</f>
        <v>3624011.6770000001</v>
      </c>
      <c r="AK50" s="1">
        <f>[1]Results!AN1410</f>
        <v>3675206.9720000001</v>
      </c>
      <c r="AL50" s="1">
        <f>[1]Results!AO1410</f>
        <v>3727145.0649999999</v>
      </c>
      <c r="AM50" s="1">
        <f>[1]Results!AP1410</f>
        <v>3778357.6009999998</v>
      </c>
      <c r="AN50" s="1">
        <f>[1]Results!AQ1410</f>
        <v>3829870.372</v>
      </c>
      <c r="AO50" s="1">
        <f>[1]Results!AR1410</f>
        <v>3881753.5090000001</v>
      </c>
      <c r="AP50" s="1">
        <f>[1]Results!AS1410</f>
        <v>3934082.2609999999</v>
      </c>
      <c r="AQ50" s="1">
        <f>[1]Results!AT1410</f>
        <v>3986926.912</v>
      </c>
      <c r="AR50" s="1">
        <f>[1]Results!AU1410</f>
        <v>4040348.0839999998</v>
      </c>
      <c r="AS50" s="1">
        <f>[1]Results!AV1410</f>
        <v>4094397.0920000002</v>
      </c>
      <c r="AT50" s="1">
        <f>[1]Results!AW1410</f>
        <v>4149113.1690000002</v>
      </c>
      <c r="AU50" s="1">
        <f>[1]Results!AX1410</f>
        <v>4204525.6109999996</v>
      </c>
      <c r="AV50" s="1">
        <f>[1]Results!AY1410</f>
        <v>4260655.7019999996</v>
      </c>
      <c r="AW50" s="1">
        <f>[1]Results!AZ1410</f>
        <v>4318011.0429999996</v>
      </c>
      <c r="AX50" s="1">
        <f>[1]Results!BA1410</f>
        <v>4376583.6809999999</v>
      </c>
      <c r="AY50" s="1">
        <f>[1]Results!BB1410</f>
        <v>4436297.5070000002</v>
      </c>
      <c r="AZ50" s="1">
        <f>[1]Results!BC1410</f>
        <v>4497041.2390000001</v>
      </c>
      <c r="BA50" s="1">
        <f>[1]Results!BD1410</f>
        <v>4558725.7659999998</v>
      </c>
      <c r="BB50" s="1">
        <f>[1]Results!BE1410</f>
        <v>4934052.733</v>
      </c>
      <c r="BC50" s="1">
        <f>[1]Results!BF1410</f>
        <v>5016319.7319999998</v>
      </c>
      <c r="BD50" s="1">
        <f>[1]Results!BG1410</f>
        <v>5099876.3890000004</v>
      </c>
      <c r="BE50" s="1">
        <f>[1]Results!BH1410</f>
        <v>5184742.5460000001</v>
      </c>
      <c r="BF50" s="1">
        <f>[1]Results!BI1410</f>
        <v>5270939.8990000002</v>
      </c>
    </row>
    <row r="51" spans="1:58" x14ac:dyDescent="0.35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0</v>
      </c>
      <c r="D51" s="1">
        <f>[1]Results!G1411</f>
        <v>0</v>
      </c>
      <c r="E51" s="1">
        <f>[1]Results!H1411</f>
        <v>0</v>
      </c>
      <c r="F51" s="1">
        <f>[1]Results!I1411</f>
        <v>-4.3641945612904465E-8</v>
      </c>
      <c r="G51" s="1">
        <f>[1]Results!J1411</f>
        <v>0</v>
      </c>
      <c r="H51" s="1">
        <f>[1]Results!K1411</f>
        <v>0</v>
      </c>
      <c r="I51" s="1">
        <f>[1]Results!L1411</f>
        <v>-4.1681014195660282E-8</v>
      </c>
      <c r="J51" s="1">
        <f>[1]Results!M1411</f>
        <v>-4.1036452014253655E-8</v>
      </c>
      <c r="K51" s="1">
        <f>[1]Results!N1411</f>
        <v>0</v>
      </c>
      <c r="L51" s="1">
        <f>[1]Results!O1411</f>
        <v>0</v>
      </c>
      <c r="M51" s="1">
        <f>[1]Results!P1411</f>
        <v>0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0</v>
      </c>
      <c r="T51" s="1">
        <f>[1]Results!W1411</f>
        <v>0</v>
      </c>
      <c r="U51" s="1">
        <f>[1]Results!X1411</f>
        <v>0</v>
      </c>
      <c r="V51" s="1">
        <f>[1]Results!Y1411</f>
        <v>0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0</v>
      </c>
      <c r="AI51" s="1">
        <f>[1]Results!AL1411</f>
        <v>0</v>
      </c>
      <c r="AJ51" s="1">
        <f>[1]Results!AM1411</f>
        <v>0</v>
      </c>
      <c r="AK51" s="1">
        <f>[1]Results!AN1411</f>
        <v>0</v>
      </c>
      <c r="AL51" s="1">
        <f>[1]Results!AO1411</f>
        <v>0</v>
      </c>
      <c r="AM51" s="1">
        <f>[1]Results!AP1411</f>
        <v>0</v>
      </c>
      <c r="AN51" s="1">
        <f>[1]Results!AQ1411</f>
        <v>0</v>
      </c>
      <c r="AO51" s="1">
        <f>[1]Results!AR1411</f>
        <v>0</v>
      </c>
      <c r="AP51" s="1">
        <f>[1]Results!AS1411</f>
        <v>0</v>
      </c>
      <c r="AQ51" s="1">
        <f>[1]Results!AT1411</f>
        <v>0</v>
      </c>
      <c r="AR51" s="1">
        <f>[1]Results!AU1411</f>
        <v>0</v>
      </c>
      <c r="AS51" s="1">
        <f>[1]Results!AV1411</f>
        <v>0</v>
      </c>
      <c r="AT51" s="1">
        <f>[1]Results!AW1411</f>
        <v>0</v>
      </c>
      <c r="AU51" s="1">
        <f>[1]Results!AX1411</f>
        <v>0</v>
      </c>
      <c r="AV51" s="1">
        <f>[1]Results!AY1411</f>
        <v>0</v>
      </c>
      <c r="AW51" s="1">
        <f>[1]Results!AZ1411</f>
        <v>0</v>
      </c>
      <c r="AX51" s="1">
        <f>[1]Results!BA1411</f>
        <v>0</v>
      </c>
      <c r="AY51" s="1">
        <f>[1]Results!BB1411</f>
        <v>0</v>
      </c>
      <c r="AZ51" s="1">
        <f>[1]Results!BC1411</f>
        <v>0</v>
      </c>
      <c r="BA51" s="1">
        <f>[1]Results!BD1411</f>
        <v>0</v>
      </c>
      <c r="BB51" s="1">
        <f>[1]Results!BE1411</f>
        <v>0</v>
      </c>
      <c r="BC51" s="1">
        <f>[1]Results!BF1411</f>
        <v>0</v>
      </c>
      <c r="BD51" s="1">
        <f>[1]Results!BG1411</f>
        <v>0</v>
      </c>
      <c r="BE51" s="1">
        <f>[1]Results!BH1411</f>
        <v>0</v>
      </c>
      <c r="BF51" s="1">
        <f>[1]Results!BI1411</f>
        <v>-1.8971946236234771E-8</v>
      </c>
    </row>
    <row r="52" spans="1:58" x14ac:dyDescent="0.35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1178139.675</v>
      </c>
      <c r="D52" s="1">
        <f>[1]Results!G1412</f>
        <v>1217043.8430000001</v>
      </c>
      <c r="E52" s="1">
        <f>[1]Results!H1412</f>
        <v>1257949.4040000001</v>
      </c>
      <c r="F52" s="1">
        <f>[1]Results!I1412</f>
        <v>1300241.915</v>
      </c>
      <c r="G52" s="1">
        <f>[1]Results!J1412</f>
        <v>1344193.963</v>
      </c>
      <c r="H52" s="1">
        <f>[1]Results!K1412</f>
        <v>1389904.0179999999</v>
      </c>
      <c r="I52" s="1">
        <f>[1]Results!L1412</f>
        <v>1435965.36</v>
      </c>
      <c r="J52" s="1">
        <f>[1]Results!M1412</f>
        <v>1483691.648</v>
      </c>
      <c r="K52" s="1">
        <f>[1]Results!N1412</f>
        <v>1533083.709</v>
      </c>
      <c r="L52" s="1">
        <f>[1]Results!O1412</f>
        <v>1584169.7139999999</v>
      </c>
      <c r="M52" s="1">
        <f>[1]Results!P1412</f>
        <v>1639653.4639999999</v>
      </c>
      <c r="N52" s="1">
        <f>[1]Results!Q1412</f>
        <v>1694356.49</v>
      </c>
      <c r="O52" s="1">
        <f>[1]Results!R1412</f>
        <v>1750892.6529999999</v>
      </c>
      <c r="P52" s="1">
        <f>[1]Results!S1412</f>
        <v>1809291.405</v>
      </c>
      <c r="Q52" s="1">
        <f>[1]Results!T1412</f>
        <v>1869609.121</v>
      </c>
      <c r="R52" s="1">
        <f>[1]Results!U1412</f>
        <v>1931894.372</v>
      </c>
      <c r="S52" s="1">
        <f>[1]Results!V1412</f>
        <v>1996186.3049999999</v>
      </c>
      <c r="T52" s="1">
        <f>[1]Results!W1412</f>
        <v>2062519.209</v>
      </c>
      <c r="U52" s="1">
        <f>[1]Results!X1412</f>
        <v>2130924.9029999999</v>
      </c>
      <c r="V52" s="1">
        <f>[1]Results!Y1412</f>
        <v>2201437.122</v>
      </c>
      <c r="W52" s="1">
        <f>[1]Results!Z1412</f>
        <v>2271698.6549999998</v>
      </c>
      <c r="X52" s="1">
        <f>[1]Results!AA1412</f>
        <v>2346444.304</v>
      </c>
      <c r="Y52" s="1">
        <f>[1]Results!AB1412</f>
        <v>2423393.409</v>
      </c>
      <c r="Z52" s="1">
        <f>[1]Results!AC1412</f>
        <v>2502606.8859999999</v>
      </c>
      <c r="AA52" s="1">
        <f>[1]Results!AD1412</f>
        <v>2584125.1850000001</v>
      </c>
      <c r="AB52" s="1">
        <f>[1]Results!AE1412</f>
        <v>2660392.4670000002</v>
      </c>
      <c r="AC52" s="1">
        <f>[1]Results!AF1412</f>
        <v>2742748.6519999998</v>
      </c>
      <c r="AD52" s="1">
        <f>[1]Results!AG1412</f>
        <v>2827294.5639999998</v>
      </c>
      <c r="AE52" s="1">
        <f>[1]Results!AH1412</f>
        <v>2914130.5040000002</v>
      </c>
      <c r="AF52" s="1">
        <f>[1]Results!AI1412</f>
        <v>3003311.0950000002</v>
      </c>
      <c r="AG52" s="1">
        <f>[1]Results!AJ1412</f>
        <v>3094898.8369999998</v>
      </c>
      <c r="AH52" s="1">
        <f>[1]Results!AK1412</f>
        <v>3188974.375</v>
      </c>
      <c r="AI52" s="1">
        <f>[1]Results!AL1412</f>
        <v>3285636.8309999998</v>
      </c>
      <c r="AJ52" s="1">
        <f>[1]Results!AM1412</f>
        <v>3385001.0449999999</v>
      </c>
      <c r="AK52" s="1">
        <f>[1]Results!AN1412</f>
        <v>3487192.5890000002</v>
      </c>
      <c r="AL52" s="1">
        <f>[1]Results!AO1412</f>
        <v>3592344.9720000001</v>
      </c>
      <c r="AM52" s="1">
        <f>[1]Results!AP1412</f>
        <v>3698348.8829999999</v>
      </c>
      <c r="AN52" s="1">
        <f>[1]Results!AQ1412</f>
        <v>3807465.22</v>
      </c>
      <c r="AO52" s="1">
        <f>[1]Results!AR1412</f>
        <v>3919814.14</v>
      </c>
      <c r="AP52" s="1">
        <f>[1]Results!AS1412</f>
        <v>4035528.0660000001</v>
      </c>
      <c r="AQ52" s="1">
        <f>[1]Results!AT1412</f>
        <v>4154738.0860000001</v>
      </c>
      <c r="AR52" s="1">
        <f>[1]Results!AU1412</f>
        <v>4277575.7039999999</v>
      </c>
      <c r="AS52" s="1">
        <f>[1]Results!AV1412</f>
        <v>4404175.9469999997</v>
      </c>
      <c r="AT52" s="1">
        <f>[1]Results!AW1412</f>
        <v>4534680.591</v>
      </c>
      <c r="AU52" s="1">
        <f>[1]Results!AX1412</f>
        <v>4669236.7280000001</v>
      </c>
      <c r="AV52" s="1">
        <f>[1]Results!AY1412</f>
        <v>4807997.2359999996</v>
      </c>
      <c r="AW52" s="1">
        <f>[1]Results!AZ1412</f>
        <v>4950713.7750000004</v>
      </c>
      <c r="AX52" s="1">
        <f>[1]Results!BA1412</f>
        <v>5096458.0920000002</v>
      </c>
      <c r="AY52" s="1">
        <f>[1]Results!BB1412</f>
        <v>5245753.1730000004</v>
      </c>
      <c r="AZ52" s="1">
        <f>[1]Results!BC1412</f>
        <v>5399046.7470000004</v>
      </c>
      <c r="BA52" s="1">
        <f>[1]Results!BD1412</f>
        <v>5556681.0719999997</v>
      </c>
      <c r="BB52" s="1">
        <f>[1]Results!BE1412</f>
        <v>6406006.1739999996</v>
      </c>
      <c r="BC52" s="1">
        <f>[1]Results!BF1412</f>
        <v>6609777.1940000001</v>
      </c>
      <c r="BD52" s="1">
        <f>[1]Results!BG1412</f>
        <v>6819700.4450000003</v>
      </c>
      <c r="BE52" s="1">
        <f>[1]Results!BH1412</f>
        <v>7035997.3969999999</v>
      </c>
      <c r="BF52" s="1">
        <f>[1]Results!BI1412</f>
        <v>7258896.4110000003</v>
      </c>
    </row>
    <row r="53" spans="1:58" x14ac:dyDescent="0.35">
      <c r="A53" s="3" t="str">
        <f>[1]Results!E1413</f>
        <v>INC_G_VAL_2</v>
      </c>
      <c r="B53" t="str">
        <f>[1]Results!C1413</f>
        <v>Recettes publiques</v>
      </c>
      <c r="C53" s="1">
        <f>[1]Results!F1413</f>
        <v>1010845.1090000001</v>
      </c>
      <c r="D53" s="1">
        <f>[1]Results!G1413</f>
        <v>1043105.2</v>
      </c>
      <c r="E53" s="1">
        <f>[1]Results!H1413</f>
        <v>1076928.3319999999</v>
      </c>
      <c r="F53" s="1">
        <f>[1]Results!I1413</f>
        <v>1112459.048</v>
      </c>
      <c r="G53" s="1">
        <f>[1]Results!J1413</f>
        <v>1149964.5209999999</v>
      </c>
      <c r="H53" s="1">
        <f>[1]Results!K1413</f>
        <v>1189617.1070000001</v>
      </c>
      <c r="I53" s="1">
        <f>[1]Results!L1413</f>
        <v>1230774.3219999999</v>
      </c>
      <c r="J53" s="1">
        <f>[1]Results!M1413</f>
        <v>1273716.8400000001</v>
      </c>
      <c r="K53" s="1">
        <f>[1]Results!N1413</f>
        <v>1318485.4890000001</v>
      </c>
      <c r="L53" s="1">
        <f>[1]Results!O1413</f>
        <v>1365112.977</v>
      </c>
      <c r="M53" s="1">
        <f>[1]Results!P1413</f>
        <v>1415008.6059999999</v>
      </c>
      <c r="N53" s="1">
        <f>[1]Results!Q1413</f>
        <v>1466312.098</v>
      </c>
      <c r="O53" s="1">
        <f>[1]Results!R1413</f>
        <v>1519445.831</v>
      </c>
      <c r="P53" s="1">
        <f>[1]Results!S1413</f>
        <v>1574425.0109999999</v>
      </c>
      <c r="Q53" s="1">
        <f>[1]Results!T1413</f>
        <v>1631288.568</v>
      </c>
      <c r="R53" s="1">
        <f>[1]Results!U1413</f>
        <v>1690088.432</v>
      </c>
      <c r="S53" s="1">
        <f>[1]Results!V1413</f>
        <v>1750881.2690000001</v>
      </c>
      <c r="T53" s="1">
        <f>[1]Results!W1413</f>
        <v>1813725.7339999999</v>
      </c>
      <c r="U53" s="1">
        <f>[1]Results!X1413</f>
        <v>1878678.8130000001</v>
      </c>
      <c r="V53" s="1">
        <f>[1]Results!Y1413</f>
        <v>1945794.5360000001</v>
      </c>
      <c r="W53" s="1">
        <f>[1]Results!Z1413</f>
        <v>2013870.1780000001</v>
      </c>
      <c r="X53" s="1">
        <f>[1]Results!AA1413</f>
        <v>2084660.98</v>
      </c>
      <c r="Y53" s="1">
        <f>[1]Results!AB1413</f>
        <v>2157862.6749999998</v>
      </c>
      <c r="Z53" s="1">
        <f>[1]Results!AC1413</f>
        <v>2233536.6809999999</v>
      </c>
      <c r="AA53" s="1">
        <f>[1]Results!AD1413</f>
        <v>2311726.6179999998</v>
      </c>
      <c r="AB53" s="1">
        <f>[1]Results!AE1413</f>
        <v>2388467.423</v>
      </c>
      <c r="AC53" s="1">
        <f>[1]Results!AF1413</f>
        <v>2467304.8659999999</v>
      </c>
      <c r="AD53" s="1">
        <f>[1]Results!AG1413</f>
        <v>2547805.0830000001</v>
      </c>
      <c r="AE53" s="1">
        <f>[1]Results!AH1413</f>
        <v>2630184.6949999998</v>
      </c>
      <c r="AF53" s="1">
        <f>[1]Results!AI1413</f>
        <v>2714634.7579999999</v>
      </c>
      <c r="AG53" s="1">
        <f>[1]Results!AJ1413</f>
        <v>2801323.193</v>
      </c>
      <c r="AH53" s="1">
        <f>[1]Results!AK1413</f>
        <v>2890400.3369999998</v>
      </c>
      <c r="AI53" s="1">
        <f>[1]Results!AL1413</f>
        <v>2982004.1159999999</v>
      </c>
      <c r="AJ53" s="1">
        <f>[1]Results!AM1413</f>
        <v>3076265.9709999999</v>
      </c>
      <c r="AK53" s="1">
        <f>[1]Results!AN1413</f>
        <v>3173315.4849999999</v>
      </c>
      <c r="AL53" s="1">
        <f>[1]Results!AO1413</f>
        <v>3273283.804</v>
      </c>
      <c r="AM53" s="1">
        <f>[1]Results!AP1413</f>
        <v>3375121.7919999999</v>
      </c>
      <c r="AN53" s="1">
        <f>[1]Results!AQ1413</f>
        <v>3479361.64</v>
      </c>
      <c r="AO53" s="1">
        <f>[1]Results!AR1413</f>
        <v>3586223.3650000002</v>
      </c>
      <c r="AP53" s="1">
        <f>[1]Results!AS1413</f>
        <v>3695947.3330000001</v>
      </c>
      <c r="AQ53" s="1">
        <f>[1]Results!AT1413</f>
        <v>3808776.048</v>
      </c>
      <c r="AR53" s="1">
        <f>[1]Results!AU1413</f>
        <v>3924945.2990000001</v>
      </c>
      <c r="AS53" s="1">
        <f>[1]Results!AV1413</f>
        <v>4044679.1230000001</v>
      </c>
      <c r="AT53" s="1">
        <f>[1]Results!AW1413</f>
        <v>4168190.361</v>
      </c>
      <c r="AU53" s="1">
        <f>[1]Results!AX1413</f>
        <v>4295682.3990000002</v>
      </c>
      <c r="AV53" s="1">
        <f>[1]Results!AY1413</f>
        <v>4427351.665</v>
      </c>
      <c r="AW53" s="1">
        <f>[1]Results!AZ1413</f>
        <v>4563060.5250000004</v>
      </c>
      <c r="AX53" s="1">
        <f>[1]Results!BA1413</f>
        <v>4702708.3190000001</v>
      </c>
      <c r="AY53" s="1">
        <f>[1]Results!BB1413</f>
        <v>4846336.426</v>
      </c>
      <c r="AZ53" s="1">
        <f>[1]Results!BC1413</f>
        <v>4994089.57</v>
      </c>
      <c r="BA53" s="1">
        <f>[1]Results!BD1413</f>
        <v>5146185.4809999997</v>
      </c>
      <c r="BB53" s="1">
        <f>[1]Results!BE1413</f>
        <v>6227547.3530000001</v>
      </c>
      <c r="BC53" s="1">
        <f>[1]Results!BF1413</f>
        <v>6447101.7589999996</v>
      </c>
      <c r="BD53" s="1">
        <f>[1]Results!BG1413</f>
        <v>6673897.7949999999</v>
      </c>
      <c r="BE53" s="1">
        <f>[1]Results!BH1413</f>
        <v>6908213.1090000002</v>
      </c>
      <c r="BF53" s="1">
        <f>[1]Results!BI1413</f>
        <v>7150343.2790000001</v>
      </c>
    </row>
    <row r="54" spans="1:58" x14ac:dyDescent="0.35">
      <c r="A54" s="3" t="str">
        <f>[1]Results!E1414</f>
        <v>Bal_G_tot_VAL_2</v>
      </c>
      <c r="B54" t="str">
        <f>[1]Results!C1414</f>
        <v>Solde public</v>
      </c>
      <c r="C54" s="1">
        <f>[1]Results!F1414</f>
        <v>-65317.498520000001</v>
      </c>
      <c r="D54" s="1">
        <f>[1]Results!G1414</f>
        <v>-68695.700110000005</v>
      </c>
      <c r="E54" s="1">
        <f>[1]Results!H1414</f>
        <v>-72343.343890000004</v>
      </c>
      <c r="F54" s="1">
        <f>[1]Results!I1414</f>
        <v>-75487.972259999995</v>
      </c>
      <c r="G54" s="1">
        <f>[1]Results!J1414</f>
        <v>-78160.148950000003</v>
      </c>
      <c r="H54" s="1">
        <f>[1]Results!K1414</f>
        <v>-80309.610409999994</v>
      </c>
      <c r="I54" s="1">
        <f>[1]Results!L1414</f>
        <v>-81198.256739999997</v>
      </c>
      <c r="J54" s="1">
        <f>[1]Results!M1414</f>
        <v>-81922.113840000005</v>
      </c>
      <c r="K54" s="1">
        <f>[1]Results!N1414</f>
        <v>-82449.419890000005</v>
      </c>
      <c r="L54" s="1">
        <f>[1]Results!O1414</f>
        <v>-82785.465719999993</v>
      </c>
      <c r="M54" s="1">
        <f>[1]Results!P1414</f>
        <v>-84234.313550000006</v>
      </c>
      <c r="N54" s="1">
        <f>[1]Results!Q1414</f>
        <v>-83422.132840000006</v>
      </c>
      <c r="O54" s="1">
        <f>[1]Results!R1414</f>
        <v>-82653.455090000003</v>
      </c>
      <c r="P54" s="1">
        <f>[1]Results!S1414</f>
        <v>-81940.354680000004</v>
      </c>
      <c r="Q54" s="1">
        <f>[1]Results!T1414</f>
        <v>-81297.495250000007</v>
      </c>
      <c r="R54" s="1">
        <f>[1]Results!U1414</f>
        <v>-80718.007519999999</v>
      </c>
      <c r="S54" s="1">
        <f>[1]Results!V1414</f>
        <v>-80181.203989999995</v>
      </c>
      <c r="T54" s="1">
        <f>[1]Results!W1414</f>
        <v>-79660.582710000002</v>
      </c>
      <c r="U54" s="1">
        <f>[1]Results!X1414</f>
        <v>-79130.168520000007</v>
      </c>
      <c r="V54" s="1">
        <f>[1]Results!Y1414</f>
        <v>-78570.156799999997</v>
      </c>
      <c r="W54" s="1">
        <f>[1]Results!Z1414</f>
        <v>-76827.539869999993</v>
      </c>
      <c r="X54" s="1">
        <f>[1]Results!AA1414</f>
        <v>-76941.009000000005</v>
      </c>
      <c r="Y54" s="1">
        <f>[1]Results!AB1414</f>
        <v>-76841.368889999998</v>
      </c>
      <c r="Z54" s="1">
        <f>[1]Results!AC1414</f>
        <v>-76538.771819999994</v>
      </c>
      <c r="AA54" s="1">
        <f>[1]Results!AD1414</f>
        <v>-76040.194659999994</v>
      </c>
      <c r="AB54" s="1">
        <f>[1]Results!AE1414</f>
        <v>-71764.662280000004</v>
      </c>
      <c r="AC54" s="1">
        <f>[1]Results!AF1414</f>
        <v>-71695.171109999996</v>
      </c>
      <c r="AD54" s="1">
        <f>[1]Results!AG1414</f>
        <v>-72156.107229999994</v>
      </c>
      <c r="AE54" s="1">
        <f>[1]Results!AH1414</f>
        <v>-73004.629209999999</v>
      </c>
      <c r="AF54" s="1">
        <f>[1]Results!AI1414</f>
        <v>-74084.926500000001</v>
      </c>
      <c r="AG54" s="1">
        <f>[1]Results!AJ1414</f>
        <v>-75279.987160000004</v>
      </c>
      <c r="AH54" s="1">
        <f>[1]Results!AK1414</f>
        <v>-76514.381840000002</v>
      </c>
      <c r="AI54" s="1">
        <f>[1]Results!AL1414</f>
        <v>-77747.340299999996</v>
      </c>
      <c r="AJ54" s="1">
        <f>[1]Results!AM1414</f>
        <v>-78962.331699999995</v>
      </c>
      <c r="AK54" s="1">
        <f>[1]Results!AN1414</f>
        <v>-80156.244850000003</v>
      </c>
      <c r="AL54" s="1">
        <f>[1]Results!AO1414</f>
        <v>-81332.49699</v>
      </c>
      <c r="AM54" s="1">
        <f>[1]Results!AP1414</f>
        <v>-81431.795050000001</v>
      </c>
      <c r="AN54" s="1">
        <f>[1]Results!AQ1414</f>
        <v>-82236.694109999997</v>
      </c>
      <c r="AO54" s="1">
        <f>[1]Results!AR1414</f>
        <v>-83612.054380000001</v>
      </c>
      <c r="AP54" s="1">
        <f>[1]Results!AS1414</f>
        <v>-85421.41</v>
      </c>
      <c r="AQ54" s="1">
        <f>[1]Results!AT1414</f>
        <v>-87531.644279999993</v>
      </c>
      <c r="AR54" s="1">
        <f>[1]Results!AU1414</f>
        <v>-89823.429510000002</v>
      </c>
      <c r="AS54" s="1">
        <f>[1]Results!AV1414</f>
        <v>-92198.676149999999</v>
      </c>
      <c r="AT54" s="1">
        <f>[1]Results!AW1414</f>
        <v>-94582.148289999997</v>
      </c>
      <c r="AU54" s="1">
        <f>[1]Results!AX1414</f>
        <v>-96917.140549999996</v>
      </c>
      <c r="AV54" s="1">
        <f>[1]Results!AY1414</f>
        <v>-99162.52549</v>
      </c>
      <c r="AW54" s="1">
        <f>[1]Results!AZ1414</f>
        <v>-101212.0787</v>
      </c>
      <c r="AX54" s="1">
        <f>[1]Results!BA1414</f>
        <v>-102247.9973</v>
      </c>
      <c r="AY54" s="1">
        <f>[1]Results!BB1414</f>
        <v>-102802.5711</v>
      </c>
      <c r="AZ54" s="1">
        <f>[1]Results!BC1414</f>
        <v>-103202.8728</v>
      </c>
      <c r="BA54" s="1">
        <f>[1]Results!BD1414</f>
        <v>-103581.1433</v>
      </c>
      <c r="BB54" s="1">
        <f>[1]Results!BE1414</f>
        <v>77863.230030000006</v>
      </c>
      <c r="BC54" s="1">
        <f>[1]Results!BF1414</f>
        <v>89753.453880000001</v>
      </c>
      <c r="BD54" s="1">
        <f>[1]Results!BG1414</f>
        <v>102138.5665</v>
      </c>
      <c r="BE54" s="1">
        <f>[1]Results!BH1414</f>
        <v>115050</v>
      </c>
      <c r="BF54" s="1">
        <f>[1]Results!BI1414</f>
        <v>128528.6568</v>
      </c>
    </row>
    <row r="55" spans="1:58" x14ac:dyDescent="0.35">
      <c r="A55" s="3" t="str">
        <f>[1]Results!E1415</f>
        <v>DEBT_G_VAL_2</v>
      </c>
      <c r="B55" t="str">
        <f>[1]Results!C1415</f>
        <v>Dette publique</v>
      </c>
      <c r="C55" s="1">
        <f>[1]Results!F1415</f>
        <v>2104858.852</v>
      </c>
      <c r="D55" s="1">
        <f>[1]Results!G1415</f>
        <v>2173554.5520000001</v>
      </c>
      <c r="E55" s="1">
        <f>[1]Results!H1415</f>
        <v>2245897.8960000002</v>
      </c>
      <c r="F55" s="1">
        <f>[1]Results!I1415</f>
        <v>2321385.8679999998</v>
      </c>
      <c r="G55" s="1">
        <f>[1]Results!J1415</f>
        <v>2399546.017</v>
      </c>
      <c r="H55" s="1">
        <f>[1]Results!K1415</f>
        <v>2479855.628</v>
      </c>
      <c r="I55" s="1">
        <f>[1]Results!L1415</f>
        <v>2561053.8840000001</v>
      </c>
      <c r="J55" s="1">
        <f>[1]Results!M1415</f>
        <v>2642975.9980000001</v>
      </c>
      <c r="K55" s="1">
        <f>[1]Results!N1415</f>
        <v>2725425.4180000001</v>
      </c>
      <c r="L55" s="1">
        <f>[1]Results!O1415</f>
        <v>2808210.8840000001</v>
      </c>
      <c r="M55" s="1">
        <f>[1]Results!P1415</f>
        <v>2892445.1970000002</v>
      </c>
      <c r="N55" s="1">
        <f>[1]Results!Q1415</f>
        <v>2975867.33</v>
      </c>
      <c r="O55" s="1">
        <f>[1]Results!R1415</f>
        <v>3058520.7850000001</v>
      </c>
      <c r="P55" s="1">
        <f>[1]Results!S1415</f>
        <v>3140461.14</v>
      </c>
      <c r="Q55" s="1">
        <f>[1]Results!T1415</f>
        <v>3221758.6349999998</v>
      </c>
      <c r="R55" s="1">
        <f>[1]Results!U1415</f>
        <v>3302476.6430000002</v>
      </c>
      <c r="S55" s="1">
        <f>[1]Results!V1415</f>
        <v>3382657.8470000001</v>
      </c>
      <c r="T55" s="1">
        <f>[1]Results!W1415</f>
        <v>3462318.429</v>
      </c>
      <c r="U55" s="1">
        <f>[1]Results!X1415</f>
        <v>3541448.5980000002</v>
      </c>
      <c r="V55" s="1">
        <f>[1]Results!Y1415</f>
        <v>3620018.7549999999</v>
      </c>
      <c r="W55" s="1">
        <f>[1]Results!Z1415</f>
        <v>3696846.2949999999</v>
      </c>
      <c r="X55" s="1">
        <f>[1]Results!AA1415</f>
        <v>3773787.304</v>
      </c>
      <c r="Y55" s="1">
        <f>[1]Results!AB1415</f>
        <v>3850628.6719999998</v>
      </c>
      <c r="Z55" s="1">
        <f>[1]Results!AC1415</f>
        <v>3927167.4440000001</v>
      </c>
      <c r="AA55" s="1">
        <f>[1]Results!AD1415</f>
        <v>4003207.639</v>
      </c>
      <c r="AB55" s="1">
        <f>[1]Results!AE1415</f>
        <v>4074972.301</v>
      </c>
      <c r="AC55" s="1">
        <f>[1]Results!AF1415</f>
        <v>4146667.4720000001</v>
      </c>
      <c r="AD55" s="1">
        <f>[1]Results!AG1415</f>
        <v>4218823.58</v>
      </c>
      <c r="AE55" s="1">
        <f>[1]Results!AH1415</f>
        <v>4291828.2089999998</v>
      </c>
      <c r="AF55" s="1">
        <f>[1]Results!AI1415</f>
        <v>4365913.1349999998</v>
      </c>
      <c r="AG55" s="1">
        <f>[1]Results!AJ1415</f>
        <v>4441193.1220000004</v>
      </c>
      <c r="AH55" s="1">
        <f>[1]Results!AK1415</f>
        <v>4517707.5039999997</v>
      </c>
      <c r="AI55" s="1">
        <f>[1]Results!AL1415</f>
        <v>4595454.8449999997</v>
      </c>
      <c r="AJ55" s="1">
        <f>[1]Results!AM1415</f>
        <v>4674417.176</v>
      </c>
      <c r="AK55" s="1">
        <f>[1]Results!AN1415</f>
        <v>4754573.4210000001</v>
      </c>
      <c r="AL55" s="1">
        <f>[1]Results!AO1415</f>
        <v>4835905.9179999996</v>
      </c>
      <c r="AM55" s="1">
        <f>[1]Results!AP1415</f>
        <v>4917337.7130000005</v>
      </c>
      <c r="AN55" s="1">
        <f>[1]Results!AQ1415</f>
        <v>4999574.4069999997</v>
      </c>
      <c r="AO55" s="1">
        <f>[1]Results!AR1415</f>
        <v>5083186.4620000003</v>
      </c>
      <c r="AP55" s="1">
        <f>[1]Results!AS1415</f>
        <v>5168607.8720000004</v>
      </c>
      <c r="AQ55" s="1">
        <f>[1]Results!AT1415</f>
        <v>5256139.5159999998</v>
      </c>
      <c r="AR55" s="1">
        <f>[1]Results!AU1415</f>
        <v>5345962.9450000003</v>
      </c>
      <c r="AS55" s="1">
        <f>[1]Results!AV1415</f>
        <v>5438161.6220000004</v>
      </c>
      <c r="AT55" s="1">
        <f>[1]Results!AW1415</f>
        <v>5532743.7699999996</v>
      </c>
      <c r="AU55" s="1">
        <f>[1]Results!AX1415</f>
        <v>5629660.9100000001</v>
      </c>
      <c r="AV55" s="1">
        <f>[1]Results!AY1415</f>
        <v>5728823.4359999998</v>
      </c>
      <c r="AW55" s="1">
        <f>[1]Results!AZ1415</f>
        <v>5830035.5149999997</v>
      </c>
      <c r="AX55" s="1">
        <f>[1]Results!BA1415</f>
        <v>5932283.5120000001</v>
      </c>
      <c r="AY55" s="1">
        <f>[1]Results!BB1415</f>
        <v>6035086.0829999996</v>
      </c>
      <c r="AZ55" s="1">
        <f>[1]Results!BC1415</f>
        <v>6138288.9560000002</v>
      </c>
      <c r="BA55" s="1">
        <f>[1]Results!BD1415</f>
        <v>6241870.0990000004</v>
      </c>
      <c r="BB55" s="1">
        <f>[1]Results!BE1415</f>
        <v>5048577.7790000001</v>
      </c>
      <c r="BC55" s="1">
        <f>[1]Results!BF1415</f>
        <v>4958824.3250000002</v>
      </c>
      <c r="BD55" s="1">
        <f>[1]Results!BG1415</f>
        <v>4856685.7580000004</v>
      </c>
      <c r="BE55" s="1">
        <f>[1]Results!BH1415</f>
        <v>4741635.7580000004</v>
      </c>
      <c r="BF55" s="1">
        <f>[1]Results!BI1415</f>
        <v>4613107.102</v>
      </c>
    </row>
    <row r="56" spans="1:58" x14ac:dyDescent="0.35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</row>
    <row r="57" spans="1:58" x14ac:dyDescent="0.35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</row>
    <row r="58" spans="1:58" x14ac:dyDescent="0.35">
      <c r="A58" s="13" t="s">
        <v>49</v>
      </c>
      <c r="B58" t="s">
        <v>4</v>
      </c>
      <c r="C58" s="1">
        <f>[1]Results!F1731</f>
        <v>1202964.058</v>
      </c>
      <c r="D58" s="1">
        <f>[1]Results!G1731</f>
        <v>1218415.5730000001</v>
      </c>
      <c r="E58" s="1">
        <f>[1]Results!H1731</f>
        <v>1235049.598</v>
      </c>
      <c r="F58" s="1">
        <f>[1]Results!I1731</f>
        <v>1252668.338</v>
      </c>
      <c r="G58" s="1">
        <f>[1]Results!J1731</f>
        <v>1271217.575</v>
      </c>
      <c r="H58" s="1">
        <f>[1]Results!K1731</f>
        <v>1290707.1669999999</v>
      </c>
      <c r="I58" s="1">
        <f>[1]Results!L1731</f>
        <v>1310528.73</v>
      </c>
      <c r="J58" s="1">
        <f>[1]Results!M1731</f>
        <v>1330777.7990000001</v>
      </c>
      <c r="K58" s="1">
        <f>[1]Results!N1731</f>
        <v>1351471.7620000001</v>
      </c>
      <c r="L58" s="1">
        <f>[1]Results!O1731</f>
        <v>1372592.7439999999</v>
      </c>
      <c r="M58" s="1">
        <f>[1]Results!P1731</f>
        <v>1395170.6910000001</v>
      </c>
      <c r="N58" s="1">
        <f>[1]Results!Q1731</f>
        <v>1417857.325</v>
      </c>
      <c r="O58" s="1">
        <f>[1]Results!R1731</f>
        <v>1440683.9879999999</v>
      </c>
      <c r="P58" s="1">
        <f>[1]Results!S1731</f>
        <v>1463639.9979999999</v>
      </c>
      <c r="Q58" s="1">
        <f>[1]Results!T1731</f>
        <v>1486719.75</v>
      </c>
      <c r="R58" s="1">
        <f>[1]Results!U1731</f>
        <v>1509931.17</v>
      </c>
      <c r="S58" s="1">
        <f>[1]Results!V1731</f>
        <v>1533292.3959999999</v>
      </c>
      <c r="T58" s="1">
        <f>[1]Results!W1731</f>
        <v>1556826.2490000001</v>
      </c>
      <c r="U58" s="1">
        <f>[1]Results!X1731</f>
        <v>1580555.7150000001</v>
      </c>
      <c r="V58" s="1">
        <f>[1]Results!Y1731</f>
        <v>1604501.1950000001</v>
      </c>
      <c r="W58" s="1">
        <f>[1]Results!Z1731</f>
        <v>1627887.2579999999</v>
      </c>
      <c r="X58" s="1">
        <f>[1]Results!AA1731</f>
        <v>1651701.9140000001</v>
      </c>
      <c r="Y58" s="1">
        <f>[1]Results!AB1731</f>
        <v>1675907.63</v>
      </c>
      <c r="Z58" s="1">
        <f>[1]Results!AC1731</f>
        <v>1700497.97</v>
      </c>
      <c r="AA58" s="1">
        <f>[1]Results!AD1731</f>
        <v>1725465.618</v>
      </c>
      <c r="AB58" s="1">
        <f>[1]Results!AE1731</f>
        <v>1748506.1089999999</v>
      </c>
      <c r="AC58" s="1">
        <f>[1]Results!AF1731</f>
        <v>1771334.1159999999</v>
      </c>
      <c r="AD58" s="1">
        <f>[1]Results!AG1731</f>
        <v>1794037.7649999999</v>
      </c>
      <c r="AE58" s="1">
        <f>[1]Results!AH1731</f>
        <v>1816743.175</v>
      </c>
      <c r="AF58" s="1">
        <f>[1]Results!AI1731</f>
        <v>1839565.9069999999</v>
      </c>
      <c r="AG58" s="1">
        <f>[1]Results!AJ1731</f>
        <v>1862595.584</v>
      </c>
      <c r="AH58" s="1">
        <f>[1]Results!AK1731</f>
        <v>1885894.6470000001</v>
      </c>
      <c r="AI58" s="1">
        <f>[1]Results!AL1731</f>
        <v>1909502.9680000001</v>
      </c>
      <c r="AJ58" s="1">
        <f>[1]Results!AM1731</f>
        <v>1933444.1910000001</v>
      </c>
      <c r="AK58" s="1">
        <f>[1]Results!AN1731</f>
        <v>1957731.7350000001</v>
      </c>
      <c r="AL58" s="1">
        <f>[1]Results!AO1731</f>
        <v>1982373.5730000001</v>
      </c>
      <c r="AM58" s="1">
        <f>[1]Results!AP1731</f>
        <v>2006823.2620000001</v>
      </c>
      <c r="AN58" s="1">
        <f>[1]Results!AQ1731</f>
        <v>2031207.9069999999</v>
      </c>
      <c r="AO58" s="1">
        <f>[1]Results!AR1731</f>
        <v>2055624.9040000001</v>
      </c>
      <c r="AP58" s="1">
        <f>[1]Results!AS1731</f>
        <v>2080164.3149999999</v>
      </c>
      <c r="AQ58" s="1">
        <f>[1]Results!AT1731</f>
        <v>2104909.2250000001</v>
      </c>
      <c r="AR58" s="1">
        <f>[1]Results!AU1731</f>
        <v>2130089.534</v>
      </c>
      <c r="AS58" s="1">
        <f>[1]Results!AV1731</f>
        <v>2155743.784</v>
      </c>
      <c r="AT58" s="1">
        <f>[1]Results!AW1731</f>
        <v>2181833.3390000002</v>
      </c>
      <c r="AU58" s="1">
        <f>[1]Results!AX1731</f>
        <v>2208314.3909999998</v>
      </c>
      <c r="AV58" s="1">
        <f>[1]Results!AY1731</f>
        <v>2235165.4670000002</v>
      </c>
      <c r="AW58" s="1">
        <f>[1]Results!AZ1731</f>
        <v>2262438.7480000001</v>
      </c>
      <c r="AX58" s="1">
        <f>[1]Results!BA1731</f>
        <v>2290141.63</v>
      </c>
      <c r="AY58" s="1">
        <f>[1]Results!BB1731</f>
        <v>2318291.0720000002</v>
      </c>
      <c r="AZ58" s="1">
        <f>[1]Results!BC1731</f>
        <v>2346905.38</v>
      </c>
      <c r="BA58" s="1">
        <f>[1]Results!BD1731</f>
        <v>2376000.9649999999</v>
      </c>
      <c r="BB58" s="1">
        <f>[1]Results!BE1731</f>
        <v>2577085.8969999999</v>
      </c>
      <c r="BC58" s="1">
        <f>[1]Results!BF1731</f>
        <v>2615222.8059999999</v>
      </c>
      <c r="BD58" s="1">
        <f>[1]Results!BG1731</f>
        <v>2653889.335</v>
      </c>
      <c r="BE58" s="1">
        <f>[1]Results!BH1731</f>
        <v>2693104.4959999998</v>
      </c>
      <c r="BF58" s="1">
        <f>[1]Results!BI1731</f>
        <v>2732888.68</v>
      </c>
    </row>
    <row r="59" spans="1:58" x14ac:dyDescent="0.35">
      <c r="A59" s="14"/>
      <c r="B59" t="s">
        <v>6</v>
      </c>
      <c r="C59" s="1">
        <f>[1]Results!F1702</f>
        <v>1202869.3259999999</v>
      </c>
      <c r="D59" s="1">
        <f>[1]Results!G1702</f>
        <v>1218258.595</v>
      </c>
      <c r="E59" s="1">
        <f>[1]Results!H1702</f>
        <v>1234870.835</v>
      </c>
      <c r="F59" s="1">
        <f>[1]Results!I1702</f>
        <v>1252485.2690000001</v>
      </c>
      <c r="G59" s="1">
        <f>[1]Results!J1702</f>
        <v>1271024.94</v>
      </c>
      <c r="H59" s="1">
        <f>[1]Results!K1702</f>
        <v>1290488.23</v>
      </c>
      <c r="I59" s="1">
        <f>[1]Results!L1702</f>
        <v>1310267.1000000001</v>
      </c>
      <c r="J59" s="1">
        <f>[1]Results!M1702</f>
        <v>1330463.6200000001</v>
      </c>
      <c r="K59" s="1">
        <f>[1]Results!N1702</f>
        <v>1351102.868</v>
      </c>
      <c r="L59" s="1">
        <f>[1]Results!O1702</f>
        <v>1372172.834</v>
      </c>
      <c r="M59" s="1">
        <f>[1]Results!P1702</f>
        <v>1394705.649</v>
      </c>
      <c r="N59" s="1">
        <f>[1]Results!Q1702</f>
        <v>1417354.7050000001</v>
      </c>
      <c r="O59" s="1">
        <f>[1]Results!R1702</f>
        <v>1440149.862</v>
      </c>
      <c r="P59" s="1">
        <f>[1]Results!S1702</f>
        <v>1463077.878</v>
      </c>
      <c r="Q59" s="1">
        <f>[1]Results!T1702</f>
        <v>1486130.4350000001</v>
      </c>
      <c r="R59" s="1">
        <f>[1]Results!U1702</f>
        <v>1509313.139</v>
      </c>
      <c r="S59" s="1">
        <f>[1]Results!V1702</f>
        <v>1532641.807</v>
      </c>
      <c r="T59" s="1">
        <f>[1]Results!W1702</f>
        <v>1556138.04</v>
      </c>
      <c r="U59" s="1">
        <f>[1]Results!X1702</f>
        <v>1579823.79</v>
      </c>
      <c r="V59" s="1">
        <f>[1]Results!Y1702</f>
        <v>1603718.865</v>
      </c>
      <c r="W59" s="1">
        <f>[1]Results!Z1702</f>
        <v>1627048.8289999999</v>
      </c>
      <c r="X59" s="1">
        <f>[1]Results!AA1702</f>
        <v>1650800.1529999999</v>
      </c>
      <c r="Y59" s="1">
        <f>[1]Results!AB1702</f>
        <v>1674936.3459999999</v>
      </c>
      <c r="Z59" s="1">
        <f>[1]Results!AC1702</f>
        <v>1699451.8629999999</v>
      </c>
      <c r="AA59" s="1">
        <f>[1]Results!AD1702</f>
        <v>1724340.1529999999</v>
      </c>
      <c r="AB59" s="1">
        <f>[1]Results!AE1702</f>
        <v>1747301.682</v>
      </c>
      <c r="AC59" s="1">
        <f>[1]Results!AF1702</f>
        <v>1770047.355</v>
      </c>
      <c r="AD59" s="1">
        <f>[1]Results!AG1702</f>
        <v>1792666.3689999999</v>
      </c>
      <c r="AE59" s="1">
        <f>[1]Results!AH1702</f>
        <v>1815285.7520000001</v>
      </c>
      <c r="AF59" s="1">
        <f>[1]Results!AI1702</f>
        <v>1838021.5819999999</v>
      </c>
      <c r="AG59" s="1">
        <f>[1]Results!AJ1702</f>
        <v>1860963.618</v>
      </c>
      <c r="AH59" s="1">
        <f>[1]Results!AK1702</f>
        <v>1884174.375</v>
      </c>
      <c r="AI59" s="1">
        <f>[1]Results!AL1702</f>
        <v>1907693.3970000001</v>
      </c>
      <c r="AJ59" s="1">
        <f>[1]Results!AM1702</f>
        <v>1931544.0079999999</v>
      </c>
      <c r="AK59" s="1">
        <f>[1]Results!AN1702</f>
        <v>1955739.2579999999</v>
      </c>
      <c r="AL59" s="1">
        <f>[1]Results!AO1702</f>
        <v>1980286.693</v>
      </c>
      <c r="AM59" s="1">
        <f>[1]Results!AP1702</f>
        <v>2004643.1780000001</v>
      </c>
      <c r="AN59" s="1">
        <f>[1]Results!AQ1702</f>
        <v>2028934.206</v>
      </c>
      <c r="AO59" s="1">
        <f>[1]Results!AR1702</f>
        <v>2053257.4509999999</v>
      </c>
      <c r="AP59" s="1">
        <f>[1]Results!AS1702</f>
        <v>2077703.6329999999</v>
      </c>
      <c r="AQ59" s="1">
        <f>[1]Results!AT1702</f>
        <v>2102355.8760000002</v>
      </c>
      <c r="AR59" s="1">
        <f>[1]Results!AU1702</f>
        <v>2127286.202</v>
      </c>
      <c r="AS59" s="1">
        <f>[1]Results!AV1702</f>
        <v>2152552.446</v>
      </c>
      <c r="AT59" s="1">
        <f>[1]Results!AW1702</f>
        <v>2178198.9380000001</v>
      </c>
      <c r="AU59" s="1">
        <f>[1]Results!AX1702</f>
        <v>2204258.0290000001</v>
      </c>
      <c r="AV59" s="1">
        <f>[1]Results!AY1702</f>
        <v>2230752.4989999998</v>
      </c>
      <c r="AW59" s="1">
        <f>[1]Results!AZ1702</f>
        <v>2257976.2829999998</v>
      </c>
      <c r="AX59" s="1">
        <f>[1]Results!BA1702</f>
        <v>2285896.9169999999</v>
      </c>
      <c r="AY59" s="1">
        <f>[1]Results!BB1702</f>
        <v>2314389.1159999999</v>
      </c>
      <c r="AZ59" s="1">
        <f>[1]Results!BC1702</f>
        <v>2343337.4419999998</v>
      </c>
      <c r="BA59" s="1">
        <f>[1]Results!BD1702</f>
        <v>2372674.355</v>
      </c>
      <c r="BB59" s="1">
        <f>[1]Results!BE1702</f>
        <v>2578303.1260000002</v>
      </c>
      <c r="BC59" s="1">
        <f>[1]Results!BF1702</f>
        <v>2616559.395</v>
      </c>
      <c r="BD59" s="1">
        <f>[1]Results!BG1702</f>
        <v>2655344.5720000002</v>
      </c>
      <c r="BE59" s="1">
        <f>[1]Results!BH1702</f>
        <v>2694674.9</v>
      </c>
      <c r="BF59" s="1">
        <f>[1]Results!BI1702</f>
        <v>2734568.8939999999</v>
      </c>
    </row>
    <row r="60" spans="1:58" x14ac:dyDescent="0.35">
      <c r="A60" s="14"/>
      <c r="C60" s="1"/>
      <c r="D60" s="1"/>
      <c r="E60" s="1"/>
      <c r="F60" s="1"/>
      <c r="G60" s="1"/>
      <c r="H60" s="4">
        <f t="shared" ref="H60:U60" si="0">H58/G58-1</f>
        <v>1.5331436870670956E-2</v>
      </c>
      <c r="I60" s="4">
        <f t="shared" si="0"/>
        <v>1.5357134063237243E-2</v>
      </c>
      <c r="J60" s="4">
        <f t="shared" si="0"/>
        <v>1.5451068363835141E-2</v>
      </c>
      <c r="K60" s="4">
        <f t="shared" si="0"/>
        <v>1.5550276699498822E-2</v>
      </c>
      <c r="L60" s="4">
        <f t="shared" si="0"/>
        <v>1.5628134152609663E-2</v>
      </c>
      <c r="M60" s="4">
        <f t="shared" si="0"/>
        <v>1.6449123091095252E-2</v>
      </c>
      <c r="N60" s="4">
        <f t="shared" si="0"/>
        <v>1.6260830410463223E-2</v>
      </c>
      <c r="O60" s="4">
        <f t="shared" si="0"/>
        <v>1.6099407604358129E-2</v>
      </c>
      <c r="P60" s="4">
        <f t="shared" si="0"/>
        <v>1.5934105043999391E-2</v>
      </c>
      <c r="Q60" s="4">
        <f t="shared" si="0"/>
        <v>1.5768735502949882E-2</v>
      </c>
      <c r="R60" s="4">
        <f t="shared" si="0"/>
        <v>1.5612505315813596E-2</v>
      </c>
      <c r="S60" s="4">
        <f t="shared" si="0"/>
        <v>1.5471715839868505E-2</v>
      </c>
      <c r="T60" s="4">
        <f t="shared" si="0"/>
        <v>1.5348574780253532E-2</v>
      </c>
      <c r="U60" s="4">
        <f t="shared" si="0"/>
        <v>1.5242205747264537E-2</v>
      </c>
      <c r="V60" s="4">
        <f>V58/U58-1</f>
        <v>1.5150038541982047E-2</v>
      </c>
      <c r="W60" s="4">
        <f t="shared" ref="W60:AL60" si="1">W58/V58-1</f>
        <v>1.4575285498618751E-2</v>
      </c>
      <c r="X60" s="4">
        <f t="shared" si="1"/>
        <v>1.4629180173852285E-2</v>
      </c>
      <c r="Y60" s="4">
        <f t="shared" si="1"/>
        <v>1.465501480311282E-2</v>
      </c>
      <c r="Z60" s="4">
        <f t="shared" si="1"/>
        <v>1.4672849242890695E-2</v>
      </c>
      <c r="AA60" s="4">
        <f t="shared" si="1"/>
        <v>1.468255090007542E-2</v>
      </c>
      <c r="AB60" s="4">
        <f t="shared" si="1"/>
        <v>1.3353202034072531E-2</v>
      </c>
      <c r="AC60" s="4">
        <f t="shared" si="1"/>
        <v>1.305572047046244E-2</v>
      </c>
      <c r="AD60" s="4">
        <f t="shared" si="1"/>
        <v>1.2817259485335741E-2</v>
      </c>
      <c r="AE60" s="4">
        <f t="shared" si="1"/>
        <v>1.2656037929056785E-2</v>
      </c>
      <c r="AF60" s="4">
        <f t="shared" si="1"/>
        <v>1.2562442679879604E-2</v>
      </c>
      <c r="AG60" s="4">
        <f t="shared" si="1"/>
        <v>1.2519082307606677E-2</v>
      </c>
      <c r="AH60" s="4">
        <f t="shared" si="1"/>
        <v>1.2508922065607164E-2</v>
      </c>
      <c r="AI60" s="4">
        <f t="shared" si="1"/>
        <v>1.2518366833245587E-2</v>
      </c>
      <c r="AJ60" s="4">
        <f t="shared" si="1"/>
        <v>1.2537934426504638E-2</v>
      </c>
      <c r="AK60" s="4">
        <f t="shared" si="1"/>
        <v>1.2561802462701666E-2</v>
      </c>
      <c r="AL60" s="4">
        <f t="shared" si="1"/>
        <v>1.2586932907842963E-2</v>
      </c>
      <c r="AM60" s="4">
        <f t="shared" ref="AM60" si="2">AM58/AL58-1</f>
        <v>1.2333542644537676E-2</v>
      </c>
      <c r="AN60" s="4">
        <f t="shared" ref="AN60" si="3">AN58/AM58-1</f>
        <v>1.2150868221299183E-2</v>
      </c>
      <c r="AO60" s="4">
        <f t="shared" ref="AO60" si="4">AO58/AN58-1</f>
        <v>1.202092455225956E-2</v>
      </c>
      <c r="AP60" s="4">
        <f t="shared" ref="AP60" si="5">AP58/AO58-1</f>
        <v>1.1937689095052884E-2</v>
      </c>
      <c r="AQ60" s="4">
        <f t="shared" ref="AQ60" si="6">AQ58/AP58-1</f>
        <v>1.189565161827133E-2</v>
      </c>
      <c r="AR60" s="4">
        <f t="shared" ref="AR60" si="7">AR58/AQ58-1</f>
        <v>1.1962657914618591E-2</v>
      </c>
      <c r="AS60" s="4">
        <f t="shared" ref="AS60" si="8">AS58/AR58-1</f>
        <v>1.2043742570682081E-2</v>
      </c>
      <c r="AT60" s="4">
        <f t="shared" ref="AT60" si="9">AT58/AS58-1</f>
        <v>1.2102344997414693E-2</v>
      </c>
      <c r="AU60" s="4">
        <f t="shared" ref="AU60" si="10">AU58/AT58-1</f>
        <v>1.2137064516640317E-2</v>
      </c>
      <c r="AV60" s="4">
        <f t="shared" ref="AV60" si="11">AV58/AU58-1</f>
        <v>1.2159082107797703E-2</v>
      </c>
      <c r="AW60" s="4">
        <f t="shared" ref="AW60" si="12">AW58/AV58-1</f>
        <v>1.2201906929335982E-2</v>
      </c>
      <c r="AX60" s="4">
        <f t="shared" ref="AX60" si="13">AX58/AW58-1</f>
        <v>1.2244699231963363E-2</v>
      </c>
      <c r="AY60" s="4">
        <f t="shared" ref="AY60" si="14">AY58/AX58-1</f>
        <v>1.2291572552218133E-2</v>
      </c>
      <c r="AZ60" s="4">
        <f t="shared" ref="AZ60" si="15">AZ58/AY58-1</f>
        <v>1.2342845273227043E-2</v>
      </c>
      <c r="BA60" s="4">
        <f t="shared" ref="BA60" si="16">BA58/AZ58-1</f>
        <v>1.2397425668690509E-2</v>
      </c>
      <c r="BB60" s="4">
        <f t="shared" ref="BB60" si="17">BB58/BA58-1</f>
        <v>8.463167101449387E-2</v>
      </c>
      <c r="BC60" s="4">
        <f t="shared" ref="BC60" si="18">BC58/BB58-1</f>
        <v>1.4798462497658926E-2</v>
      </c>
      <c r="BD60" s="4">
        <f t="shared" ref="BD60" si="19">BD58/BC58-1</f>
        <v>1.4785175821841579E-2</v>
      </c>
      <c r="BE60" s="4">
        <f t="shared" ref="BE60" si="20">BE58/BD58-1</f>
        <v>1.4776486902759123E-2</v>
      </c>
      <c r="BF60" s="4">
        <f t="shared" ref="BF60" si="21">BF58/BE58-1</f>
        <v>1.4772610590896518E-2</v>
      </c>
    </row>
    <row r="61" spans="1:58" x14ac:dyDescent="0.35">
      <c r="A61" s="16" t="s">
        <v>3</v>
      </c>
      <c r="B61" t="s">
        <v>4</v>
      </c>
      <c r="C61" s="1">
        <f>[1]Results!F1789</f>
        <v>0.99933117979999997</v>
      </c>
      <c r="D61" s="1">
        <f>[1]Results!G1789</f>
        <v>1.0180845780000001</v>
      </c>
      <c r="E61" s="1">
        <f>[1]Results!H1789</f>
        <v>1.036938972</v>
      </c>
      <c r="F61" s="1">
        <f>[1]Results!I1789</f>
        <v>1.056067364</v>
      </c>
      <c r="G61" s="1">
        <f>[1]Results!J1789</f>
        <v>1.075574437</v>
      </c>
      <c r="H61" s="1">
        <f>[1]Results!K1789</f>
        <v>1.0955178430000001</v>
      </c>
      <c r="I61" s="1">
        <f>[1]Results!L1789</f>
        <v>1.115893958</v>
      </c>
      <c r="J61" s="1">
        <f>[1]Results!M1789</f>
        <v>1.1367182090000001</v>
      </c>
      <c r="K61" s="1">
        <f>[1]Results!N1789</f>
        <v>1.158012311</v>
      </c>
      <c r="L61" s="1">
        <f>[1]Results!O1789</f>
        <v>1.1797989959999999</v>
      </c>
      <c r="M61" s="1">
        <f>[1]Results!P1789</f>
        <v>1.20216429</v>
      </c>
      <c r="N61" s="1">
        <f>[1]Results!Q1789</f>
        <v>1.225081885</v>
      </c>
      <c r="O61" s="1">
        <f>[1]Results!R1789</f>
        <v>1.2485553190000001</v>
      </c>
      <c r="P61" s="1">
        <f>[1]Results!S1789</f>
        <v>1.272597698</v>
      </c>
      <c r="Q61" s="1">
        <f>[1]Results!T1789</f>
        <v>1.297218161</v>
      </c>
      <c r="R61" s="1">
        <f>[1]Results!U1789</f>
        <v>1.3224200319999999</v>
      </c>
      <c r="S61" s="1">
        <f>[1]Results!V1789</f>
        <v>1.3482010520000001</v>
      </c>
      <c r="T61" s="1">
        <f>[1]Results!W1789</f>
        <v>1.3745544949999999</v>
      </c>
      <c r="U61" s="1">
        <f>[1]Results!X1789</f>
        <v>1.4014704579999999</v>
      </c>
      <c r="V61" s="1">
        <f>[1]Results!Y1789</f>
        <v>1.428936999</v>
      </c>
      <c r="W61" s="1">
        <f>[1]Results!Z1789</f>
        <v>1.456893958</v>
      </c>
      <c r="X61" s="1">
        <f>[1]Results!AA1789</f>
        <v>1.485359157</v>
      </c>
      <c r="Y61" s="1">
        <f>[1]Results!AB1789</f>
        <v>1.5143321679999999</v>
      </c>
      <c r="Z61" s="1">
        <f>[1]Results!AC1789</f>
        <v>1.5438022689999999</v>
      </c>
      <c r="AA61" s="1">
        <f>[1]Results!AD1789</f>
        <v>1.573759752</v>
      </c>
      <c r="AB61" s="1">
        <f>[1]Results!AE1789</f>
        <v>1.6040608160000001</v>
      </c>
      <c r="AC61" s="1">
        <f>[1]Results!AF1789</f>
        <v>1.6347232380000001</v>
      </c>
      <c r="AD61" s="1">
        <f>[1]Results!AG1789</f>
        <v>1.665760415</v>
      </c>
      <c r="AE61" s="1">
        <f>[1]Results!AH1789</f>
        <v>1.697171875</v>
      </c>
      <c r="AF61" s="1">
        <f>[1]Results!AI1789</f>
        <v>1.728959774</v>
      </c>
      <c r="AG61" s="1">
        <f>[1]Results!AJ1789</f>
        <v>1.761131996</v>
      </c>
      <c r="AH61" s="1">
        <f>[1]Results!AK1789</f>
        <v>1.793703177</v>
      </c>
      <c r="AI61" s="1">
        <f>[1]Results!AL1789</f>
        <v>1.826694222</v>
      </c>
      <c r="AJ61" s="1">
        <f>[1]Results!AM1789</f>
        <v>1.8601310870000001</v>
      </c>
      <c r="AK61" s="1">
        <f>[1]Results!AN1789</f>
        <v>1.8940433510000001</v>
      </c>
      <c r="AL61" s="1">
        <f>[1]Results!AO1789</f>
        <v>1.9284629</v>
      </c>
      <c r="AM61" s="1">
        <f>[1]Results!AP1789</f>
        <v>1.9633886110000001</v>
      </c>
      <c r="AN61" s="1">
        <f>[1]Results!AQ1789</f>
        <v>1.998838917</v>
      </c>
      <c r="AO61" s="1">
        <f>[1]Results!AR1789</f>
        <v>2.0348428940000001</v>
      </c>
      <c r="AP61" s="1">
        <f>[1]Results!AS1789</f>
        <v>2.0714300049999999</v>
      </c>
      <c r="AQ61" s="1">
        <f>[1]Results!AT1789</f>
        <v>2.1086291350000002</v>
      </c>
      <c r="AR61" s="1">
        <f>[1]Results!AU1789</f>
        <v>2.146081315</v>
      </c>
      <c r="AS61" s="1">
        <f>[1]Results!AV1789</f>
        <v>2.183843945</v>
      </c>
      <c r="AT61" s="1">
        <f>[1]Results!AW1789</f>
        <v>2.222009248</v>
      </c>
      <c r="AU61" s="1">
        <f>[1]Results!AX1789</f>
        <v>2.2606687939999999</v>
      </c>
      <c r="AV61" s="1">
        <f>[1]Results!AY1789</f>
        <v>2.2999011230000002</v>
      </c>
      <c r="AW61" s="1">
        <f>[1]Results!AZ1789</f>
        <v>2.3397743449999999</v>
      </c>
      <c r="AX61" s="1">
        <f>[1]Results!BA1789</f>
        <v>2.3803445339999998</v>
      </c>
      <c r="AY61" s="1">
        <f>[1]Results!BB1789</f>
        <v>2.4216601839999998</v>
      </c>
      <c r="AZ61" s="1">
        <f>[1]Results!BC1789</f>
        <v>2.4637658409999998</v>
      </c>
      <c r="BA61" s="1">
        <f>[1]Results!BD1789</f>
        <v>2.5067035569999998</v>
      </c>
      <c r="BB61" s="1">
        <f>[1]Results!BE1789</f>
        <v>2.7865971890000001</v>
      </c>
      <c r="BC61" s="1">
        <f>[1]Results!BF1789</f>
        <v>2.8403224690000002</v>
      </c>
      <c r="BD61" s="1">
        <f>[1]Results!BG1789</f>
        <v>2.894939376</v>
      </c>
      <c r="BE61" s="1">
        <f>[1]Results!BH1789</f>
        <v>2.950470615</v>
      </c>
      <c r="BF61" s="1">
        <f>[1]Results!BI1789</f>
        <v>3.0069409239999998</v>
      </c>
    </row>
    <row r="62" spans="1:58" x14ac:dyDescent="0.35">
      <c r="A62" s="16"/>
      <c r="B62" t="s">
        <v>6</v>
      </c>
      <c r="C62" s="1">
        <f>[1]Results!F1760</f>
        <v>0.99952935399999998</v>
      </c>
      <c r="D62" s="1">
        <f>[1]Results!G1760</f>
        <v>1.018410461</v>
      </c>
      <c r="E62" s="1">
        <f>[1]Results!H1760</f>
        <v>1.0373629769999999</v>
      </c>
      <c r="F62" s="1">
        <f>[1]Results!I1760</f>
        <v>1.0565903459999999</v>
      </c>
      <c r="G62" s="1">
        <f>[1]Results!J1760</f>
        <v>1.076218433</v>
      </c>
      <c r="H62" s="1">
        <f>[1]Results!K1760</f>
        <v>1.096314569</v>
      </c>
      <c r="I62" s="1">
        <f>[1]Results!L1760</f>
        <v>1.1168764799999999</v>
      </c>
      <c r="J62" s="1">
        <f>[1]Results!M1760</f>
        <v>1.1379167269999999</v>
      </c>
      <c r="K62" s="1">
        <f>[1]Results!N1760</f>
        <v>1.159452669</v>
      </c>
      <c r="L62" s="1">
        <f>[1]Results!O1760</f>
        <v>1.181502622</v>
      </c>
      <c r="M62" s="1">
        <f>[1]Results!P1760</f>
        <v>1.204149095</v>
      </c>
      <c r="N62" s="1">
        <f>[1]Results!Q1760</f>
        <v>1.2273620350000001</v>
      </c>
      <c r="O62" s="1">
        <f>[1]Results!R1760</f>
        <v>1.2511428469999999</v>
      </c>
      <c r="P62" s="1">
        <f>[1]Results!S1760</f>
        <v>1.27550345</v>
      </c>
      <c r="Q62" s="1">
        <f>[1]Results!T1760</f>
        <v>1.3004520939999999</v>
      </c>
      <c r="R62" s="1">
        <f>[1]Results!U1760</f>
        <v>1.3259914660000001</v>
      </c>
      <c r="S62" s="1">
        <f>[1]Results!V1760</f>
        <v>1.3521193970000001</v>
      </c>
      <c r="T62" s="1">
        <f>[1]Results!W1760</f>
        <v>1.378828985</v>
      </c>
      <c r="U62" s="1">
        <f>[1]Results!X1760</f>
        <v>1.406111415</v>
      </c>
      <c r="V62" s="1">
        <f>[1]Results!Y1760</f>
        <v>1.433955968</v>
      </c>
      <c r="W62" s="1">
        <f>[1]Results!Z1760</f>
        <v>1.4623031179999999</v>
      </c>
      <c r="X62" s="1">
        <f>[1]Results!AA1760</f>
        <v>1.4911733579999999</v>
      </c>
      <c r="Y62" s="1">
        <f>[1]Results!AB1760</f>
        <v>1.5205666900000001</v>
      </c>
      <c r="Z62" s="1">
        <f>[1]Results!AC1760</f>
        <v>1.5504733399999999</v>
      </c>
      <c r="AA62" s="1">
        <f>[1]Results!AD1760</f>
        <v>1.580884535</v>
      </c>
      <c r="AB62" s="1">
        <f>[1]Results!AE1760</f>
        <v>1.6116549229999999</v>
      </c>
      <c r="AC62" s="1">
        <f>[1]Results!AF1760</f>
        <v>1.642807103</v>
      </c>
      <c r="AD62" s="1">
        <f>[1]Results!AG1760</f>
        <v>1.6743539000000001</v>
      </c>
      <c r="AE62" s="1">
        <f>[1]Results!AH1760</f>
        <v>1.706294612</v>
      </c>
      <c r="AF62" s="1">
        <f>[1]Results!AI1760</f>
        <v>1.738631206</v>
      </c>
      <c r="AG62" s="1">
        <f>[1]Results!AJ1760</f>
        <v>1.771371502</v>
      </c>
      <c r="AH62" s="1">
        <f>[1]Results!AK1760</f>
        <v>1.804529973</v>
      </c>
      <c r="AI62" s="1">
        <f>[1]Results!AL1760</f>
        <v>1.8381278029999999</v>
      </c>
      <c r="AJ62" s="1">
        <f>[1]Results!AM1760</f>
        <v>1.8721909910000001</v>
      </c>
      <c r="AK62" s="1">
        <f>[1]Results!AN1760</f>
        <v>1.9067493390000001</v>
      </c>
      <c r="AL62" s="1">
        <f>[1]Results!AO1760</f>
        <v>1.9418351380000001</v>
      </c>
      <c r="AM62" s="1">
        <f>[1]Results!AP1760</f>
        <v>1.9774443209999999</v>
      </c>
      <c r="AN62" s="1">
        <f>[1]Results!AQ1760</f>
        <v>2.0135981890000001</v>
      </c>
      <c r="AO62" s="1">
        <f>[1]Results!AR1760</f>
        <v>2.0503241719999998</v>
      </c>
      <c r="AP62" s="1">
        <f>[1]Results!AS1760</f>
        <v>2.087650692</v>
      </c>
      <c r="AQ62" s="1">
        <f>[1]Results!AT1760</f>
        <v>2.1256063909999998</v>
      </c>
      <c r="AR62" s="1">
        <f>[1]Results!AU1760</f>
        <v>2.1642198669999999</v>
      </c>
      <c r="AS62" s="1">
        <f>[1]Results!AV1760</f>
        <v>2.2035211559999999</v>
      </c>
      <c r="AT62" s="1">
        <f>[1]Results!AW1760</f>
        <v>2.2435404619999999</v>
      </c>
      <c r="AU62" s="1">
        <f>[1]Results!AX1760</f>
        <v>2.2843086609999999</v>
      </c>
      <c r="AV62" s="1">
        <f>[1]Results!AY1760</f>
        <v>2.3258569439999999</v>
      </c>
      <c r="AW62" s="1">
        <f>[1]Results!AZ1760</f>
        <v>2.3676334780000001</v>
      </c>
      <c r="AX62" s="1">
        <f>[1]Results!BA1760</f>
        <v>2.409716011</v>
      </c>
      <c r="AY62" s="1">
        <f>[1]Results!BB1760</f>
        <v>2.4522291310000002</v>
      </c>
      <c r="AZ62" s="1">
        <f>[1]Results!BC1760</f>
        <v>2.495293878</v>
      </c>
      <c r="BA62" s="1">
        <f>[1]Results!BD1760</f>
        <v>2.539009938</v>
      </c>
      <c r="BB62" s="1">
        <f>[1]Results!BE1760</f>
        <v>2.807915903</v>
      </c>
      <c r="BC62" s="1">
        <f>[1]Results!BF1760</f>
        <v>2.8628385230000002</v>
      </c>
      <c r="BD62" s="1">
        <f>[1]Results!BG1760</f>
        <v>2.9186834789999998</v>
      </c>
      <c r="BE62" s="1">
        <f>[1]Results!BH1760</f>
        <v>2.9754758730000002</v>
      </c>
      <c r="BF62" s="1">
        <f>[1]Results!BI1760</f>
        <v>3.0332420710000001</v>
      </c>
    </row>
    <row r="63" spans="1:58" x14ac:dyDescent="0.35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</row>
    <row r="64" spans="1:58" x14ac:dyDescent="0.35">
      <c r="A64" s="16" t="s">
        <v>1</v>
      </c>
      <c r="B64" t="str">
        <f>B61</f>
        <v>Baseline</v>
      </c>
      <c r="D64" s="1">
        <f t="shared" ref="D64:AL64" si="22">(D61/C61-1)*100</f>
        <v>1.8765949245928004</v>
      </c>
      <c r="E64" s="1">
        <f t="shared" si="22"/>
        <v>1.8519477072365564</v>
      </c>
      <c r="F64" s="1">
        <f t="shared" si="22"/>
        <v>1.8446979539312736</v>
      </c>
      <c r="G64" s="1">
        <f t="shared" si="22"/>
        <v>1.8471428684354363</v>
      </c>
      <c r="H64" s="1">
        <f t="shared" si="22"/>
        <v>1.854209742621471</v>
      </c>
      <c r="I64" s="1">
        <f t="shared" si="22"/>
        <v>1.8599528186781011</v>
      </c>
      <c r="J64" s="1">
        <f t="shared" si="22"/>
        <v>1.8661496328309823</v>
      </c>
      <c r="K64" s="1">
        <f t="shared" si="22"/>
        <v>1.8732964626943849</v>
      </c>
      <c r="L64" s="1">
        <f t="shared" si="22"/>
        <v>1.8813863024639277</v>
      </c>
      <c r="M64" s="1">
        <f t="shared" si="22"/>
        <v>1.8956868140952432</v>
      </c>
      <c r="N64" s="1">
        <f t="shared" si="22"/>
        <v>1.9063613177197292</v>
      </c>
      <c r="O64" s="1">
        <f t="shared" si="22"/>
        <v>1.9160706143328543</v>
      </c>
      <c r="P64" s="1">
        <f t="shared" si="22"/>
        <v>1.9256158404944435</v>
      </c>
      <c r="Q64" s="1">
        <f t="shared" si="22"/>
        <v>1.9346619154421818</v>
      </c>
      <c r="R64" s="1">
        <f t="shared" si="22"/>
        <v>1.9427627331837671</v>
      </c>
      <c r="S64" s="1">
        <f t="shared" si="22"/>
        <v>1.9495333839589124</v>
      </c>
      <c r="T64" s="1">
        <f t="shared" si="22"/>
        <v>1.9547116478588755</v>
      </c>
      <c r="U64" s="1">
        <f t="shared" si="22"/>
        <v>1.9581590324652787</v>
      </c>
      <c r="V64" s="1">
        <f t="shared" si="22"/>
        <v>1.9598373153863591</v>
      </c>
      <c r="W64" s="1">
        <f t="shared" si="22"/>
        <v>1.9564864664827653</v>
      </c>
      <c r="X64" s="1">
        <f t="shared" si="22"/>
        <v>1.9538277884738164</v>
      </c>
      <c r="Y64" s="1">
        <f t="shared" si="22"/>
        <v>1.9505727529574246</v>
      </c>
      <c r="Z64" s="1">
        <f t="shared" si="22"/>
        <v>1.9460790454528532</v>
      </c>
      <c r="AA64" s="1">
        <f t="shared" si="22"/>
        <v>1.9404999980603188</v>
      </c>
      <c r="AB64" s="1">
        <f t="shared" si="22"/>
        <v>1.9253932476982039</v>
      </c>
      <c r="AC64" s="1">
        <f t="shared" si="22"/>
        <v>1.9115498423845301</v>
      </c>
      <c r="AD64" s="1">
        <f t="shared" si="22"/>
        <v>1.8986196732587279</v>
      </c>
      <c r="AE64" s="1">
        <f t="shared" si="22"/>
        <v>1.8857129583067955</v>
      </c>
      <c r="AF64" s="1">
        <f t="shared" si="22"/>
        <v>1.8729923273092197</v>
      </c>
      <c r="AG64" s="1">
        <f t="shared" si="22"/>
        <v>1.8607848767683288</v>
      </c>
      <c r="AH64" s="1">
        <f t="shared" si="22"/>
        <v>1.8494457584086632</v>
      </c>
      <c r="AI64" s="1">
        <f t="shared" si="22"/>
        <v>1.8392700321341993</v>
      </c>
      <c r="AJ64" s="1">
        <f t="shared" si="22"/>
        <v>1.8304576976978071</v>
      </c>
      <c r="AK64" s="1">
        <f t="shared" si="22"/>
        <v>1.8231115127855579</v>
      </c>
      <c r="AL64" s="1">
        <f t="shared" si="22"/>
        <v>1.81725243943478</v>
      </c>
      <c r="AM64" s="1">
        <f t="shared" ref="AM64:AM65" si="23">(AM61/AL61-1)*100</f>
        <v>1.8110647085821663</v>
      </c>
      <c r="AN64" s="1">
        <f t="shared" ref="AN64:AN65" si="24">(AN61/AM61-1)*100</f>
        <v>1.8055674664397836</v>
      </c>
      <c r="AO64" s="1">
        <f t="shared" ref="AO64:AO65" si="25">(AO61/AN61-1)*100</f>
        <v>1.8012445472113114</v>
      </c>
      <c r="AP64" s="1">
        <f t="shared" ref="AP64:AP65" si="26">(AP61/AO61-1)*100</f>
        <v>1.7980312439786816</v>
      </c>
      <c r="AQ64" s="1">
        <f t="shared" ref="AQ64:AQ65" si="27">(AQ61/AP61-1)*100</f>
        <v>1.7958188261350649</v>
      </c>
      <c r="AR64" s="1">
        <f t="shared" ref="AR64:AR65" si="28">(AR61/AQ61-1)*100</f>
        <v>1.7761387898114211</v>
      </c>
      <c r="AS64" s="1">
        <f t="shared" ref="AS64:AS65" si="29">(AS61/AR61-1)*100</f>
        <v>1.7596085356159863</v>
      </c>
      <c r="AT64" s="1">
        <f t="shared" ref="AT64:AT65" si="30">(AT61/AS61-1)*100</f>
        <v>1.7476204326495548</v>
      </c>
      <c r="AU64" s="1">
        <f t="shared" ref="AU64:AU65" si="31">(AU61/AT61-1)*100</f>
        <v>1.7398463140869902</v>
      </c>
      <c r="AV64" s="1">
        <f t="shared" ref="AV64:AV65" si="32">(AV61/AU61-1)*100</f>
        <v>1.7354302011920675</v>
      </c>
      <c r="AW64" s="1">
        <f t="shared" ref="AW64:AW65" si="33">(AW61/AV61-1)*100</f>
        <v>1.7336928792829553</v>
      </c>
      <c r="AX64" s="1">
        <f t="shared" ref="AX64:AX65" si="34">(AX61/AW61-1)*100</f>
        <v>1.7339359706501911</v>
      </c>
      <c r="AY64" s="1">
        <f t="shared" ref="AY64:AY65" si="35">(AY61/AX61-1)*100</f>
        <v>1.7357004168876422</v>
      </c>
      <c r="AZ64" s="1">
        <f t="shared" ref="AZ64:AZ65" si="36">(AZ61/AY61-1)*100</f>
        <v>1.7387103805147186</v>
      </c>
      <c r="BA64" s="1">
        <f t="shared" ref="BA64:BA65" si="37">(BA61/AZ61-1)*100</f>
        <v>1.7427677291999677</v>
      </c>
      <c r="BB64" s="1">
        <f t="shared" ref="BB64:BB65" si="38">(BB61/BA61-1)*100</f>
        <v>11.165805035796673</v>
      </c>
      <c r="BC64" s="1">
        <f t="shared" ref="BC64:BC65" si="39">(BC61/BB61-1)*100</f>
        <v>1.9279887388130135</v>
      </c>
      <c r="BD64" s="1">
        <f t="shared" ref="BD64:BD65" si="40">(BD61/BC61-1)*100</f>
        <v>1.9229121902918589</v>
      </c>
      <c r="BE64" s="1">
        <f t="shared" ref="BE64:BE65" si="41">(BE61/BD61-1)*100</f>
        <v>1.9182176822206465</v>
      </c>
      <c r="BF64" s="1">
        <f t="shared" ref="BF64:BF65" si="42">(BF61/BE61-1)*100</f>
        <v>1.9139424305027353</v>
      </c>
    </row>
    <row r="65" spans="1:58" x14ac:dyDescent="0.35">
      <c r="A65" s="16"/>
      <c r="B65" t="str">
        <f>B62</f>
        <v>NZ50</v>
      </c>
      <c r="D65" s="1">
        <f t="shared" ref="D65:AL65" si="43">(D62/C62-1)*100</f>
        <v>1.8889997501764233</v>
      </c>
      <c r="E65" s="1">
        <f t="shared" si="43"/>
        <v>1.8609899176988076</v>
      </c>
      <c r="F65" s="1">
        <f t="shared" si="43"/>
        <v>1.8534851759993032</v>
      </c>
      <c r="G65" s="1">
        <f t="shared" si="43"/>
        <v>1.8576818418138519</v>
      </c>
      <c r="H65" s="1">
        <f t="shared" si="43"/>
        <v>1.8672915631059439</v>
      </c>
      <c r="I65" s="1">
        <f t="shared" si="43"/>
        <v>1.8755484585738502</v>
      </c>
      <c r="J65" s="1">
        <f t="shared" si="43"/>
        <v>1.8838472630384295</v>
      </c>
      <c r="K65" s="1">
        <f t="shared" si="43"/>
        <v>1.8925762746081931</v>
      </c>
      <c r="L65" s="1">
        <f t="shared" si="43"/>
        <v>1.9017553359049533</v>
      </c>
      <c r="M65" s="1">
        <f t="shared" si="43"/>
        <v>1.9167518191085309</v>
      </c>
      <c r="N65" s="1">
        <f t="shared" si="43"/>
        <v>1.927746331113589</v>
      </c>
      <c r="O65" s="1">
        <f t="shared" si="43"/>
        <v>1.9375547981651309</v>
      </c>
      <c r="P65" s="1">
        <f t="shared" si="43"/>
        <v>1.9470680792694539</v>
      </c>
      <c r="Q65" s="1">
        <f t="shared" si="43"/>
        <v>1.9559840469267176</v>
      </c>
      <c r="R65" s="1">
        <f t="shared" si="43"/>
        <v>1.9638841075217739</v>
      </c>
      <c r="S65" s="1">
        <f t="shared" si="43"/>
        <v>1.970444883692779</v>
      </c>
      <c r="T65" s="1">
        <f t="shared" si="43"/>
        <v>1.9753867934489744</v>
      </c>
      <c r="U65" s="1">
        <f t="shared" si="43"/>
        <v>1.9786667017302362</v>
      </c>
      <c r="V65" s="1">
        <f t="shared" si="43"/>
        <v>1.9802522547617496</v>
      </c>
      <c r="W65" s="1">
        <f t="shared" si="43"/>
        <v>1.9768494035097062</v>
      </c>
      <c r="X65" s="1">
        <f t="shared" si="43"/>
        <v>1.9742992847807228</v>
      </c>
      <c r="Y65" s="1">
        <f t="shared" si="43"/>
        <v>1.9711545838924538</v>
      </c>
      <c r="Z65" s="1">
        <f t="shared" si="43"/>
        <v>1.9668094925846313</v>
      </c>
      <c r="AA65" s="1">
        <f t="shared" si="43"/>
        <v>1.9614136028936802</v>
      </c>
      <c r="AB65" s="1">
        <f t="shared" si="43"/>
        <v>1.9464032520249752</v>
      </c>
      <c r="AC65" s="1">
        <f t="shared" si="43"/>
        <v>1.9329311476933286</v>
      </c>
      <c r="AD65" s="1">
        <f t="shared" si="43"/>
        <v>1.9202983078409508</v>
      </c>
      <c r="AE65" s="1">
        <f t="shared" si="43"/>
        <v>1.9076440171937215</v>
      </c>
      <c r="AF65" s="1">
        <f t="shared" si="43"/>
        <v>1.8951354456952396</v>
      </c>
      <c r="AG65" s="1">
        <f t="shared" si="43"/>
        <v>1.8831075783647178</v>
      </c>
      <c r="AH65" s="1">
        <f t="shared" si="43"/>
        <v>1.8719094759378052</v>
      </c>
      <c r="AI65" s="1">
        <f t="shared" si="43"/>
        <v>1.8618604568891861</v>
      </c>
      <c r="AJ65" s="1">
        <f t="shared" si="43"/>
        <v>1.8531457902114301</v>
      </c>
      <c r="AK65" s="1">
        <f t="shared" si="43"/>
        <v>1.8458772724646577</v>
      </c>
      <c r="AL65" s="1">
        <f t="shared" si="43"/>
        <v>1.8400844978606834</v>
      </c>
      <c r="AM65" s="1">
        <f t="shared" si="23"/>
        <v>1.8337902277675067</v>
      </c>
      <c r="AN65" s="1">
        <f t="shared" si="24"/>
        <v>1.8283128185231146</v>
      </c>
      <c r="AO65" s="1">
        <f t="shared" si="25"/>
        <v>1.8238982931464864</v>
      </c>
      <c r="AP65" s="1">
        <f t="shared" si="26"/>
        <v>1.8205179702675878</v>
      </c>
      <c r="AQ65" s="1">
        <f t="shared" si="27"/>
        <v>1.8181058328123667</v>
      </c>
      <c r="AR65" s="1">
        <f t="shared" si="28"/>
        <v>1.8165863709994845</v>
      </c>
      <c r="AS65" s="1">
        <f t="shared" si="29"/>
        <v>1.8159563914584398</v>
      </c>
      <c r="AT65" s="1">
        <f t="shared" si="30"/>
        <v>1.816152565226381</v>
      </c>
      <c r="AU65" s="1">
        <f t="shared" si="31"/>
        <v>1.8171367840478903</v>
      </c>
      <c r="AV65" s="1">
        <f t="shared" si="32"/>
        <v>1.8188559063559984</v>
      </c>
      <c r="AW65" s="1">
        <f t="shared" si="33"/>
        <v>1.7961781401805821</v>
      </c>
      <c r="AX65" s="1">
        <f t="shared" si="34"/>
        <v>1.7774091045353879</v>
      </c>
      <c r="AY65" s="1">
        <f t="shared" si="35"/>
        <v>1.7642377693443567</v>
      </c>
      <c r="AZ65" s="1">
        <f t="shared" si="36"/>
        <v>1.7561469462863188</v>
      </c>
      <c r="BA65" s="1">
        <f t="shared" si="37"/>
        <v>1.7519403379869125</v>
      </c>
      <c r="BB65" s="1">
        <f t="shared" si="38"/>
        <v>10.590977253591195</v>
      </c>
      <c r="BC65" s="1">
        <f t="shared" si="39"/>
        <v>1.9559923408432711</v>
      </c>
      <c r="BD65" s="1">
        <f t="shared" si="40"/>
        <v>1.950684802909497</v>
      </c>
      <c r="BE65" s="1">
        <f t="shared" si="41"/>
        <v>1.9458222999726882</v>
      </c>
      <c r="BF65" s="1">
        <f t="shared" si="42"/>
        <v>1.9414103983897313</v>
      </c>
    </row>
    <row r="66" spans="1:58" x14ac:dyDescent="0.35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58" x14ac:dyDescent="0.35">
      <c r="A67" s="15" t="s">
        <v>2</v>
      </c>
      <c r="B67" t="str">
        <f>B64</f>
        <v>Baseline</v>
      </c>
      <c r="C67" s="6">
        <f>[1]Emissions!B820</f>
        <v>350.6128721</v>
      </c>
      <c r="D67" s="6">
        <f>[1]Emissions!C820</f>
        <v>353.01858440000001</v>
      </c>
      <c r="E67" s="6">
        <f>[1]Emissions!D820</f>
        <v>355.18014520000003</v>
      </c>
      <c r="F67" s="6">
        <f>[1]Emissions!E820</f>
        <v>357.56598259999998</v>
      </c>
      <c r="G67" s="6">
        <f>[1]Emissions!F820</f>
        <v>360.311014</v>
      </c>
      <c r="H67" s="6">
        <f>[1]Emissions!G820</f>
        <v>363.40337399999999</v>
      </c>
      <c r="I67" s="6">
        <f>[1]Emissions!H820</f>
        <v>366.64946279999998</v>
      </c>
      <c r="J67" s="6">
        <f>[1]Emissions!I820</f>
        <v>370.1062766</v>
      </c>
      <c r="K67" s="6">
        <f>[1]Emissions!J820</f>
        <v>373.75413140000001</v>
      </c>
      <c r="L67" s="6">
        <f>[1]Emissions!K820</f>
        <v>377.56384550000001</v>
      </c>
      <c r="M67" s="6">
        <f>[1]Emissions!L820</f>
        <v>381.82245849999998</v>
      </c>
      <c r="N67" s="6">
        <f>[1]Emissions!M820</f>
        <v>386.0208945</v>
      </c>
      <c r="O67" s="6">
        <f>[1]Emissions!N820</f>
        <v>390.2711347</v>
      </c>
      <c r="P67" s="6">
        <f>[1]Emissions!O820</f>
        <v>394.5900982</v>
      </c>
      <c r="Q67" s="6">
        <f>[1]Emissions!P820</f>
        <v>398.9780973</v>
      </c>
      <c r="R67" s="6">
        <f>[1]Emissions!Q820</f>
        <v>403.43435699999998</v>
      </c>
      <c r="S67" s="6">
        <f>[1]Emissions!R820</f>
        <v>407.95827889999998</v>
      </c>
      <c r="T67" s="6">
        <f>[1]Emissions!S820</f>
        <v>412.54923789999998</v>
      </c>
      <c r="U67" s="6">
        <f>[1]Emissions!T820</f>
        <v>417.20645810000002</v>
      </c>
      <c r="V67" s="6">
        <f>[1]Emissions!U820</f>
        <v>421.9290532</v>
      </c>
      <c r="W67" s="6">
        <f>[1]Emissions!V820</f>
        <v>426.48727439999999</v>
      </c>
      <c r="X67" s="6">
        <f>[1]Emissions!W820</f>
        <v>431.23881690000002</v>
      </c>
      <c r="Y67" s="6">
        <f>[1]Emissions!X820</f>
        <v>436.09021200000001</v>
      </c>
      <c r="Z67" s="6">
        <f>[1]Emissions!Y820</f>
        <v>441.02125810000001</v>
      </c>
      <c r="AA67" s="6">
        <f>[1]Emissions!Z820</f>
        <v>446.0265943</v>
      </c>
      <c r="AB67" s="6">
        <f>[1]Emissions!AA820</f>
        <v>450.44700360000002</v>
      </c>
      <c r="AC67" s="6">
        <f>[1]Emissions!AB820</f>
        <v>454.99907739999998</v>
      </c>
      <c r="AD67" s="6">
        <f>[1]Emissions!AC820</f>
        <v>459.58805489999997</v>
      </c>
      <c r="AE67" s="6">
        <f>[1]Emissions!AD820</f>
        <v>464.20529620000002</v>
      </c>
      <c r="AF67" s="6">
        <f>[1]Emissions!AE820</f>
        <v>468.85751329999999</v>
      </c>
      <c r="AG67" s="6">
        <f>[1]Emissions!AF820</f>
        <v>473.55338030000001</v>
      </c>
      <c r="AH67" s="6">
        <f>[1]Emissions!AG820</f>
        <v>478.30075749999997</v>
      </c>
      <c r="AI67" s="6">
        <f>[1]Emissions!AH820</f>
        <v>483.10610930000001</v>
      </c>
      <c r="AJ67" s="6">
        <f>[1]Emissions!AI820</f>
        <v>487.97447870000002</v>
      </c>
      <c r="AK67" s="6">
        <f>[1]Emissions!AJ820</f>
        <v>492.90964409999998</v>
      </c>
      <c r="AL67" s="6">
        <f>[1]Emissions!AK820</f>
        <v>497.9143406</v>
      </c>
      <c r="AM67" s="6">
        <f>[1]Emissions!AL820</f>
        <v>502.8338119</v>
      </c>
      <c r="AN67" s="6">
        <f>[1]Emissions!AM820</f>
        <v>507.75658479999998</v>
      </c>
      <c r="AO67" s="6">
        <f>[1]Emissions!AN820</f>
        <v>512.72362829999997</v>
      </c>
      <c r="AP67" s="6">
        <f>[1]Emissions!AO820</f>
        <v>517.75699199999997</v>
      </c>
      <c r="AQ67" s="6">
        <f>[1]Emissions!AP820</f>
        <v>522.86404990000005</v>
      </c>
      <c r="AR67" s="6">
        <f>[1]Emissions!AQ820</f>
        <v>528.01008999999999</v>
      </c>
      <c r="AS67" s="6">
        <f>[1]Emissions!AR820</f>
        <v>533.18525409999995</v>
      </c>
      <c r="AT67" s="6">
        <f>[1]Emissions!AS820</f>
        <v>538.39023669999995</v>
      </c>
      <c r="AU67" s="6">
        <f>[1]Emissions!AT820</f>
        <v>543.635493</v>
      </c>
      <c r="AV67" s="6">
        <f>[1]Emissions!AU820</f>
        <v>548.93622660000005</v>
      </c>
      <c r="AW67" s="6">
        <f>[1]Emissions!AV820</f>
        <v>554.32091190000006</v>
      </c>
      <c r="AX67" s="6">
        <f>[1]Emissions!AW820</f>
        <v>559.79265550000002</v>
      </c>
      <c r="AY67" s="6">
        <f>[1]Emissions!AX820</f>
        <v>565.3563011</v>
      </c>
      <c r="AZ67" s="6">
        <f>[1]Emissions!AY820</f>
        <v>571.01470619999998</v>
      </c>
      <c r="BA67" s="6">
        <f>[1]Emissions!AZ820</f>
        <v>576.76890790000004</v>
      </c>
      <c r="BB67" s="6">
        <f>[1]Emissions!BA820</f>
        <v>639.6781585</v>
      </c>
      <c r="BC67" s="6">
        <f>[1]Emissions!BB820</f>
        <v>648.44547050000006</v>
      </c>
      <c r="BD67" s="6">
        <f>[1]Emissions!BC820</f>
        <v>657.34065229999999</v>
      </c>
      <c r="BE67" s="6">
        <f>[1]Emissions!BD820</f>
        <v>666.36737129999995</v>
      </c>
      <c r="BF67" s="6">
        <f>[1]Emissions!BE820</f>
        <v>675.52932920000001</v>
      </c>
    </row>
    <row r="68" spans="1:58" x14ac:dyDescent="0.35">
      <c r="A68" s="11"/>
      <c r="B68" t="s">
        <v>25</v>
      </c>
      <c r="C68" s="6">
        <f>[1]Emissions!B824</f>
        <v>119.490486</v>
      </c>
      <c r="D68" s="6">
        <f>[1]Emissions!C824</f>
        <v>119.273213</v>
      </c>
      <c r="E68" s="6">
        <f>[1]Emissions!D824</f>
        <v>118.67613849999999</v>
      </c>
      <c r="F68" s="6">
        <f>[1]Emissions!E824</f>
        <v>118.1175128</v>
      </c>
      <c r="G68" s="6">
        <f>[1]Emissions!F824</f>
        <v>117.706084</v>
      </c>
      <c r="H68" s="6">
        <f>[1]Emissions!G824</f>
        <v>117.431853</v>
      </c>
      <c r="I68" s="6">
        <f>[1]Emissions!H824</f>
        <v>117.26719780000001</v>
      </c>
      <c r="J68" s="6">
        <f>[1]Emissions!I824</f>
        <v>117.1982436</v>
      </c>
      <c r="K68" s="6">
        <f>[1]Emissions!J824</f>
        <v>117.2011937</v>
      </c>
      <c r="L68" s="6">
        <f>[1]Emissions!K824</f>
        <v>117.25467190000001</v>
      </c>
      <c r="M68" s="6">
        <f>[1]Emissions!L824</f>
        <v>117.3881348</v>
      </c>
      <c r="N68" s="6">
        <f>[1]Emissions!M824</f>
        <v>117.5245594</v>
      </c>
      <c r="O68" s="6">
        <f>[1]Emissions!N824</f>
        <v>117.6660298</v>
      </c>
      <c r="P68" s="6">
        <f>[1]Emissions!O824</f>
        <v>117.8116606</v>
      </c>
      <c r="Q68" s="6">
        <f>[1]Emissions!P824</f>
        <v>117.96057860000001</v>
      </c>
      <c r="R68" s="6">
        <f>[1]Emissions!Q824</f>
        <v>118.1135318</v>
      </c>
      <c r="S68" s="6">
        <f>[1]Emissions!R824</f>
        <v>118.2716004</v>
      </c>
      <c r="T68" s="6">
        <f>[1]Emissions!S824</f>
        <v>118.4355564</v>
      </c>
      <c r="U68" s="6">
        <f>[1]Emissions!T824</f>
        <v>118.60569889999999</v>
      </c>
      <c r="V68" s="6">
        <f>[1]Emissions!U824</f>
        <v>118.7819166</v>
      </c>
      <c r="W68" s="6">
        <f>[1]Emissions!V824</f>
        <v>118.93328649999999</v>
      </c>
      <c r="X68" s="6">
        <f>[1]Emissions!W824</f>
        <v>119.1027187</v>
      </c>
      <c r="Y68" s="6">
        <f>[1]Emissions!X824</f>
        <v>119.2829679</v>
      </c>
      <c r="Z68" s="6">
        <f>[1]Emissions!Y824</f>
        <v>119.470478</v>
      </c>
      <c r="AA68" s="6">
        <f>[1]Emissions!Z824</f>
        <v>119.66343639999999</v>
      </c>
      <c r="AB68" s="6">
        <f>[1]Emissions!AA824</f>
        <v>119.7771462</v>
      </c>
      <c r="AC68" s="6">
        <f>[1]Emissions!AB824</f>
        <v>119.89048459999999</v>
      </c>
      <c r="AD68" s="6">
        <f>[1]Emissions!AC824</f>
        <v>120.0013783</v>
      </c>
      <c r="AE68" s="6">
        <f>[1]Emissions!AD824</f>
        <v>120.10941390000001</v>
      </c>
      <c r="AF68" s="6">
        <f>[1]Emissions!AE824</f>
        <v>120.2150905</v>
      </c>
      <c r="AG68" s="6">
        <f>[1]Emissions!AF824</f>
        <v>120.3193078</v>
      </c>
      <c r="AH68" s="6">
        <f>[1]Emissions!AG824</f>
        <v>120.42306069999999</v>
      </c>
      <c r="AI68" s="6">
        <f>[1]Emissions!AH824</f>
        <v>120.5272853</v>
      </c>
      <c r="AJ68" s="6">
        <f>[1]Emissions!AI824</f>
        <v>120.63279900000001</v>
      </c>
      <c r="AK68" s="6">
        <f>[1]Emissions!AJ824</f>
        <v>120.74029470000001</v>
      </c>
      <c r="AL68" s="6">
        <f>[1]Emissions!AK824</f>
        <v>120.85036100000001</v>
      </c>
      <c r="AM68" s="6">
        <f>[1]Emissions!AL824</f>
        <v>120.9455413</v>
      </c>
      <c r="AN68" s="6">
        <f>[1]Emissions!AM824</f>
        <v>121.0337595</v>
      </c>
      <c r="AO68" s="6">
        <f>[1]Emissions!AN824</f>
        <v>121.1363759</v>
      </c>
      <c r="AP68" s="6">
        <f>[1]Emissions!AO824</f>
        <v>121.26670350000001</v>
      </c>
      <c r="AQ68" s="6">
        <f>[1]Emissions!AP824</f>
        <v>121.4250638</v>
      </c>
      <c r="AR68" s="6">
        <f>[1]Emissions!AQ824</f>
        <v>121.5994876</v>
      </c>
      <c r="AS68" s="6">
        <f>[1]Emissions!AR824</f>
        <v>121.7703142</v>
      </c>
      <c r="AT68" s="6">
        <f>[1]Emissions!AS824</f>
        <v>121.9233131</v>
      </c>
      <c r="AU68" s="6">
        <f>[1]Emissions!AT824</f>
        <v>122.05532599999999</v>
      </c>
      <c r="AV68" s="6">
        <f>[1]Emissions!AU824</f>
        <v>122.1710722</v>
      </c>
      <c r="AW68" s="6">
        <f>[1]Emissions!AV824</f>
        <v>122.2793235</v>
      </c>
      <c r="AX68" s="6">
        <f>[1]Emissions!AW824</f>
        <v>122.38602779999999</v>
      </c>
      <c r="AY68" s="6">
        <f>[1]Emissions!AX824</f>
        <v>122.4954843</v>
      </c>
      <c r="AZ68" s="6">
        <f>[1]Emissions!AY824</f>
        <v>122.610247</v>
      </c>
      <c r="BA68" s="6">
        <f>[1]Emissions!AZ824</f>
        <v>122.73154460000001</v>
      </c>
      <c r="BB68" s="6">
        <f>[1]Emissions!BA824</f>
        <v>129.0574852</v>
      </c>
      <c r="BC68" s="6">
        <f>[1]Emissions!BB824</f>
        <v>129.4656449</v>
      </c>
      <c r="BD68" s="6">
        <f>[1]Emissions!BC824</f>
        <v>129.88106049999999</v>
      </c>
      <c r="BE68" s="6">
        <f>[1]Emissions!BD824</f>
        <v>130.30458100000001</v>
      </c>
      <c r="BF68" s="6">
        <f>[1]Emissions!BE824</f>
        <v>130.73693650000001</v>
      </c>
    </row>
    <row r="69" spans="1:58" x14ac:dyDescent="0.35">
      <c r="A69" s="11"/>
      <c r="B69" t="s">
        <v>26</v>
      </c>
      <c r="C69" s="6">
        <f>SUM(C70:C72)</f>
        <v>231.12238608059999</v>
      </c>
      <c r="D69" s="6">
        <f t="shared" ref="D69:AL69" si="44">SUM(D70:D72)</f>
        <v>233.74537131459999</v>
      </c>
      <c r="E69" s="6">
        <f t="shared" si="44"/>
        <v>236.50400660310001</v>
      </c>
      <c r="F69" s="6">
        <f t="shared" si="44"/>
        <v>239.4484698185</v>
      </c>
      <c r="G69" s="6">
        <f t="shared" si="44"/>
        <v>242.60493001</v>
      </c>
      <c r="H69" s="6">
        <f t="shared" si="44"/>
        <v>245.97152094640001</v>
      </c>
      <c r="I69" s="6">
        <f t="shared" si="44"/>
        <v>249.38226494190002</v>
      </c>
      <c r="J69" s="6">
        <f t="shared" si="44"/>
        <v>252.90803295160001</v>
      </c>
      <c r="K69" s="6">
        <f t="shared" si="44"/>
        <v>256.55293777409997</v>
      </c>
      <c r="L69" s="6">
        <f t="shared" si="44"/>
        <v>260.3091735973</v>
      </c>
      <c r="M69" s="6">
        <f t="shared" si="44"/>
        <v>264.43432370509998</v>
      </c>
      <c r="N69" s="6">
        <f t="shared" si="44"/>
        <v>268.49633508950001</v>
      </c>
      <c r="O69" s="6">
        <f t="shared" si="44"/>
        <v>272.60510494509998</v>
      </c>
      <c r="P69" s="6">
        <f t="shared" si="44"/>
        <v>276.77843751710003</v>
      </c>
      <c r="Q69" s="6">
        <f t="shared" si="44"/>
        <v>281.01751867639996</v>
      </c>
      <c r="R69" s="6">
        <f t="shared" si="44"/>
        <v>285.32082525219994</v>
      </c>
      <c r="S69" s="6">
        <f t="shared" si="44"/>
        <v>289.68667849500002</v>
      </c>
      <c r="T69" s="6">
        <f t="shared" si="44"/>
        <v>294.1136815397</v>
      </c>
      <c r="U69" s="6">
        <f t="shared" si="44"/>
        <v>298.6007591417</v>
      </c>
      <c r="V69" s="6">
        <f t="shared" si="44"/>
        <v>303.1471366188</v>
      </c>
      <c r="W69" s="6">
        <f t="shared" si="44"/>
        <v>307.55398779030003</v>
      </c>
      <c r="X69" s="6">
        <f t="shared" si="44"/>
        <v>312.13609817440005</v>
      </c>
      <c r="Y69" s="6">
        <f t="shared" si="44"/>
        <v>316.80724417729999</v>
      </c>
      <c r="Z69" s="6">
        <f t="shared" si="44"/>
        <v>321.55078002319999</v>
      </c>
      <c r="AA69" s="6">
        <f t="shared" si="44"/>
        <v>326.36315793299997</v>
      </c>
      <c r="AB69" s="6">
        <f t="shared" si="44"/>
        <v>330.66985732289999</v>
      </c>
      <c r="AC69" s="6">
        <f t="shared" si="44"/>
        <v>335.1085928023</v>
      </c>
      <c r="AD69" s="6">
        <f t="shared" si="44"/>
        <v>339.586676549</v>
      </c>
      <c r="AE69" s="6">
        <f t="shared" si="44"/>
        <v>344.09588231380002</v>
      </c>
      <c r="AF69" s="6">
        <f t="shared" si="44"/>
        <v>348.64242272909996</v>
      </c>
      <c r="AG69" s="6">
        <f t="shared" si="44"/>
        <v>353.23407253020002</v>
      </c>
      <c r="AH69" s="6">
        <f t="shared" si="44"/>
        <v>357.87769682400005</v>
      </c>
      <c r="AI69" s="6">
        <f t="shared" si="44"/>
        <v>362.57882390840001</v>
      </c>
      <c r="AJ69" s="6">
        <f t="shared" si="44"/>
        <v>367.34167967900004</v>
      </c>
      <c r="AK69" s="6">
        <f t="shared" si="44"/>
        <v>372.1693493427</v>
      </c>
      <c r="AL69" s="6">
        <f t="shared" si="44"/>
        <v>377.06397956310002</v>
      </c>
      <c r="AM69" s="6">
        <f t="shared" ref="AM69:BC69" si="45">SUM(AM70:AM72)</f>
        <v>381.88827053609998</v>
      </c>
      <c r="AN69" s="6">
        <f t="shared" si="45"/>
        <v>386.7228252388</v>
      </c>
      <c r="AO69" s="6">
        <f t="shared" si="45"/>
        <v>391.58725243329997</v>
      </c>
      <c r="AP69" s="6">
        <f t="shared" si="45"/>
        <v>396.49028845359999</v>
      </c>
      <c r="AQ69" s="6">
        <f t="shared" si="45"/>
        <v>401.43898619100003</v>
      </c>
      <c r="AR69" s="6">
        <f t="shared" si="45"/>
        <v>406.41060236320004</v>
      </c>
      <c r="AS69" s="6">
        <f t="shared" si="45"/>
        <v>411.41493994659999</v>
      </c>
      <c r="AT69" s="6">
        <f t="shared" si="45"/>
        <v>416.46692354049998</v>
      </c>
      <c r="AU69" s="6">
        <f t="shared" si="45"/>
        <v>421.58016705</v>
      </c>
      <c r="AV69" s="6">
        <f t="shared" si="45"/>
        <v>426.7651543609</v>
      </c>
      <c r="AW69" s="6">
        <f t="shared" si="45"/>
        <v>432.0415883682</v>
      </c>
      <c r="AX69" s="6">
        <f t="shared" si="45"/>
        <v>437.40662765480005</v>
      </c>
      <c r="AY69" s="6">
        <f t="shared" si="45"/>
        <v>442.86081684890001</v>
      </c>
      <c r="AZ69" s="6">
        <f t="shared" si="45"/>
        <v>448.40445924079995</v>
      </c>
      <c r="BA69" s="6">
        <f t="shared" si="45"/>
        <v>454.03736338220006</v>
      </c>
      <c r="BB69" s="6">
        <f t="shared" si="45"/>
        <v>510.62067320610004</v>
      </c>
      <c r="BC69" s="6">
        <f t="shared" si="45"/>
        <v>518.9798256391</v>
      </c>
      <c r="BD69" s="6">
        <f t="shared" ref="BD69:BF69" si="46">SUM(BD70:BD72)</f>
        <v>527.45959178570001</v>
      </c>
      <c r="BE69" s="6">
        <f t="shared" si="46"/>
        <v>536.06279036800004</v>
      </c>
      <c r="BF69" s="6">
        <f t="shared" si="46"/>
        <v>544.79239261509997</v>
      </c>
    </row>
    <row r="70" spans="1:58" x14ac:dyDescent="0.35">
      <c r="A70" s="11"/>
      <c r="B70" t="s">
        <v>50</v>
      </c>
      <c r="C70" s="6">
        <f>[1]Emissions!B821</f>
        <v>215.8420763</v>
      </c>
      <c r="D70" s="6">
        <f>[1]Emissions!C821</f>
        <v>218.2620671</v>
      </c>
      <c r="E70" s="6">
        <f>[1]Emissions!D821</f>
        <v>220.79876770000001</v>
      </c>
      <c r="F70" s="6">
        <f>[1]Emissions!E821</f>
        <v>223.50622390000001</v>
      </c>
      <c r="G70" s="6">
        <f>[1]Emissions!F821</f>
        <v>226.411968</v>
      </c>
      <c r="H70" s="6">
        <f>[1]Emissions!G821</f>
        <v>229.5152487</v>
      </c>
      <c r="I70" s="6">
        <f>[1]Emissions!H821</f>
        <v>232.660616</v>
      </c>
      <c r="J70" s="6">
        <f>[1]Emissions!I821</f>
        <v>235.9144263</v>
      </c>
      <c r="K70" s="6">
        <f>[1]Emissions!J821</f>
        <v>239.2803002</v>
      </c>
      <c r="L70" s="6">
        <f>[1]Emissions!K821</f>
        <v>242.7505907</v>
      </c>
      <c r="M70" s="6">
        <f>[1]Emissions!L821</f>
        <v>246.56656649999999</v>
      </c>
      <c r="N70" s="6">
        <f>[1]Emissions!M821</f>
        <v>250.32274419999999</v>
      </c>
      <c r="O70" s="6">
        <f>[1]Emissions!N821</f>
        <v>254.1218801</v>
      </c>
      <c r="P70" s="6">
        <f>[1]Emissions!O821</f>
        <v>257.98062850000002</v>
      </c>
      <c r="Q70" s="6">
        <f>[1]Emissions!P821</f>
        <v>261.89997349999999</v>
      </c>
      <c r="R70" s="6">
        <f>[1]Emissions!Q821</f>
        <v>265.87832759999998</v>
      </c>
      <c r="S70" s="6">
        <f>[1]Emissions!R821</f>
        <v>269.9139394</v>
      </c>
      <c r="T70" s="6">
        <f>[1]Emissions!S821</f>
        <v>274.0053102</v>
      </c>
      <c r="U70" s="6">
        <f>[1]Emissions!T821</f>
        <v>278.1512414</v>
      </c>
      <c r="V70" s="6">
        <f>[1]Emissions!U821</f>
        <v>282.35082640000002</v>
      </c>
      <c r="W70" s="6">
        <f>[1]Emissions!V821</f>
        <v>286.41753390000002</v>
      </c>
      <c r="X70" s="6">
        <f>[1]Emissions!W821</f>
        <v>290.64635500000003</v>
      </c>
      <c r="Y70" s="6">
        <f>[1]Emissions!X821</f>
        <v>294.95643189999998</v>
      </c>
      <c r="Z70" s="6">
        <f>[1]Emissions!Y821</f>
        <v>299.33200620000002</v>
      </c>
      <c r="AA70" s="6">
        <f>[1]Emissions!Z821</f>
        <v>303.76970039999998</v>
      </c>
      <c r="AB70" s="6">
        <f>[1]Emissions!AA821</f>
        <v>307.73113769999998</v>
      </c>
      <c r="AC70" s="6">
        <f>[1]Emissions!AB821</f>
        <v>311.81417299999998</v>
      </c>
      <c r="AD70" s="6">
        <f>[1]Emissions!AC821</f>
        <v>315.93228219999997</v>
      </c>
      <c r="AE70" s="6">
        <f>[1]Emissions!AD821</f>
        <v>320.07778510000003</v>
      </c>
      <c r="AF70" s="6">
        <f>[1]Emissions!AE821</f>
        <v>324.25663889999998</v>
      </c>
      <c r="AG70" s="6">
        <f>[1]Emissions!AF821</f>
        <v>328.47631130000002</v>
      </c>
      <c r="AH70" s="6">
        <f>[1]Emissions!AG821</f>
        <v>332.74344480000002</v>
      </c>
      <c r="AI70" s="6">
        <f>[1]Emissions!AH821</f>
        <v>337.06345119999997</v>
      </c>
      <c r="AJ70" s="6">
        <f>[1]Emissions!AI821</f>
        <v>341.44053580000002</v>
      </c>
      <c r="AK70" s="6">
        <f>[1]Emissions!AJ821</f>
        <v>345.87783710000002</v>
      </c>
      <c r="AL70" s="6">
        <f>[1]Emissions!AK821</f>
        <v>350.37760400000002</v>
      </c>
      <c r="AM70" s="6">
        <f>[1]Emissions!AL821</f>
        <v>354.81150150000002</v>
      </c>
      <c r="AN70" s="6">
        <f>[1]Emissions!AM821</f>
        <v>359.25526630000002</v>
      </c>
      <c r="AO70" s="6">
        <f>[1]Emissions!AN821</f>
        <v>363.72743229999998</v>
      </c>
      <c r="AP70" s="6">
        <f>[1]Emissions!AO821</f>
        <v>368.23631419999998</v>
      </c>
      <c r="AQ70" s="6">
        <f>[1]Emissions!AP821</f>
        <v>372.78867969999999</v>
      </c>
      <c r="AR70" s="6">
        <f>[1]Emissions!AQ821</f>
        <v>377.36064190000002</v>
      </c>
      <c r="AS70" s="6">
        <f>[1]Emissions!AR821</f>
        <v>381.96112269999998</v>
      </c>
      <c r="AT70" s="6">
        <f>[1]Emissions!AS821</f>
        <v>386.60471819999998</v>
      </c>
      <c r="AU70" s="6">
        <f>[1]Emissions!AT821</f>
        <v>391.30510190000001</v>
      </c>
      <c r="AV70" s="6">
        <f>[1]Emissions!AU821</f>
        <v>396.07296960000002</v>
      </c>
      <c r="AW70" s="6">
        <f>[1]Emissions!AV821</f>
        <v>400.92742220000002</v>
      </c>
      <c r="AX70" s="6">
        <f>[1]Emissions!AW821</f>
        <v>405.86620720000002</v>
      </c>
      <c r="AY70" s="6">
        <f>[1]Emissions!AX821</f>
        <v>410.89002879999998</v>
      </c>
      <c r="AZ70" s="6">
        <f>[1]Emissions!AY821</f>
        <v>415.99922329999998</v>
      </c>
      <c r="BA70" s="6">
        <f>[1]Emissions!AZ821</f>
        <v>421.19357430000002</v>
      </c>
      <c r="BB70" s="6">
        <f>[1]Emissions!BA821</f>
        <v>474.56909780000001</v>
      </c>
      <c r="BC70" s="6">
        <f>[1]Emissions!BB821</f>
        <v>482.29074939999998</v>
      </c>
      <c r="BD70" s="6">
        <f>[1]Emissions!BC821</f>
        <v>490.12448920000003</v>
      </c>
      <c r="BE70" s="6">
        <f>[1]Emissions!BD821</f>
        <v>498.07311490000001</v>
      </c>
      <c r="BF70" s="6">
        <f>[1]Emissions!BE821</f>
        <v>506.13955979999997</v>
      </c>
    </row>
    <row r="71" spans="1:58" x14ac:dyDescent="0.35">
      <c r="A71" s="11"/>
      <c r="B71" t="s">
        <v>51</v>
      </c>
      <c r="C71" s="6">
        <f>[1]Emissions!B822</f>
        <v>2.7598970600000002E-2</v>
      </c>
      <c r="D71" s="6">
        <f>[1]Emissions!C822</f>
        <v>2.7894044600000001E-2</v>
      </c>
      <c r="E71" s="6">
        <f>[1]Emissions!D822</f>
        <v>2.8206373100000001E-2</v>
      </c>
      <c r="F71" s="6">
        <f>[1]Emissions!E822</f>
        <v>2.8528408500000001E-2</v>
      </c>
      <c r="G71" s="6">
        <f>[1]Emissions!F822</f>
        <v>2.8865390000000001E-2</v>
      </c>
      <c r="H71" s="6">
        <f>[1]Emissions!G822</f>
        <v>2.9219306399999999E-2</v>
      </c>
      <c r="I71" s="6">
        <f>[1]Emissions!H822</f>
        <v>2.95654219E-2</v>
      </c>
      <c r="J71" s="6">
        <f>[1]Emissions!I822</f>
        <v>2.9924341600000001E-2</v>
      </c>
      <c r="K71" s="6">
        <f>[1]Emissions!J822</f>
        <v>3.0295834099999999E-2</v>
      </c>
      <c r="L71" s="6">
        <f>[1]Emissions!K822</f>
        <v>3.0678907299999999E-2</v>
      </c>
      <c r="M71" s="6">
        <f>[1]Emissions!L822</f>
        <v>3.1115295099999999E-2</v>
      </c>
      <c r="N71" s="6">
        <f>[1]Emissions!M822</f>
        <v>3.1522929499999998E-2</v>
      </c>
      <c r="O71" s="6">
        <f>[1]Emissions!N822</f>
        <v>3.19362651E-2</v>
      </c>
      <c r="P71" s="6">
        <f>[1]Emissions!O822</f>
        <v>3.2355007099999999E-2</v>
      </c>
      <c r="Q71" s="6">
        <f>[1]Emissions!P822</f>
        <v>3.2778626399999997E-2</v>
      </c>
      <c r="R71" s="6">
        <f>[1]Emissions!Q822</f>
        <v>3.3206662200000001E-2</v>
      </c>
      <c r="S71" s="6">
        <f>[1]Emissions!R822</f>
        <v>3.3638824999999997E-2</v>
      </c>
      <c r="T71" s="6">
        <f>[1]Emissions!S822</f>
        <v>3.40750197E-2</v>
      </c>
      <c r="U71" s="6">
        <f>[1]Emissions!T822</f>
        <v>3.4515331699999999E-2</v>
      </c>
      <c r="V71" s="6">
        <f>[1]Emissions!U822</f>
        <v>3.4959998800000003E-2</v>
      </c>
      <c r="W71" s="6">
        <f>[1]Emissions!V822</f>
        <v>3.5377940300000001E-2</v>
      </c>
      <c r="X71" s="6">
        <f>[1]Emissions!W822</f>
        <v>3.5828744400000001E-2</v>
      </c>
      <c r="Y71" s="6">
        <f>[1]Emissions!X822</f>
        <v>3.6286537299999998E-2</v>
      </c>
      <c r="Z71" s="6">
        <f>[1]Emissions!Y822</f>
        <v>3.67512932E-2</v>
      </c>
      <c r="AA71" s="6">
        <f>[1]Emissions!Z822</f>
        <v>3.7223273000000001E-2</v>
      </c>
      <c r="AB71" s="6">
        <f>[1]Emissions!AA822</f>
        <v>3.7612732900000001E-2</v>
      </c>
      <c r="AC71" s="6">
        <f>[1]Emissions!AB822</f>
        <v>3.8046992299999999E-2</v>
      </c>
      <c r="AD71" s="6">
        <f>[1]Emissions!AC822</f>
        <v>3.8487739E-2</v>
      </c>
      <c r="AE71" s="6">
        <f>[1]Emissions!AD822</f>
        <v>3.8935483799999997E-2</v>
      </c>
      <c r="AF71" s="6">
        <f>[1]Emissions!AE822</f>
        <v>3.9390799099999999E-2</v>
      </c>
      <c r="AG71" s="6">
        <f>[1]Emissions!AF822</f>
        <v>3.9854170199999997E-2</v>
      </c>
      <c r="AH71" s="6">
        <f>[1]Emissions!AG822</f>
        <v>4.0325953999999997E-2</v>
      </c>
      <c r="AI71" s="6">
        <f>[1]Emissions!AH822</f>
        <v>4.0806378400000003E-2</v>
      </c>
      <c r="AJ71" s="6">
        <f>[1]Emissions!AI822</f>
        <v>4.1295559000000003E-2</v>
      </c>
      <c r="AK71" s="6">
        <f>[1]Emissions!AJ822</f>
        <v>4.1793522700000002E-2</v>
      </c>
      <c r="AL71" s="6">
        <f>[1]Emissions!AK822</f>
        <v>4.2300233100000001E-2</v>
      </c>
      <c r="AM71" s="6">
        <f>[1]Emissions!AL822</f>
        <v>4.2794136099999998E-2</v>
      </c>
      <c r="AN71" s="6">
        <f>[1]Emissions!AM822</f>
        <v>4.3293988800000002E-2</v>
      </c>
      <c r="AO71" s="6">
        <f>[1]Emissions!AN822</f>
        <v>4.3800483299999998E-2</v>
      </c>
      <c r="AP71" s="6">
        <f>[1]Emissions!AO822</f>
        <v>4.43140136E-2</v>
      </c>
      <c r="AQ71" s="6">
        <f>[1]Emissions!AP822</f>
        <v>4.4834860999999997E-2</v>
      </c>
      <c r="AR71" s="6">
        <f>[1]Emissions!AQ822</f>
        <v>4.5383863199999999E-2</v>
      </c>
      <c r="AS71" s="6">
        <f>[1]Emissions!AR822</f>
        <v>4.5956966600000003E-2</v>
      </c>
      <c r="AT71" s="6">
        <f>[1]Emissions!AS822</f>
        <v>4.6550630500000002E-2</v>
      </c>
      <c r="AU71" s="6">
        <f>[1]Emissions!AT822</f>
        <v>4.7162139999999998E-2</v>
      </c>
      <c r="AV71" s="6">
        <f>[1]Emissions!AU822</f>
        <v>4.77896009E-2</v>
      </c>
      <c r="AW71" s="6">
        <f>[1]Emissions!AV822</f>
        <v>4.8433728199999998E-2</v>
      </c>
      <c r="AX71" s="6">
        <f>[1]Emissions!AW822</f>
        <v>4.9092104800000001E-2</v>
      </c>
      <c r="AY71" s="6">
        <f>[1]Emissions!AX822</f>
        <v>4.9764288900000002E-2</v>
      </c>
      <c r="AZ71" s="6">
        <f>[1]Emissions!AY822</f>
        <v>5.0450080799999998E-2</v>
      </c>
      <c r="BA71" s="6">
        <f>[1]Emissions!AZ822</f>
        <v>5.1149422200000003E-2</v>
      </c>
      <c r="BB71" s="6">
        <f>[1]Emissions!BA822</f>
        <v>6.0566186100000002E-2</v>
      </c>
      <c r="BC71" s="6">
        <f>[1]Emissions!BB822</f>
        <v>6.1565169099999997E-2</v>
      </c>
      <c r="BD71" s="6">
        <f>[1]Emissions!BC822</f>
        <v>6.25808957E-2</v>
      </c>
      <c r="BE71" s="6">
        <f>[1]Emissions!BD822</f>
        <v>6.3613768000000001E-2</v>
      </c>
      <c r="BF71" s="6">
        <f>[1]Emissions!BE822</f>
        <v>6.4664205099999997E-2</v>
      </c>
    </row>
    <row r="72" spans="1:58" x14ac:dyDescent="0.35">
      <c r="A72" s="11"/>
      <c r="B72" t="s">
        <v>52</v>
      </c>
      <c r="C72" s="6">
        <f>[1]Emissions!B823</f>
        <v>15.25271081</v>
      </c>
      <c r="D72" s="6">
        <f>[1]Emissions!C823</f>
        <v>15.45541017</v>
      </c>
      <c r="E72" s="6">
        <f>[1]Emissions!D823</f>
        <v>15.67703253</v>
      </c>
      <c r="F72" s="6">
        <f>[1]Emissions!E823</f>
        <v>15.91371751</v>
      </c>
      <c r="G72" s="6">
        <f>[1]Emissions!F823</f>
        <v>16.164096619999999</v>
      </c>
      <c r="H72" s="6">
        <f>[1]Emissions!G823</f>
        <v>16.427052939999999</v>
      </c>
      <c r="I72" s="6">
        <f>[1]Emissions!H823</f>
        <v>16.692083520000001</v>
      </c>
      <c r="J72" s="6">
        <f>[1]Emissions!I823</f>
        <v>16.963682309999999</v>
      </c>
      <c r="K72" s="6">
        <f>[1]Emissions!J823</f>
        <v>17.242341740000001</v>
      </c>
      <c r="L72" s="6">
        <f>[1]Emissions!K823</f>
        <v>17.527903989999999</v>
      </c>
      <c r="M72" s="6">
        <f>[1]Emissions!L823</f>
        <v>17.836641910000001</v>
      </c>
      <c r="N72" s="6">
        <f>[1]Emissions!M823</f>
        <v>18.142067959999999</v>
      </c>
      <c r="O72" s="6">
        <f>[1]Emissions!N823</f>
        <v>18.45128858</v>
      </c>
      <c r="P72" s="6">
        <f>[1]Emissions!O823</f>
        <v>18.765454009999999</v>
      </c>
      <c r="Q72" s="6">
        <f>[1]Emissions!P823</f>
        <v>19.084766550000001</v>
      </c>
      <c r="R72" s="6">
        <f>[1]Emissions!Q823</f>
        <v>19.409290989999999</v>
      </c>
      <c r="S72" s="6">
        <f>[1]Emissions!R823</f>
        <v>19.739100270000002</v>
      </c>
      <c r="T72" s="6">
        <f>[1]Emissions!S823</f>
        <v>20.074296319999998</v>
      </c>
      <c r="U72" s="6">
        <f>[1]Emissions!T823</f>
        <v>20.41500241</v>
      </c>
      <c r="V72" s="6">
        <f>[1]Emissions!U823</f>
        <v>20.761350220000001</v>
      </c>
      <c r="W72" s="6">
        <f>[1]Emissions!V823</f>
        <v>21.101075949999998</v>
      </c>
      <c r="X72" s="6">
        <f>[1]Emissions!W823</f>
        <v>21.453914430000001</v>
      </c>
      <c r="Y72" s="6">
        <f>[1]Emissions!X823</f>
        <v>21.814525740000001</v>
      </c>
      <c r="Z72" s="6">
        <f>[1]Emissions!Y823</f>
        <v>22.182022530000001</v>
      </c>
      <c r="AA72" s="6">
        <f>[1]Emissions!Z823</f>
        <v>22.55623426</v>
      </c>
      <c r="AB72" s="6">
        <f>[1]Emissions!AA823</f>
        <v>22.901106890000001</v>
      </c>
      <c r="AC72" s="6">
        <f>[1]Emissions!AB823</f>
        <v>23.256372809999998</v>
      </c>
      <c r="AD72" s="6">
        <f>[1]Emissions!AC823</f>
        <v>23.61590661</v>
      </c>
      <c r="AE72" s="6">
        <f>[1]Emissions!AD823</f>
        <v>23.979161730000001</v>
      </c>
      <c r="AF72" s="6">
        <f>[1]Emissions!AE823</f>
        <v>24.346393030000002</v>
      </c>
      <c r="AG72" s="6">
        <f>[1]Emissions!AF823</f>
        <v>24.717907060000002</v>
      </c>
      <c r="AH72" s="6">
        <f>[1]Emissions!AG823</f>
        <v>25.093926069999998</v>
      </c>
      <c r="AI72" s="6">
        <f>[1]Emissions!AH823</f>
        <v>25.474566329999998</v>
      </c>
      <c r="AJ72" s="6">
        <f>[1]Emissions!AI823</f>
        <v>25.859848320000001</v>
      </c>
      <c r="AK72" s="6">
        <f>[1]Emissions!AJ823</f>
        <v>26.249718720000001</v>
      </c>
      <c r="AL72" s="6">
        <f>[1]Emissions!AK823</f>
        <v>26.64407533</v>
      </c>
      <c r="AM72" s="6">
        <f>[1]Emissions!AL823</f>
        <v>27.0339749</v>
      </c>
      <c r="AN72" s="6">
        <f>[1]Emissions!AM823</f>
        <v>27.424264950000001</v>
      </c>
      <c r="AO72" s="6">
        <f>[1]Emissions!AN823</f>
        <v>27.816019650000001</v>
      </c>
      <c r="AP72" s="6">
        <f>[1]Emissions!AO823</f>
        <v>28.209660240000002</v>
      </c>
      <c r="AQ72" s="6">
        <f>[1]Emissions!AP823</f>
        <v>28.60547163</v>
      </c>
      <c r="AR72" s="6">
        <f>[1]Emissions!AQ823</f>
        <v>29.0045766</v>
      </c>
      <c r="AS72" s="6">
        <f>[1]Emissions!AR823</f>
        <v>29.407860280000001</v>
      </c>
      <c r="AT72" s="6">
        <f>[1]Emissions!AS823</f>
        <v>29.81565471</v>
      </c>
      <c r="AU72" s="6">
        <f>[1]Emissions!AT823</f>
        <v>30.227903009999999</v>
      </c>
      <c r="AV72" s="6">
        <f>[1]Emissions!AU823</f>
        <v>30.644395159999998</v>
      </c>
      <c r="AW72" s="6">
        <f>[1]Emissions!AV823</f>
        <v>31.065732440000001</v>
      </c>
      <c r="AX72" s="6">
        <f>[1]Emissions!AW823</f>
        <v>31.49132835</v>
      </c>
      <c r="AY72" s="6">
        <f>[1]Emissions!AX823</f>
        <v>31.921023760000001</v>
      </c>
      <c r="AZ72" s="6">
        <f>[1]Emissions!AY823</f>
        <v>32.35478586</v>
      </c>
      <c r="BA72" s="6">
        <f>[1]Emissions!AZ823</f>
        <v>32.792639659999999</v>
      </c>
      <c r="BB72" s="6">
        <f>[1]Emissions!BA823</f>
        <v>35.991009220000002</v>
      </c>
      <c r="BC72" s="6">
        <f>[1]Emissions!BB823</f>
        <v>36.627511069999997</v>
      </c>
      <c r="BD72" s="6">
        <f>[1]Emissions!BC823</f>
        <v>37.272521689999998</v>
      </c>
      <c r="BE72" s="6">
        <f>[1]Emissions!BD823</f>
        <v>37.926061699999998</v>
      </c>
      <c r="BF72" s="6">
        <f>[1]Emissions!BE823</f>
        <v>38.588168609999997</v>
      </c>
    </row>
    <row r="73" spans="1:58" x14ac:dyDescent="0.35">
      <c r="A73" s="11"/>
      <c r="B73" t="str">
        <f>B65</f>
        <v>NZ50</v>
      </c>
      <c r="C73" s="6">
        <f>[1]Emissions!B825</f>
        <v>350.6921534</v>
      </c>
      <c r="D73" s="6">
        <f>[1]Emissions!C825</f>
        <v>353.17647749999998</v>
      </c>
      <c r="E73" s="6">
        <f>[1]Emissions!D825</f>
        <v>355.43311349999999</v>
      </c>
      <c r="F73" s="6">
        <f>[1]Emissions!E825</f>
        <v>357.93835089999999</v>
      </c>
      <c r="G73" s="6">
        <f>[1]Emissions!F825</f>
        <v>360.83368860000002</v>
      </c>
      <c r="H73" s="6">
        <f>[1]Emissions!G825</f>
        <v>364.12183900000002</v>
      </c>
      <c r="I73" s="6">
        <f>[1]Emissions!H825</f>
        <v>367.57326410000002</v>
      </c>
      <c r="J73" s="6">
        <f>[1]Emissions!I825</f>
        <v>371.22865849999999</v>
      </c>
      <c r="K73" s="6">
        <f>[1]Emissions!J825</f>
        <v>375.06435759999999</v>
      </c>
      <c r="L73" s="6">
        <f>[1]Emissions!K825</f>
        <v>379.05178999999998</v>
      </c>
      <c r="M73" s="6">
        <f>[1]Emissions!L825</f>
        <v>383.48061380000001</v>
      </c>
      <c r="N73" s="6">
        <f>[1]Emissions!M825</f>
        <v>387.84519499999999</v>
      </c>
      <c r="O73" s="6">
        <f>[1]Emissions!N825</f>
        <v>392.25953129999999</v>
      </c>
      <c r="P73" s="6">
        <f>[1]Emissions!O825</f>
        <v>396.7427017</v>
      </c>
      <c r="Q73" s="6">
        <f>[1]Emissions!P825</f>
        <v>401.29586740000002</v>
      </c>
      <c r="R73" s="6">
        <f>[1]Emissions!Q825</f>
        <v>405.91699690000002</v>
      </c>
      <c r="S73" s="6">
        <f>[1]Emissions!R825</f>
        <v>410.60518500000001</v>
      </c>
      <c r="T73" s="6">
        <f>[1]Emissions!S825</f>
        <v>415.35792759999998</v>
      </c>
      <c r="U73" s="6">
        <f>[1]Emissions!T825</f>
        <v>420.1741677</v>
      </c>
      <c r="V73" s="6">
        <f>[1]Emissions!U825</f>
        <v>425.05348570000001</v>
      </c>
      <c r="W73" s="6">
        <f>[1]Emissions!V825</f>
        <v>429.76656639999999</v>
      </c>
      <c r="X73" s="6">
        <f>[1]Emissions!W825</f>
        <v>434.67273719999997</v>
      </c>
      <c r="Y73" s="6">
        <f>[1]Emissions!X825</f>
        <v>439.67928519999998</v>
      </c>
      <c r="Z73" s="6">
        <f>[1]Emissions!Y825</f>
        <v>444.76652589999998</v>
      </c>
      <c r="AA73" s="6">
        <f>[1]Emissions!Z825</f>
        <v>449.92931870000001</v>
      </c>
      <c r="AB73" s="6">
        <f>[1]Emissions!AA825</f>
        <v>454.50701679999997</v>
      </c>
      <c r="AC73" s="6">
        <f>[1]Emissions!AB825</f>
        <v>459.2171027</v>
      </c>
      <c r="AD73" s="6">
        <f>[1]Emissions!AC825</f>
        <v>463.96506169999998</v>
      </c>
      <c r="AE73" s="6">
        <f>[1]Emissions!AD825</f>
        <v>468.74201540000001</v>
      </c>
      <c r="AF73" s="6">
        <f>[1]Emissions!AE825</f>
        <v>473.55425639999999</v>
      </c>
      <c r="AG73" s="6">
        <f>[1]Emissions!AF825</f>
        <v>478.4099769</v>
      </c>
      <c r="AH73" s="6">
        <f>[1]Emissions!AG825</f>
        <v>483.31618209999999</v>
      </c>
      <c r="AI73" s="6">
        <f>[1]Emissions!AH825</f>
        <v>488.2791876</v>
      </c>
      <c r="AJ73" s="6">
        <f>[1]Emissions!AI825</f>
        <v>493.30372849999998</v>
      </c>
      <c r="AK73" s="6">
        <f>[1]Emissions!AJ825</f>
        <v>498.393305</v>
      </c>
      <c r="AL73" s="6">
        <f>[1]Emissions!AK825</f>
        <v>503.55042570000001</v>
      </c>
      <c r="AM73" s="6">
        <f>[1]Emissions!AL825</f>
        <v>508.616038</v>
      </c>
      <c r="AN73" s="6">
        <f>[1]Emissions!AM825</f>
        <v>513.68143780000003</v>
      </c>
      <c r="AO73" s="6">
        <f>[1]Emissions!AN825</f>
        <v>518.77212750000001</v>
      </c>
      <c r="AP73" s="6">
        <f>[1]Emissions!AO825</f>
        <v>523.89975589999995</v>
      </c>
      <c r="AQ73" s="6">
        <f>[1]Emissions!AP825</f>
        <v>529.07220640000003</v>
      </c>
      <c r="AR73" s="6">
        <f>[1]Emissions!AQ825</f>
        <v>534.29511000000002</v>
      </c>
      <c r="AS73" s="6">
        <f>[1]Emissions!AR825</f>
        <v>539.57402209999998</v>
      </c>
      <c r="AT73" s="6">
        <f>[1]Emissions!AS825</f>
        <v>544.91316189999998</v>
      </c>
      <c r="AU73" s="6">
        <f>[1]Emissions!AT825</f>
        <v>550.3158224</v>
      </c>
      <c r="AV73" s="6">
        <f>[1]Emissions!AU825</f>
        <v>555.78454699999998</v>
      </c>
      <c r="AW73" s="6">
        <f>[1]Emissions!AV825</f>
        <v>561.2919594</v>
      </c>
      <c r="AX73" s="6">
        <f>[1]Emissions!AW825</f>
        <v>566.84301900000003</v>
      </c>
      <c r="AY73" s="6">
        <f>[1]Emissions!AX825</f>
        <v>572.45501390000004</v>
      </c>
      <c r="AZ73" s="6">
        <f>[1]Emissions!AY825</f>
        <v>578.14346850000004</v>
      </c>
      <c r="BA73" s="6">
        <f>[1]Emissions!AZ825</f>
        <v>583.91934370000001</v>
      </c>
      <c r="BB73" s="6">
        <f>[1]Emissions!BA825</f>
        <v>638.12864630000001</v>
      </c>
      <c r="BC73" s="6">
        <f>[1]Emissions!BB825</f>
        <v>646.94552759999999</v>
      </c>
      <c r="BD73" s="6">
        <f>[1]Emissions!BC825</f>
        <v>655.8961663</v>
      </c>
      <c r="BE73" s="6">
        <f>[1]Emissions!BD825</f>
        <v>664.98381870000003</v>
      </c>
      <c r="BF73" s="6">
        <f>[1]Emissions!BE825</f>
        <v>674.21214689999999</v>
      </c>
    </row>
    <row r="74" spans="1:58" x14ac:dyDescent="0.35">
      <c r="A74" s="8"/>
      <c r="B74" t="s">
        <v>25</v>
      </c>
      <c r="C74" s="6">
        <f>[1]Emissions!B829</f>
        <v>119.490486</v>
      </c>
      <c r="D74" s="6">
        <f>[1]Emissions!C829</f>
        <v>119.3006738</v>
      </c>
      <c r="E74" s="6">
        <f>[1]Emissions!D829</f>
        <v>118.76787950000001</v>
      </c>
      <c r="F74" s="6">
        <f>[1]Emissions!E829</f>
        <v>118.3080059</v>
      </c>
      <c r="G74" s="6">
        <f>[1]Emissions!F829</f>
        <v>118.0282296</v>
      </c>
      <c r="H74" s="6">
        <f>[1]Emissions!G829</f>
        <v>117.9279559</v>
      </c>
      <c r="I74" s="6">
        <f>[1]Emissions!H829</f>
        <v>117.9438366</v>
      </c>
      <c r="J74" s="6">
        <f>[1]Emissions!I829</f>
        <v>118.04761809999999</v>
      </c>
      <c r="K74" s="6">
        <f>[1]Emissions!J829</f>
        <v>118.2128721</v>
      </c>
      <c r="L74" s="6">
        <f>[1]Emissions!K829</f>
        <v>118.419524</v>
      </c>
      <c r="M74" s="6">
        <f>[1]Emissions!L829</f>
        <v>118.69958010000001</v>
      </c>
      <c r="N74" s="6">
        <f>[1]Emissions!M829</f>
        <v>118.97888829999999</v>
      </c>
      <c r="O74" s="6">
        <f>[1]Emissions!N829</f>
        <v>119.26216169999999</v>
      </c>
      <c r="P74" s="6">
        <f>[1]Emissions!O829</f>
        <v>119.55062719999999</v>
      </c>
      <c r="Q74" s="6">
        <f>[1]Emissions!P829</f>
        <v>119.8441222</v>
      </c>
      <c r="R74" s="6">
        <f>[1]Emissions!Q829</f>
        <v>120.1420114</v>
      </c>
      <c r="S74" s="6">
        <f>[1]Emissions!R829</f>
        <v>120.4436621</v>
      </c>
      <c r="T74" s="6">
        <f>[1]Emissions!S829</f>
        <v>120.7486749</v>
      </c>
      <c r="U74" s="6">
        <f>[1]Emissions!T829</f>
        <v>121.05695710000001</v>
      </c>
      <c r="V74" s="6">
        <f>[1]Emissions!U829</f>
        <v>121.36860470000001</v>
      </c>
      <c r="W74" s="6">
        <f>[1]Emissions!V829</f>
        <v>121.6532395</v>
      </c>
      <c r="X74" s="6">
        <f>[1]Emissions!W829</f>
        <v>121.9545553</v>
      </c>
      <c r="Y74" s="6">
        <f>[1]Emissions!X829</f>
        <v>122.2660085</v>
      </c>
      <c r="Z74" s="6">
        <f>[1]Emissions!Y829</f>
        <v>122.5844795</v>
      </c>
      <c r="AA74" s="6">
        <f>[1]Emissions!Z829</f>
        <v>122.9083267</v>
      </c>
      <c r="AB74" s="6">
        <f>[1]Emissions!AA829</f>
        <v>123.15274479999999</v>
      </c>
      <c r="AC74" s="6">
        <f>[1]Emissions!AB829</f>
        <v>123.39661030000001</v>
      </c>
      <c r="AD74" s="6">
        <f>[1]Emissions!AC829</f>
        <v>123.6378278</v>
      </c>
      <c r="AE74" s="6">
        <f>[1]Emissions!AD829</f>
        <v>123.8758124</v>
      </c>
      <c r="AF74" s="6">
        <f>[1]Emissions!AE829</f>
        <v>124.1107698</v>
      </c>
      <c r="AG74" s="6">
        <f>[1]Emissions!AF829</f>
        <v>124.3432402</v>
      </c>
      <c r="AH74" s="6">
        <f>[1]Emissions!AG829</f>
        <v>124.57383040000001</v>
      </c>
      <c r="AI74" s="6">
        <f>[1]Emissions!AH829</f>
        <v>124.8031299</v>
      </c>
      <c r="AJ74" s="6">
        <f>[1]Emissions!AI829</f>
        <v>125.0316517</v>
      </c>
      <c r="AK74" s="6">
        <f>[1]Emissions!AJ829</f>
        <v>125.25982879999999</v>
      </c>
      <c r="AL74" s="6">
        <f>[1]Emissions!AK829</f>
        <v>125.48803220000001</v>
      </c>
      <c r="AM74" s="6">
        <f>[1]Emissions!AL829</f>
        <v>125.6984217</v>
      </c>
      <c r="AN74" s="6">
        <f>[1]Emissions!AM829</f>
        <v>125.89881269999999</v>
      </c>
      <c r="AO74" s="6">
        <f>[1]Emissions!AN829</f>
        <v>126.0932596</v>
      </c>
      <c r="AP74" s="6">
        <f>[1]Emissions!AO829</f>
        <v>126.28406940000001</v>
      </c>
      <c r="AQ74" s="6">
        <f>[1]Emissions!AP829</f>
        <v>126.4727455</v>
      </c>
      <c r="AR74" s="6">
        <f>[1]Emissions!AQ829</f>
        <v>126.66037040000001</v>
      </c>
      <c r="AS74" s="6">
        <f>[1]Emissions!AR829</f>
        <v>126.84783640000001</v>
      </c>
      <c r="AT74" s="6">
        <f>[1]Emissions!AS829</f>
        <v>127.0358651</v>
      </c>
      <c r="AU74" s="6">
        <f>[1]Emissions!AT829</f>
        <v>127.22501920000001</v>
      </c>
      <c r="AV74" s="6">
        <f>[1]Emissions!AU829</f>
        <v>127.41571519999999</v>
      </c>
      <c r="AW74" s="6">
        <f>[1]Emissions!AV829</f>
        <v>127.6076758</v>
      </c>
      <c r="AX74" s="6">
        <f>[1]Emissions!AW829</f>
        <v>127.7999143</v>
      </c>
      <c r="AY74" s="6">
        <f>[1]Emissions!AX829</f>
        <v>127.99182620000001</v>
      </c>
      <c r="AZ74" s="6">
        <f>[1]Emissions!AY829</f>
        <v>128.18290759999999</v>
      </c>
      <c r="BA74" s="6">
        <f>[1]Emissions!AZ829</f>
        <v>128.37283830000001</v>
      </c>
      <c r="BB74" s="6">
        <f>[1]Emissions!BA829</f>
        <v>126.47587660000001</v>
      </c>
      <c r="BC74" s="6">
        <f>[1]Emissions!BB829</f>
        <v>126.845287</v>
      </c>
      <c r="BD74" s="6">
        <f>[1]Emissions!BC829</f>
        <v>127.2240729</v>
      </c>
      <c r="BE74" s="6">
        <f>[1]Emissions!BD829</f>
        <v>127.6125328</v>
      </c>
      <c r="BF74" s="6">
        <f>[1]Emissions!BE829</f>
        <v>128.01129209999999</v>
      </c>
    </row>
    <row r="75" spans="1:58" x14ac:dyDescent="0.35">
      <c r="A75" s="8"/>
      <c r="B75" t="s">
        <v>26</v>
      </c>
      <c r="C75" s="6">
        <f>SUM(C76:C78)</f>
        <v>231.20166742309999</v>
      </c>
      <c r="D75" s="6">
        <f t="shared" ref="D75:AL75" si="47">SUM(D76:D78)</f>
        <v>233.87580380349999</v>
      </c>
      <c r="E75" s="6">
        <f t="shared" si="47"/>
        <v>236.66523389450003</v>
      </c>
      <c r="F75" s="6">
        <f t="shared" si="47"/>
        <v>239.63034498030001</v>
      </c>
      <c r="G75" s="6">
        <f t="shared" si="47"/>
        <v>242.80545899149999</v>
      </c>
      <c r="H75" s="6">
        <f t="shared" si="47"/>
        <v>246.1938830624</v>
      </c>
      <c r="I75" s="6">
        <f t="shared" si="47"/>
        <v>249.62942753460001</v>
      </c>
      <c r="J75" s="6">
        <f t="shared" si="47"/>
        <v>253.18104039359997</v>
      </c>
      <c r="K75" s="6">
        <f t="shared" si="47"/>
        <v>256.85148549590002</v>
      </c>
      <c r="L75" s="6">
        <f t="shared" si="47"/>
        <v>260.63226605839998</v>
      </c>
      <c r="M75" s="6">
        <f t="shared" si="47"/>
        <v>264.78103372520002</v>
      </c>
      <c r="N75" s="6">
        <f t="shared" si="47"/>
        <v>268.866306683</v>
      </c>
      <c r="O75" s="6">
        <f t="shared" si="47"/>
        <v>272.99736963380002</v>
      </c>
      <c r="P75" s="6">
        <f t="shared" si="47"/>
        <v>277.19207452520004</v>
      </c>
      <c r="Q75" s="6">
        <f t="shared" si="47"/>
        <v>281.45174521669998</v>
      </c>
      <c r="R75" s="6">
        <f t="shared" si="47"/>
        <v>285.77498550539997</v>
      </c>
      <c r="S75" s="6">
        <f t="shared" si="47"/>
        <v>290.16152291669999</v>
      </c>
      <c r="T75" s="6">
        <f t="shared" si="47"/>
        <v>294.6092526539</v>
      </c>
      <c r="U75" s="6">
        <f t="shared" si="47"/>
        <v>299.11721060090002</v>
      </c>
      <c r="V75" s="6">
        <f t="shared" si="47"/>
        <v>303.68488100319996</v>
      </c>
      <c r="W75" s="6">
        <f t="shared" si="47"/>
        <v>308.11332683440003</v>
      </c>
      <c r="X75" s="6">
        <f t="shared" si="47"/>
        <v>312.71818184930004</v>
      </c>
      <c r="Y75" s="6">
        <f t="shared" si="47"/>
        <v>317.4132767186</v>
      </c>
      <c r="Z75" s="6">
        <f t="shared" si="47"/>
        <v>322.18204638640003</v>
      </c>
      <c r="AA75" s="6">
        <f t="shared" si="47"/>
        <v>327.02099200229998</v>
      </c>
      <c r="AB75" s="6">
        <f t="shared" si="47"/>
        <v>331.35427204159998</v>
      </c>
      <c r="AC75" s="6">
        <f t="shared" si="47"/>
        <v>335.82049241499999</v>
      </c>
      <c r="AD75" s="6">
        <f t="shared" si="47"/>
        <v>340.3272338868</v>
      </c>
      <c r="AE75" s="6">
        <f t="shared" si="47"/>
        <v>344.86620295810002</v>
      </c>
      <c r="AF75" s="6">
        <f t="shared" si="47"/>
        <v>349.44348660190002</v>
      </c>
      <c r="AG75" s="6">
        <f t="shared" si="47"/>
        <v>354.0667367227</v>
      </c>
      <c r="AH75" s="6">
        <f t="shared" si="47"/>
        <v>358.7423517098</v>
      </c>
      <c r="AI75" s="6">
        <f t="shared" si="47"/>
        <v>363.47605766599997</v>
      </c>
      <c r="AJ75" s="6">
        <f t="shared" si="47"/>
        <v>368.27207686819997</v>
      </c>
      <c r="AK75" s="6">
        <f t="shared" si="47"/>
        <v>373.13347625939997</v>
      </c>
      <c r="AL75" s="6">
        <f t="shared" si="47"/>
        <v>378.06239359239999</v>
      </c>
      <c r="AM75" s="6">
        <f t="shared" ref="AM75:BC75" si="48">SUM(AM76:AM78)</f>
        <v>382.91761628860002</v>
      </c>
      <c r="AN75" s="6">
        <f t="shared" si="48"/>
        <v>387.78262516770002</v>
      </c>
      <c r="AO75" s="6">
        <f t="shared" si="48"/>
        <v>392.67886779570006</v>
      </c>
      <c r="AP75" s="6">
        <f t="shared" si="48"/>
        <v>397.61568644190004</v>
      </c>
      <c r="AQ75" s="6">
        <f t="shared" si="48"/>
        <v>402.59946089330003</v>
      </c>
      <c r="AR75" s="6">
        <f t="shared" si="48"/>
        <v>407.63473957660005</v>
      </c>
      <c r="AS75" s="6">
        <f t="shared" si="48"/>
        <v>412.72618571689998</v>
      </c>
      <c r="AT75" s="6">
        <f t="shared" si="48"/>
        <v>417.87729686629996</v>
      </c>
      <c r="AU75" s="6">
        <f t="shared" si="48"/>
        <v>423.09080313659996</v>
      </c>
      <c r="AV75" s="6">
        <f t="shared" si="48"/>
        <v>428.36883170900001</v>
      </c>
      <c r="AW75" s="6">
        <f t="shared" si="48"/>
        <v>433.68428361540003</v>
      </c>
      <c r="AX75" s="6">
        <f t="shared" si="48"/>
        <v>439.04310472930001</v>
      </c>
      <c r="AY75" s="6">
        <f t="shared" si="48"/>
        <v>444.46318774659994</v>
      </c>
      <c r="AZ75" s="6">
        <f t="shared" si="48"/>
        <v>449.96056097229996</v>
      </c>
      <c r="BA75" s="6">
        <f t="shared" si="48"/>
        <v>455.54650538010003</v>
      </c>
      <c r="BB75" s="6">
        <f t="shared" si="48"/>
        <v>511.65276973030001</v>
      </c>
      <c r="BC75" s="6">
        <f t="shared" si="48"/>
        <v>520.10024065540006</v>
      </c>
      <c r="BD75" s="6">
        <f t="shared" ref="BD75:BF75" si="49">SUM(BD76:BD78)</f>
        <v>528.67209333389997</v>
      </c>
      <c r="BE75" s="6">
        <f t="shared" si="49"/>
        <v>537.37128591229998</v>
      </c>
      <c r="BF75" s="6">
        <f t="shared" si="49"/>
        <v>546.20085474270002</v>
      </c>
    </row>
    <row r="76" spans="1:58" x14ac:dyDescent="0.35">
      <c r="A76" s="8"/>
      <c r="B76" t="s">
        <v>50</v>
      </c>
      <c r="C76" s="5">
        <f>[1]Emissions!B826</f>
        <v>215.92163740000001</v>
      </c>
      <c r="D76" s="5">
        <f>[1]Emissions!C826</f>
        <v>218.39352439999999</v>
      </c>
      <c r="E76" s="5">
        <f>[1]Emissions!D826</f>
        <v>220.96177080000001</v>
      </c>
      <c r="F76" s="5">
        <f>[1]Emissions!E826</f>
        <v>223.6905386</v>
      </c>
      <c r="G76" s="5">
        <f>[1]Emissions!F826</f>
        <v>226.61559700000001</v>
      </c>
      <c r="H76" s="5">
        <f>[1]Emissions!G826</f>
        <v>229.7414886</v>
      </c>
      <c r="I76" s="5">
        <f>[1]Emissions!H826</f>
        <v>232.9126057</v>
      </c>
      <c r="J76" s="5">
        <f>[1]Emissions!I826</f>
        <v>236.19339299999999</v>
      </c>
      <c r="K76" s="5">
        <f>[1]Emissions!J826</f>
        <v>239.58610419999999</v>
      </c>
      <c r="L76" s="5">
        <f>[1]Emissions!K826</f>
        <v>243.08237030000001</v>
      </c>
      <c r="M76" s="5">
        <f>[1]Emissions!L826</f>
        <v>246.92350429999999</v>
      </c>
      <c r="N76" s="5">
        <f>[1]Emissions!M826</f>
        <v>250.70455860000001</v>
      </c>
      <c r="O76" s="5">
        <f>[1]Emissions!N826</f>
        <v>254.5276624</v>
      </c>
      <c r="P76" s="5">
        <f>[1]Emissions!O826</f>
        <v>258.4095102</v>
      </c>
      <c r="Q76" s="5">
        <f>[1]Emissions!P826</f>
        <v>262.35122100000001</v>
      </c>
      <c r="R76" s="5">
        <f>[1]Emissions!Q826</f>
        <v>266.35133239999999</v>
      </c>
      <c r="S76" s="5">
        <f>[1]Emissions!R826</f>
        <v>270.4094978</v>
      </c>
      <c r="T76" s="5">
        <f>[1]Emissions!S826</f>
        <v>274.5235113</v>
      </c>
      <c r="U76" s="5">
        <f>[1]Emissions!T826</f>
        <v>278.69228709999999</v>
      </c>
      <c r="V76" s="5">
        <f>[1]Emissions!U826</f>
        <v>282.91518009999999</v>
      </c>
      <c r="W76" s="5">
        <f>[1]Emissions!V826</f>
        <v>287.00553760000003</v>
      </c>
      <c r="X76" s="5">
        <f>[1]Emissions!W826</f>
        <v>291.25922150000002</v>
      </c>
      <c r="Y76" s="5">
        <f>[1]Emissions!X826</f>
        <v>295.59542770000002</v>
      </c>
      <c r="Z76" s="5">
        <f>[1]Emissions!Y826</f>
        <v>299.99847929999999</v>
      </c>
      <c r="AA76" s="5">
        <f>[1]Emissions!Z826</f>
        <v>304.46504829999998</v>
      </c>
      <c r="AB76" s="5">
        <f>[1]Emissions!AA826</f>
        <v>308.45538499999998</v>
      </c>
      <c r="AC76" s="5">
        <f>[1]Emissions!AB826</f>
        <v>312.56828339999998</v>
      </c>
      <c r="AD76" s="5">
        <f>[1]Emissions!AC826</f>
        <v>316.71748350000001</v>
      </c>
      <c r="AE76" s="5">
        <f>[1]Emissions!AD826</f>
        <v>320.89523509999998</v>
      </c>
      <c r="AF76" s="5">
        <f>[1]Emissions!AE826</f>
        <v>325.1073662</v>
      </c>
      <c r="AG76" s="5">
        <f>[1]Emissions!AF826</f>
        <v>329.36121789999999</v>
      </c>
      <c r="AH76" s="5">
        <f>[1]Emissions!AG826</f>
        <v>333.66296219999998</v>
      </c>
      <c r="AI76" s="5">
        <f>[1]Emissions!AH826</f>
        <v>338.01820509999999</v>
      </c>
      <c r="AJ76" s="5">
        <f>[1]Emissions!AI826</f>
        <v>342.43114500000001</v>
      </c>
      <c r="AK76" s="5">
        <f>[1]Emissions!AJ826</f>
        <v>346.90489919999999</v>
      </c>
      <c r="AL76" s="5">
        <f>[1]Emissions!AK826</f>
        <v>351.44170509999998</v>
      </c>
      <c r="AM76" s="5">
        <f>[1]Emissions!AL826</f>
        <v>355.90928910000002</v>
      </c>
      <c r="AN76" s="5">
        <f>[1]Emissions!AM826</f>
        <v>360.38626529999999</v>
      </c>
      <c r="AO76" s="5">
        <f>[1]Emissions!AN826</f>
        <v>364.89298960000002</v>
      </c>
      <c r="AP76" s="5">
        <f>[1]Emissions!AO826</f>
        <v>369.43836370000002</v>
      </c>
      <c r="AQ76" s="5">
        <f>[1]Emissions!AP826</f>
        <v>374.02847059999999</v>
      </c>
      <c r="AR76" s="5">
        <f>[1]Emissions!AQ826</f>
        <v>378.6676162</v>
      </c>
      <c r="AS76" s="5">
        <f>[1]Emissions!AR826</f>
        <v>383.36026129999999</v>
      </c>
      <c r="AT76" s="5">
        <f>[1]Emissions!AS826</f>
        <v>388.10973849999999</v>
      </c>
      <c r="AU76" s="5">
        <f>[1]Emissions!AT826</f>
        <v>392.91864609999999</v>
      </c>
      <c r="AV76" s="5">
        <f>[1]Emissions!AU826</f>
        <v>397.7890051</v>
      </c>
      <c r="AW76" s="5">
        <f>[1]Emissions!AV826</f>
        <v>402.6915047</v>
      </c>
      <c r="AX76" s="5">
        <f>[1]Emissions!AW826</f>
        <v>407.63150489999998</v>
      </c>
      <c r="AY76" s="5">
        <f>[1]Emissions!AX826</f>
        <v>412.62672859999998</v>
      </c>
      <c r="AZ76" s="5">
        <f>[1]Emissions!AY826</f>
        <v>417.69347019999998</v>
      </c>
      <c r="BA76" s="5">
        <f>[1]Emissions!AZ826</f>
        <v>422.84341260000002</v>
      </c>
      <c r="BB76" s="5">
        <f>[1]Emissions!BA826</f>
        <v>475.66387520000001</v>
      </c>
      <c r="BC76" s="5">
        <f>[1]Emissions!BB826</f>
        <v>483.47314180000001</v>
      </c>
      <c r="BD76" s="5">
        <f>[1]Emissions!BC826</f>
        <v>491.39786800000002</v>
      </c>
      <c r="BE76" s="5">
        <f>[1]Emissions!BD826</f>
        <v>499.44100100000003</v>
      </c>
      <c r="BF76" s="5">
        <f>[1]Emissions!BE826</f>
        <v>507.60555479999999</v>
      </c>
    </row>
    <row r="77" spans="1:58" x14ac:dyDescent="0.35">
      <c r="A77" s="8"/>
      <c r="B77" t="s">
        <v>51</v>
      </c>
      <c r="C77" s="5">
        <f>[1]Emissions!B827</f>
        <v>2.7535943100000002E-2</v>
      </c>
      <c r="D77" s="5">
        <f>[1]Emissions!C827</f>
        <v>2.7813553500000001E-2</v>
      </c>
      <c r="E77" s="5">
        <f>[1]Emissions!D827</f>
        <v>2.8107394500000001E-2</v>
      </c>
      <c r="F77" s="5">
        <f>[1]Emissions!E827</f>
        <v>2.8409860299999999E-2</v>
      </c>
      <c r="G77" s="5">
        <f>[1]Emissions!F827</f>
        <v>2.8726071499999999E-2</v>
      </c>
      <c r="H77" s="5">
        <f>[1]Emissions!G827</f>
        <v>2.90579524E-2</v>
      </c>
      <c r="I77" s="5">
        <f>[1]Emissions!H827</f>
        <v>2.93806146E-2</v>
      </c>
      <c r="J77" s="5">
        <f>[1]Emissions!I827</f>
        <v>2.9715003600000001E-2</v>
      </c>
      <c r="K77" s="5">
        <f>[1]Emissions!J827</f>
        <v>3.00609859E-2</v>
      </c>
      <c r="L77" s="5">
        <f>[1]Emissions!K827</f>
        <v>3.04176684E-2</v>
      </c>
      <c r="M77" s="5">
        <f>[1]Emissions!L827</f>
        <v>3.0826415199999999E-2</v>
      </c>
      <c r="N77" s="5">
        <f>[1]Emissions!M827</f>
        <v>3.1204442999999998E-2</v>
      </c>
      <c r="O77" s="5">
        <f>[1]Emissions!N827</f>
        <v>3.1587563800000003E-2</v>
      </c>
      <c r="P77" s="5">
        <f>[1]Emissions!O827</f>
        <v>3.1975495200000002E-2</v>
      </c>
      <c r="Q77" s="5">
        <f>[1]Emissions!P827</f>
        <v>3.2367706699999998E-2</v>
      </c>
      <c r="R77" s="5">
        <f>[1]Emissions!Q827</f>
        <v>3.2763725399999999E-2</v>
      </c>
      <c r="S77" s="5">
        <f>[1]Emissions!R827</f>
        <v>3.3161376700000002E-2</v>
      </c>
      <c r="T77" s="5">
        <f>[1]Emissions!S827</f>
        <v>3.3562443900000002E-2</v>
      </c>
      <c r="U77" s="5">
        <f>[1]Emissions!T827</f>
        <v>3.3966930899999997E-2</v>
      </c>
      <c r="V77" s="5">
        <f>[1]Emissions!U827</f>
        <v>3.4374993200000002E-2</v>
      </c>
      <c r="W77" s="5">
        <f>[1]Emissions!V827</f>
        <v>3.4756104400000001E-2</v>
      </c>
      <c r="X77" s="5">
        <f>[1]Emissions!W827</f>
        <v>3.5168629299999997E-2</v>
      </c>
      <c r="Y77" s="5">
        <f>[1]Emissions!X827</f>
        <v>3.55871486E-2</v>
      </c>
      <c r="Z77" s="5">
        <f>[1]Emissions!Y827</f>
        <v>3.6011576400000002E-2</v>
      </c>
      <c r="AA77" s="5">
        <f>[1]Emissions!Z827</f>
        <v>3.6442122299999997E-2</v>
      </c>
      <c r="AB77" s="5">
        <f>[1]Emissions!AA827</f>
        <v>3.6791251599999998E-2</v>
      </c>
      <c r="AC77" s="5">
        <f>[1]Emissions!AB827</f>
        <v>3.7184055000000001E-2</v>
      </c>
      <c r="AD77" s="5">
        <f>[1]Emissions!AC827</f>
        <v>3.7582216799999998E-2</v>
      </c>
      <c r="AE77" s="5">
        <f>[1]Emissions!AD827</f>
        <v>3.7986248100000002E-2</v>
      </c>
      <c r="AF77" s="5">
        <f>[1]Emissions!AE827</f>
        <v>3.83967219E-2</v>
      </c>
      <c r="AG77" s="5">
        <f>[1]Emissions!AF827</f>
        <v>3.8814122700000002E-2</v>
      </c>
      <c r="AH77" s="5">
        <f>[1]Emissions!AG827</f>
        <v>3.9239349799999997E-2</v>
      </c>
      <c r="AI77" s="5">
        <f>[1]Emissions!AH827</f>
        <v>3.9672065999999999E-2</v>
      </c>
      <c r="AJ77" s="5">
        <f>[1]Emissions!AI827</f>
        <v>4.0112388200000001E-2</v>
      </c>
      <c r="AK77" s="5">
        <f>[1]Emissions!AJ827</f>
        <v>4.0560339399999999E-2</v>
      </c>
      <c r="AL77" s="5">
        <f>[1]Emissions!AK827</f>
        <v>4.10158724E-2</v>
      </c>
      <c r="AM77" s="5">
        <f>[1]Emissions!AL827</f>
        <v>4.1463308599999998E-2</v>
      </c>
      <c r="AN77" s="5">
        <f>[1]Emissions!AM827</f>
        <v>4.1915417699999999E-2</v>
      </c>
      <c r="AO77" s="5">
        <f>[1]Emissions!AN827</f>
        <v>4.2372995699999999E-2</v>
      </c>
      <c r="AP77" s="5">
        <f>[1]Emissions!AO827</f>
        <v>4.2836511899999999E-2</v>
      </c>
      <c r="AQ77" s="5">
        <f>[1]Emissions!AP827</f>
        <v>4.3306283299999998E-2</v>
      </c>
      <c r="AR77" s="5">
        <f>[1]Emissions!AQ827</f>
        <v>4.3783406599999998E-2</v>
      </c>
      <c r="AS77" s="5">
        <f>[1]Emissions!AR827</f>
        <v>4.42671569E-2</v>
      </c>
      <c r="AT77" s="5">
        <f>[1]Emissions!AS827</f>
        <v>4.4757666299999999E-2</v>
      </c>
      <c r="AU77" s="5">
        <f>[1]Emissions!AT827</f>
        <v>4.5255026599999998E-2</v>
      </c>
      <c r="AV77" s="5">
        <f>[1]Emissions!AU827</f>
        <v>4.5759299000000003E-2</v>
      </c>
      <c r="AW77" s="5">
        <f>[1]Emissions!AV827</f>
        <v>4.6302995399999998E-2</v>
      </c>
      <c r="AX77" s="5">
        <f>[1]Emissions!AW827</f>
        <v>4.6876539299999999E-2</v>
      </c>
      <c r="AY77" s="5">
        <f>[1]Emissions!AX827</f>
        <v>4.7475276599999998E-2</v>
      </c>
      <c r="AZ77" s="5">
        <f>[1]Emissions!AY827</f>
        <v>4.8095442299999999E-2</v>
      </c>
      <c r="BA77" s="5">
        <f>[1]Emissions!AZ827</f>
        <v>4.8734300100000003E-2</v>
      </c>
      <c r="BB77" s="5">
        <f>[1]Emissions!BA827</f>
        <v>6.0330790299999999E-2</v>
      </c>
      <c r="BC77" s="5">
        <f>[1]Emissions!BB827</f>
        <v>6.1318025399999997E-2</v>
      </c>
      <c r="BD77" s="5">
        <f>[1]Emissions!BC827</f>
        <v>6.2321753899999999E-2</v>
      </c>
      <c r="BE77" s="5">
        <f>[1]Emissions!BD827</f>
        <v>6.3342322300000004E-2</v>
      </c>
      <c r="BF77" s="5">
        <f>[1]Emissions!BE827</f>
        <v>6.4380092700000002E-2</v>
      </c>
    </row>
    <row r="78" spans="1:58" x14ac:dyDescent="0.35">
      <c r="B78" t="s">
        <v>52</v>
      </c>
      <c r="C78" s="5">
        <f>[1]Emissions!B828</f>
        <v>15.25249408</v>
      </c>
      <c r="D78" s="5">
        <f>[1]Emissions!C828</f>
        <v>15.45446585</v>
      </c>
      <c r="E78" s="5">
        <f>[1]Emissions!D828</f>
        <v>15.675355700000001</v>
      </c>
      <c r="F78" s="5">
        <f>[1]Emissions!E828</f>
        <v>15.91139652</v>
      </c>
      <c r="G78" s="5">
        <f>[1]Emissions!F828</f>
        <v>16.16113592</v>
      </c>
      <c r="H78" s="5">
        <f>[1]Emissions!G828</f>
        <v>16.423336509999999</v>
      </c>
      <c r="I78" s="5">
        <f>[1]Emissions!H828</f>
        <v>16.68744122</v>
      </c>
      <c r="J78" s="5">
        <f>[1]Emissions!I828</f>
        <v>16.95793239</v>
      </c>
      <c r="K78" s="5">
        <f>[1]Emissions!J828</f>
        <v>17.235320309999999</v>
      </c>
      <c r="L78" s="5">
        <f>[1]Emissions!K828</f>
        <v>17.51947809</v>
      </c>
      <c r="M78" s="5">
        <f>[1]Emissions!L828</f>
        <v>17.826703009999999</v>
      </c>
      <c r="N78" s="5">
        <f>[1]Emissions!M828</f>
        <v>18.130543639999999</v>
      </c>
      <c r="O78" s="5">
        <f>[1]Emissions!N828</f>
        <v>18.438119669999999</v>
      </c>
      <c r="P78" s="5">
        <f>[1]Emissions!O828</f>
        <v>18.750588830000002</v>
      </c>
      <c r="Q78" s="5">
        <f>[1]Emissions!P828</f>
        <v>19.068156510000001</v>
      </c>
      <c r="R78" s="5">
        <f>[1]Emissions!Q828</f>
        <v>19.390889380000001</v>
      </c>
      <c r="S78" s="5">
        <f>[1]Emissions!R828</f>
        <v>19.71886374</v>
      </c>
      <c r="T78" s="5">
        <f>[1]Emissions!S828</f>
        <v>20.052178909999999</v>
      </c>
      <c r="U78" s="5">
        <f>[1]Emissions!T828</f>
        <v>20.39095657</v>
      </c>
      <c r="V78" s="5">
        <f>[1]Emissions!U828</f>
        <v>20.73532591</v>
      </c>
      <c r="W78" s="5">
        <f>[1]Emissions!V828</f>
        <v>21.073033129999999</v>
      </c>
      <c r="X78" s="5">
        <f>[1]Emissions!W828</f>
        <v>21.423791720000001</v>
      </c>
      <c r="Y78" s="5">
        <f>[1]Emissions!X828</f>
        <v>21.782261869999999</v>
      </c>
      <c r="Z78" s="5">
        <f>[1]Emissions!Y828</f>
        <v>22.14755551</v>
      </c>
      <c r="AA78" s="5">
        <f>[1]Emissions!Z828</f>
        <v>22.51950158</v>
      </c>
      <c r="AB78" s="5">
        <f>[1]Emissions!AA828</f>
        <v>22.862095790000001</v>
      </c>
      <c r="AC78" s="5">
        <f>[1]Emissions!AB828</f>
        <v>23.215024960000001</v>
      </c>
      <c r="AD78" s="5">
        <f>[1]Emissions!AC828</f>
        <v>23.572168170000001</v>
      </c>
      <c r="AE78" s="5">
        <f>[1]Emissions!AD828</f>
        <v>23.932981609999999</v>
      </c>
      <c r="AF78" s="5">
        <f>[1]Emissions!AE828</f>
        <v>24.297723680000001</v>
      </c>
      <c r="AG78" s="5">
        <f>[1]Emissions!AF828</f>
        <v>24.6667047</v>
      </c>
      <c r="AH78" s="5">
        <f>[1]Emissions!AG828</f>
        <v>25.04015016</v>
      </c>
      <c r="AI78" s="5">
        <f>[1]Emissions!AH828</f>
        <v>25.418180499999998</v>
      </c>
      <c r="AJ78" s="5">
        <f>[1]Emissions!AI828</f>
        <v>25.800819480000001</v>
      </c>
      <c r="AK78" s="5">
        <f>[1]Emissions!AJ828</f>
        <v>26.18801672</v>
      </c>
      <c r="AL78" s="5">
        <f>[1]Emissions!AK828</f>
        <v>26.57967262</v>
      </c>
      <c r="AM78" s="5">
        <f>[1]Emissions!AL828</f>
        <v>26.966863879999998</v>
      </c>
      <c r="AN78" s="5">
        <f>[1]Emissions!AM828</f>
        <v>27.354444449999999</v>
      </c>
      <c r="AO78" s="5">
        <f>[1]Emissions!AN828</f>
        <v>27.743505200000001</v>
      </c>
      <c r="AP78" s="5">
        <f>[1]Emissions!AO828</f>
        <v>28.13448623</v>
      </c>
      <c r="AQ78" s="5">
        <f>[1]Emissions!AP828</f>
        <v>28.527684010000002</v>
      </c>
      <c r="AR78" s="5">
        <f>[1]Emissions!AQ828</f>
        <v>28.923339970000001</v>
      </c>
      <c r="AS78" s="5">
        <f>[1]Emissions!AR828</f>
        <v>29.321657259999999</v>
      </c>
      <c r="AT78" s="5">
        <f>[1]Emissions!AS828</f>
        <v>29.722800700000001</v>
      </c>
      <c r="AU78" s="5">
        <f>[1]Emissions!AT828</f>
        <v>30.126902009999998</v>
      </c>
      <c r="AV78" s="5">
        <f>[1]Emissions!AU828</f>
        <v>30.534067310000001</v>
      </c>
      <c r="AW78" s="5">
        <f>[1]Emissions!AV828</f>
        <v>30.946475920000001</v>
      </c>
      <c r="AX78" s="5">
        <f>[1]Emissions!AW828</f>
        <v>31.364723290000001</v>
      </c>
      <c r="AY78" s="5">
        <f>[1]Emissions!AX828</f>
        <v>31.788983869999999</v>
      </c>
      <c r="AZ78" s="5">
        <f>[1]Emissions!AY828</f>
        <v>32.218995329999998</v>
      </c>
      <c r="BA78" s="5">
        <f>[1]Emissions!AZ828</f>
        <v>32.654358479999999</v>
      </c>
      <c r="BB78" s="5">
        <f>[1]Emissions!BA828</f>
        <v>35.928563740000001</v>
      </c>
      <c r="BC78" s="5">
        <f>[1]Emissions!BB828</f>
        <v>36.565780830000001</v>
      </c>
      <c r="BD78" s="5">
        <f>[1]Emissions!BC828</f>
        <v>37.211903579999998</v>
      </c>
      <c r="BE78" s="5">
        <f>[1]Emissions!BD828</f>
        <v>37.866942590000001</v>
      </c>
      <c r="BF78" s="5">
        <f>[1]Emissions!BE828</f>
        <v>38.530919849999997</v>
      </c>
    </row>
    <row r="79" spans="1:58" x14ac:dyDescent="0.35">
      <c r="B79" t="s">
        <v>13</v>
      </c>
      <c r="C79" s="6">
        <f>[1]Results!F1551</f>
        <v>1969388.1950000001</v>
      </c>
      <c r="D79" s="6">
        <f>[1]Results!G1551</f>
        <v>1994207.355</v>
      </c>
      <c r="E79" s="6">
        <f>[1]Results!H1551</f>
        <v>2021772.959</v>
      </c>
      <c r="F79" s="6">
        <f>[1]Results!I1551</f>
        <v>2051216.3330000001</v>
      </c>
      <c r="G79" s="6">
        <f>[1]Results!J1551</f>
        <v>2082473.956</v>
      </c>
      <c r="H79" s="6">
        <f>[1]Results!K1551</f>
        <v>2115417.858</v>
      </c>
      <c r="I79" s="6">
        <f>[1]Results!L1551</f>
        <v>2148440.66</v>
      </c>
      <c r="J79" s="6">
        <f>[1]Results!M1551</f>
        <v>2182459.7009999999</v>
      </c>
      <c r="K79" s="6">
        <f>[1]Results!N1551</f>
        <v>2217387.3670000001</v>
      </c>
      <c r="L79" s="6">
        <f>[1]Results!O1551</f>
        <v>2253148.338</v>
      </c>
      <c r="M79" s="6">
        <f>[1]Results!P1551</f>
        <v>2292224.702</v>
      </c>
      <c r="N79" s="6">
        <f>[1]Results!Q1551</f>
        <v>2330107.9160000002</v>
      </c>
      <c r="O79" s="6">
        <f>[1]Results!R1551</f>
        <v>2368537.469</v>
      </c>
      <c r="P79" s="6">
        <f>[1]Results!S1551</f>
        <v>2407466.5090000001</v>
      </c>
      <c r="Q79" s="6">
        <f>[1]Results!T1551</f>
        <v>2446877.588</v>
      </c>
      <c r="R79" s="6">
        <f>[1]Results!U1551</f>
        <v>2486769.3319999999</v>
      </c>
      <c r="S79" s="6">
        <f>[1]Results!V1551</f>
        <v>2527152.327</v>
      </c>
      <c r="T79" s="6">
        <f>[1]Results!W1551</f>
        <v>2568045.0869999998</v>
      </c>
      <c r="U79" s="6">
        <f>[1]Results!X1551</f>
        <v>2609470.338</v>
      </c>
      <c r="V79" s="6">
        <f>[1]Results!Y1551</f>
        <v>2651452.2089999998</v>
      </c>
      <c r="W79" s="6">
        <f>[1]Results!Z1551</f>
        <v>2692104.8080000002</v>
      </c>
      <c r="X79" s="6">
        <f>[1]Results!AA1551</f>
        <v>2734779.8629999999</v>
      </c>
      <c r="Y79" s="6">
        <f>[1]Results!AB1551</f>
        <v>2778163.8319999999</v>
      </c>
      <c r="Z79" s="6">
        <f>[1]Results!AC1551</f>
        <v>2822283.0350000001</v>
      </c>
      <c r="AA79" s="6">
        <f>[1]Results!AD1551</f>
        <v>2867147.4010000001</v>
      </c>
      <c r="AB79" s="6">
        <f>[1]Results!AE1551</f>
        <v>2907218.2450000001</v>
      </c>
      <c r="AC79" s="6">
        <f>[1]Results!AF1551</f>
        <v>2949517.6439999999</v>
      </c>
      <c r="AD79" s="6">
        <f>[1]Results!AG1551</f>
        <v>2992096.0469999998</v>
      </c>
      <c r="AE79" s="6">
        <f>[1]Results!AH1551</f>
        <v>3035081.3059999999</v>
      </c>
      <c r="AF79" s="6">
        <f>[1]Results!AI1551</f>
        <v>3078570.1919999998</v>
      </c>
      <c r="AG79" s="6">
        <f>[1]Results!AJ1551</f>
        <v>3122637.0159999998</v>
      </c>
      <c r="AH79" s="6">
        <f>[1]Results!AK1551</f>
        <v>3167334.1060000001</v>
      </c>
      <c r="AI79" s="6">
        <f>[1]Results!AL1551</f>
        <v>3212694.29</v>
      </c>
      <c r="AJ79" s="6">
        <f>[1]Results!AM1551</f>
        <v>3258735.0639999998</v>
      </c>
      <c r="AK79" s="6">
        <f>[1]Results!AN1551</f>
        <v>3305463.1669999999</v>
      </c>
      <c r="AL79" s="6">
        <f>[1]Results!AO1551</f>
        <v>3352878.7119999998</v>
      </c>
      <c r="AM79" s="6">
        <f>[1]Results!AP1551</f>
        <v>3399624.017</v>
      </c>
      <c r="AN79" s="6">
        <f>[1]Results!AQ1551</f>
        <v>3446683.926</v>
      </c>
      <c r="AO79" s="6">
        <f>[1]Results!AR1551</f>
        <v>3494110.2940000002</v>
      </c>
      <c r="AP79" s="6">
        <f>[1]Results!AS1551</f>
        <v>3541962.2030000002</v>
      </c>
      <c r="AQ79" s="6">
        <f>[1]Results!AT1551</f>
        <v>3590296.503</v>
      </c>
      <c r="AR79" s="6">
        <f>[1]Results!AU1551</f>
        <v>3639390.7960000001</v>
      </c>
      <c r="AS79" s="6">
        <f>[1]Results!AV1551</f>
        <v>3689339.8149999999</v>
      </c>
      <c r="AT79" s="6">
        <f>[1]Results!AW1551</f>
        <v>3740136.2030000002</v>
      </c>
      <c r="AU79" s="6">
        <f>[1]Results!AX1551</f>
        <v>3791739.378</v>
      </c>
      <c r="AV79" s="6">
        <f>[1]Results!AY1551</f>
        <v>3844111.0809999998</v>
      </c>
      <c r="AW79" s="6">
        <f>[1]Results!AZ1551</f>
        <v>3897351.4720000001</v>
      </c>
      <c r="AX79" s="6">
        <f>[1]Results!BA1551</f>
        <v>3951361.1090000002</v>
      </c>
      <c r="AY79" s="6">
        <f>[1]Results!BB1551</f>
        <v>4006136.193</v>
      </c>
      <c r="AZ79" s="6">
        <f>[1]Results!BC1551</f>
        <v>4061678.0040000002</v>
      </c>
      <c r="BA79" s="6">
        <f>[1]Results!BD1551</f>
        <v>4117990.568</v>
      </c>
      <c r="BB79" s="6">
        <f>[1]Results!BE1551</f>
        <v>4443934.8679999998</v>
      </c>
      <c r="BC79" s="6">
        <f>[1]Results!BF1551</f>
        <v>4518812.6409999998</v>
      </c>
      <c r="BD79" s="6">
        <f>[1]Results!BG1551</f>
        <v>4594869.43</v>
      </c>
      <c r="BE79" s="6">
        <f>[1]Results!BH1551</f>
        <v>4672125.4069999997</v>
      </c>
      <c r="BF79" s="6">
        <f>[1]Results!BI1551</f>
        <v>4750601.8959999997</v>
      </c>
    </row>
    <row r="80" spans="1:58" x14ac:dyDescent="0.3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</row>
    <row r="81" spans="1:58" x14ac:dyDescent="0.35">
      <c r="A81" s="12" t="s">
        <v>78</v>
      </c>
      <c r="B81" t="s">
        <v>13</v>
      </c>
      <c r="C81" s="6">
        <f>[1]Results!F1551</f>
        <v>1969388.1950000001</v>
      </c>
      <c r="D81" s="6">
        <f>[1]Results!G1551</f>
        <v>1994207.355</v>
      </c>
      <c r="E81" s="6">
        <f>[1]Results!H1551</f>
        <v>2021772.959</v>
      </c>
      <c r="F81" s="6">
        <f>[1]Results!I1551</f>
        <v>2051216.3330000001</v>
      </c>
      <c r="G81" s="6">
        <f>[1]Results!J1551</f>
        <v>2082473.956</v>
      </c>
      <c r="H81" s="6">
        <f>[1]Results!K1551</f>
        <v>2115417.858</v>
      </c>
      <c r="I81" s="6">
        <f>[1]Results!L1551</f>
        <v>2148440.66</v>
      </c>
      <c r="J81" s="6">
        <f>[1]Results!M1551</f>
        <v>2182459.7009999999</v>
      </c>
      <c r="K81" s="6">
        <f>[1]Results!N1551</f>
        <v>2217387.3670000001</v>
      </c>
      <c r="L81" s="6">
        <f>[1]Results!O1551</f>
        <v>2253148.338</v>
      </c>
      <c r="M81" s="6">
        <f>[1]Results!P1551</f>
        <v>2292224.702</v>
      </c>
      <c r="N81" s="6">
        <f>[1]Results!Q1551</f>
        <v>2330107.9160000002</v>
      </c>
      <c r="O81" s="6">
        <f>[1]Results!R1551</f>
        <v>2368537.469</v>
      </c>
      <c r="P81" s="6">
        <f>[1]Results!S1551</f>
        <v>2407466.5090000001</v>
      </c>
      <c r="Q81" s="6">
        <f>[1]Results!T1551</f>
        <v>2446877.588</v>
      </c>
      <c r="R81" s="6">
        <f>[1]Results!U1551</f>
        <v>2486769.3319999999</v>
      </c>
      <c r="S81" s="6">
        <f>[1]Results!V1551</f>
        <v>2527152.327</v>
      </c>
      <c r="T81" s="6">
        <f>[1]Results!W1551</f>
        <v>2568045.0869999998</v>
      </c>
      <c r="U81" s="6">
        <f>[1]Results!X1551</f>
        <v>2609470.338</v>
      </c>
      <c r="V81" s="6">
        <f>[1]Results!Y1551</f>
        <v>2651452.2089999998</v>
      </c>
      <c r="W81" s="6">
        <f>[1]Results!Z1551</f>
        <v>2692104.8080000002</v>
      </c>
      <c r="X81" s="6">
        <f>[1]Results!AA1551</f>
        <v>2734779.8629999999</v>
      </c>
      <c r="Y81" s="6">
        <f>[1]Results!AB1551</f>
        <v>2778163.8319999999</v>
      </c>
      <c r="Z81" s="6">
        <f>[1]Results!AC1551</f>
        <v>2822283.0350000001</v>
      </c>
      <c r="AA81" s="6">
        <f>[1]Results!AD1551</f>
        <v>2867147.4010000001</v>
      </c>
      <c r="AB81" s="6">
        <f>[1]Results!AE1551</f>
        <v>2907218.2450000001</v>
      </c>
      <c r="AC81" s="6">
        <f>[1]Results!AF1551</f>
        <v>2949517.6439999999</v>
      </c>
      <c r="AD81" s="6">
        <f>[1]Results!AG1551</f>
        <v>2992096.0469999998</v>
      </c>
      <c r="AE81" s="6">
        <f>[1]Results!AH1551</f>
        <v>3035081.3059999999</v>
      </c>
      <c r="AF81" s="6">
        <f>[1]Results!AI1551</f>
        <v>3078570.1919999998</v>
      </c>
      <c r="AG81" s="6">
        <f>[1]Results!AJ1551</f>
        <v>3122637.0159999998</v>
      </c>
      <c r="AH81" s="6">
        <f>[1]Results!AK1551</f>
        <v>3167334.1060000001</v>
      </c>
      <c r="AI81" s="6">
        <f>[1]Results!AL1551</f>
        <v>3212694.29</v>
      </c>
      <c r="AJ81" s="6">
        <f>[1]Results!AM1551</f>
        <v>3258735.0639999998</v>
      </c>
      <c r="AK81" s="6">
        <f>[1]Results!AN1551</f>
        <v>3305463.1669999999</v>
      </c>
      <c r="AL81" s="6">
        <f>[1]Results!AO1551</f>
        <v>3352878.7119999998</v>
      </c>
      <c r="AM81" s="6">
        <f>[1]Results!AP1551</f>
        <v>3399624.017</v>
      </c>
      <c r="AN81" s="6">
        <f>[1]Results!AQ1551</f>
        <v>3446683.926</v>
      </c>
      <c r="AO81" s="6">
        <f>[1]Results!AR1551</f>
        <v>3494110.2940000002</v>
      </c>
      <c r="AP81" s="6">
        <f>[1]Results!AS1551</f>
        <v>3541962.2030000002</v>
      </c>
      <c r="AQ81" s="6">
        <f>[1]Results!AT1551</f>
        <v>3590296.503</v>
      </c>
      <c r="AR81" s="6">
        <f>[1]Results!AU1551</f>
        <v>3639390.7960000001</v>
      </c>
      <c r="AS81" s="6">
        <f>[1]Results!AV1551</f>
        <v>3689339.8149999999</v>
      </c>
      <c r="AT81" s="6">
        <f>[1]Results!AW1551</f>
        <v>3740136.2030000002</v>
      </c>
      <c r="AU81" s="6">
        <f>[1]Results!AX1551</f>
        <v>3791739.378</v>
      </c>
      <c r="AV81" s="6">
        <f>[1]Results!AY1551</f>
        <v>3844111.0809999998</v>
      </c>
      <c r="AW81" s="6">
        <f>[1]Results!AZ1551</f>
        <v>3897351.4720000001</v>
      </c>
      <c r="AX81" s="6">
        <f>[1]Results!BA1551</f>
        <v>3951361.1090000002</v>
      </c>
      <c r="AY81" s="6">
        <f>[1]Results!BB1551</f>
        <v>4006136.193</v>
      </c>
      <c r="AZ81" s="6">
        <f>[1]Results!BC1551</f>
        <v>4061678.0040000002</v>
      </c>
      <c r="BA81" s="6">
        <f>[1]Results!BD1551</f>
        <v>4117990.568</v>
      </c>
      <c r="BB81" s="6">
        <f>[1]Results!BE1551</f>
        <v>4443934.8679999998</v>
      </c>
      <c r="BC81" s="6">
        <f>[1]Results!BF1551</f>
        <v>4518812.6409999998</v>
      </c>
      <c r="BD81" s="6">
        <f>[1]Results!BG1551</f>
        <v>4594869.43</v>
      </c>
      <c r="BE81" s="6">
        <f>[1]Results!BH1551</f>
        <v>4672125.4069999997</v>
      </c>
      <c r="BF81" s="6">
        <f>[1]Results!BI1551</f>
        <v>4750601.8959999997</v>
      </c>
    </row>
    <row r="82" spans="1:58" x14ac:dyDescent="0.35">
      <c r="A82" t="s">
        <v>38</v>
      </c>
      <c r="B82" t="s">
        <v>7</v>
      </c>
      <c r="C82" s="6">
        <f>[1]Results!F1552</f>
        <v>36150.348980000002</v>
      </c>
      <c r="D82" s="6">
        <f>[1]Results!G1552</f>
        <v>36356.385119999999</v>
      </c>
      <c r="E82" s="6">
        <f>[1]Results!H1552</f>
        <v>36604.627690000001</v>
      </c>
      <c r="F82" s="6">
        <f>[1]Results!I1552</f>
        <v>36897.0962</v>
      </c>
      <c r="G82" s="6">
        <f>[1]Results!J1552</f>
        <v>37242.971319999997</v>
      </c>
      <c r="H82" s="6">
        <f>[1]Results!K1552</f>
        <v>37641.63478</v>
      </c>
      <c r="I82" s="6">
        <f>[1]Results!L1552</f>
        <v>38060.195729999999</v>
      </c>
      <c r="J82" s="6">
        <f>[1]Results!M1552</f>
        <v>38516.546990000003</v>
      </c>
      <c r="K82" s="6">
        <f>[1]Results!N1552</f>
        <v>39004.782800000001</v>
      </c>
      <c r="L82" s="6">
        <f>[1]Results!O1552</f>
        <v>39519.730309999999</v>
      </c>
      <c r="M82" s="6">
        <f>[1]Results!P1552</f>
        <v>40106.284140000003</v>
      </c>
      <c r="N82" s="6">
        <f>[1]Results!Q1552</f>
        <v>40667.689760000001</v>
      </c>
      <c r="O82" s="6">
        <f>[1]Results!R1552</f>
        <v>41240.824849999997</v>
      </c>
      <c r="P82" s="6">
        <f>[1]Results!S1552</f>
        <v>41820.764519999997</v>
      </c>
      <c r="Q82" s="6">
        <f>[1]Results!T1552</f>
        <v>42405.415439999997</v>
      </c>
      <c r="R82" s="6">
        <f>[1]Results!U1552</f>
        <v>42993.59706</v>
      </c>
      <c r="S82" s="6">
        <f>[1]Results!V1552</f>
        <v>43584.841469999999</v>
      </c>
      <c r="T82" s="6">
        <f>[1]Results!W1552</f>
        <v>44179.298909999998</v>
      </c>
      <c r="U82" s="6">
        <f>[1]Results!X1552</f>
        <v>44777.626519999998</v>
      </c>
      <c r="V82" s="6">
        <f>[1]Results!Y1552</f>
        <v>45380.868540000003</v>
      </c>
      <c r="W82" s="6">
        <f>[1]Results!Z1552</f>
        <v>45953.029750000002</v>
      </c>
      <c r="X82" s="6">
        <f>[1]Results!AA1552</f>
        <v>46564.398070000003</v>
      </c>
      <c r="Y82" s="6">
        <f>[1]Results!AB1552</f>
        <v>47185.548510000001</v>
      </c>
      <c r="Z82" s="6">
        <f>[1]Results!AC1552</f>
        <v>47819.126029999999</v>
      </c>
      <c r="AA82" s="6">
        <f>[1]Results!AD1552</f>
        <v>48466.240550000002</v>
      </c>
      <c r="AB82" s="6">
        <f>[1]Results!AE1552</f>
        <v>49020.063049999997</v>
      </c>
      <c r="AC82" s="6">
        <f>[1]Results!AF1552</f>
        <v>49629.209519999997</v>
      </c>
      <c r="AD82" s="6">
        <f>[1]Results!AG1552</f>
        <v>50247.252719999997</v>
      </c>
      <c r="AE82" s="6">
        <f>[1]Results!AH1552</f>
        <v>50878.580280000002</v>
      </c>
      <c r="AF82" s="6">
        <f>[1]Results!AI1552</f>
        <v>51524.836719999999</v>
      </c>
      <c r="AG82" s="6">
        <f>[1]Results!AJ1552</f>
        <v>52187.058080000003</v>
      </c>
      <c r="AH82" s="6">
        <f>[1]Results!AK1552</f>
        <v>52865.86606</v>
      </c>
      <c r="AI82" s="6">
        <f>[1]Results!AL1552</f>
        <v>53561.517509999998</v>
      </c>
      <c r="AJ82" s="6">
        <f>[1]Results!AM1552</f>
        <v>54273.972320000001</v>
      </c>
      <c r="AK82" s="6">
        <f>[1]Results!AN1552</f>
        <v>55002.975019999998</v>
      </c>
      <c r="AL82" s="6">
        <f>[1]Results!AO1552</f>
        <v>55748.136720000002</v>
      </c>
      <c r="AM82" s="6">
        <f>[1]Results!AP1552</f>
        <v>56482.721360000003</v>
      </c>
      <c r="AN82" s="6">
        <f>[1]Results!AQ1552</f>
        <v>57228.31192</v>
      </c>
      <c r="AO82" s="6">
        <f>[1]Results!AR1552</f>
        <v>57986.048999999999</v>
      </c>
      <c r="AP82" s="6">
        <f>[1]Results!AS1552</f>
        <v>58757.485209999999</v>
      </c>
      <c r="AQ82" s="6">
        <f>[1]Results!AT1552</f>
        <v>59543.266660000001</v>
      </c>
      <c r="AR82" s="6">
        <f>[1]Results!AU1552</f>
        <v>60419.518380000001</v>
      </c>
      <c r="AS82" s="6">
        <f>[1]Results!AV1552</f>
        <v>61368.282899999998</v>
      </c>
      <c r="AT82" s="6">
        <f>[1]Results!AW1552</f>
        <v>62371.249450000003</v>
      </c>
      <c r="AU82" s="6">
        <f>[1]Results!AX1552</f>
        <v>63415.574820000002</v>
      </c>
      <c r="AV82" s="6">
        <f>[1]Results!AY1552</f>
        <v>64493.166749999997</v>
      </c>
      <c r="AW82" s="6">
        <f>[1]Results!AZ1552</f>
        <v>65601.771460000004</v>
      </c>
      <c r="AX82" s="6">
        <f>[1]Results!BA1552</f>
        <v>66736.914650000006</v>
      </c>
      <c r="AY82" s="6">
        <f>[1]Results!BB1552</f>
        <v>67897.556129999997</v>
      </c>
      <c r="AZ82" s="6">
        <f>[1]Results!BC1552</f>
        <v>69083.413130000001</v>
      </c>
      <c r="BA82" s="6">
        <f>[1]Results!BD1552</f>
        <v>70294.675319999995</v>
      </c>
      <c r="BB82" s="6">
        <f>[1]Results!BE1552</f>
        <v>73673.009269999995</v>
      </c>
      <c r="BC82" s="6">
        <f>[1]Results!BF1552</f>
        <v>74830.096340000004</v>
      </c>
      <c r="BD82" s="6">
        <f>[1]Results!BG1552</f>
        <v>76006.871119999996</v>
      </c>
      <c r="BE82" s="6">
        <f>[1]Results!BH1552</f>
        <v>77203.811189999993</v>
      </c>
      <c r="BF82" s="6">
        <f>[1]Results!BI1552</f>
        <v>78421.397010000001</v>
      </c>
    </row>
    <row r="83" spans="1:58" x14ac:dyDescent="0.35">
      <c r="B83" t="s">
        <v>30</v>
      </c>
      <c r="C83" s="6">
        <f>[1]Results!F1555</f>
        <v>332150.75900000002</v>
      </c>
      <c r="D83" s="6">
        <f>[1]Results!G1555</f>
        <v>336193.5197</v>
      </c>
      <c r="E83" s="6">
        <f>[1]Results!H1555</f>
        <v>340788.76610000001</v>
      </c>
      <c r="F83" s="6">
        <f>[1]Results!I1555</f>
        <v>345730.66629999998</v>
      </c>
      <c r="G83" s="6">
        <f>[1]Results!J1555</f>
        <v>351017.7574</v>
      </c>
      <c r="H83" s="6">
        <f>[1]Results!K1555</f>
        <v>356638.21750000003</v>
      </c>
      <c r="I83" s="6">
        <f>[1]Results!L1555</f>
        <v>362346.83</v>
      </c>
      <c r="J83" s="6">
        <f>[1]Results!M1555</f>
        <v>368288.46049999999</v>
      </c>
      <c r="K83" s="6">
        <f>[1]Results!N1555</f>
        <v>374437.03029999998</v>
      </c>
      <c r="L83" s="6">
        <f>[1]Results!O1555</f>
        <v>380775.62319999997</v>
      </c>
      <c r="M83" s="6">
        <f>[1]Results!P1555</f>
        <v>387685.32189999998</v>
      </c>
      <c r="N83" s="6">
        <f>[1]Results!Q1555</f>
        <v>394456.81800000003</v>
      </c>
      <c r="O83" s="6">
        <f>[1]Results!R1555</f>
        <v>401375.87589999998</v>
      </c>
      <c r="P83" s="6">
        <f>[1]Results!S1555</f>
        <v>408413.03830000001</v>
      </c>
      <c r="Q83" s="6">
        <f>[1]Results!T1555</f>
        <v>415559.25870000001</v>
      </c>
      <c r="R83" s="6">
        <f>[1]Results!U1555</f>
        <v>422810.87150000001</v>
      </c>
      <c r="S83" s="6">
        <f>[1]Results!V1555</f>
        <v>430167.34120000002</v>
      </c>
      <c r="T83" s="6">
        <f>[1]Results!W1555</f>
        <v>437630.41609999997</v>
      </c>
      <c r="U83" s="6">
        <f>[1]Results!X1555</f>
        <v>445203.38179999997</v>
      </c>
      <c r="V83" s="6">
        <f>[1]Results!Y1555</f>
        <v>452890.39929999999</v>
      </c>
      <c r="W83" s="6">
        <f>[1]Results!Z1555</f>
        <v>460397.14399999997</v>
      </c>
      <c r="X83" s="6">
        <f>[1]Results!AA1555</f>
        <v>468249.57780000003</v>
      </c>
      <c r="Y83" s="6">
        <f>[1]Results!AB1555</f>
        <v>476228.53730000003</v>
      </c>
      <c r="Z83" s="6">
        <f>[1]Results!AC1555</f>
        <v>484351.98460000003</v>
      </c>
      <c r="AA83" s="6">
        <f>[1]Results!AD1555</f>
        <v>492623.83500000002</v>
      </c>
      <c r="AB83" s="6">
        <f>[1]Results!AE1555</f>
        <v>500175.98469999997</v>
      </c>
      <c r="AC83" s="6">
        <f>[1]Results!AF1555</f>
        <v>508109.38089999999</v>
      </c>
      <c r="AD83" s="6">
        <f>[1]Results!AG1555</f>
        <v>516076.34499999997</v>
      </c>
      <c r="AE83" s="6">
        <f>[1]Results!AH1555</f>
        <v>524113.75510000001</v>
      </c>
      <c r="AF83" s="6">
        <f>[1]Results!AI1555</f>
        <v>532238.13139999995</v>
      </c>
      <c r="AG83" s="6">
        <f>[1]Results!AJ1555</f>
        <v>540460.19629999995</v>
      </c>
      <c r="AH83" s="6">
        <f>[1]Results!AK1555</f>
        <v>548786.63509999996</v>
      </c>
      <c r="AI83" s="6">
        <f>[1]Results!AL1555</f>
        <v>557220.571</v>
      </c>
      <c r="AJ83" s="6">
        <f>[1]Results!AM1555</f>
        <v>565762.20389999996</v>
      </c>
      <c r="AK83" s="6">
        <f>[1]Results!AN1555</f>
        <v>574409.5993</v>
      </c>
      <c r="AL83" s="6">
        <f>[1]Results!AO1555</f>
        <v>583159.47530000005</v>
      </c>
      <c r="AM83" s="6">
        <f>[1]Results!AP1555</f>
        <v>591794.08250000002</v>
      </c>
      <c r="AN83" s="6">
        <f>[1]Results!AQ1555</f>
        <v>600464.99080000003</v>
      </c>
      <c r="AO83" s="6">
        <f>[1]Results!AR1555</f>
        <v>609166.57250000001</v>
      </c>
      <c r="AP83" s="6">
        <f>[1]Results!AS1555</f>
        <v>617903.9547</v>
      </c>
      <c r="AQ83" s="6">
        <f>[1]Results!AT1555</f>
        <v>626683.78819999995</v>
      </c>
      <c r="AR83" s="6">
        <f>[1]Results!AU1555</f>
        <v>635542.00630000001</v>
      </c>
      <c r="AS83" s="6">
        <f>[1]Results!AV1555</f>
        <v>644538.25829999999</v>
      </c>
      <c r="AT83" s="6">
        <f>[1]Results!AW1555</f>
        <v>653683.30390000006</v>
      </c>
      <c r="AU83" s="6">
        <f>[1]Results!AX1555</f>
        <v>662966.43519999995</v>
      </c>
      <c r="AV83" s="6">
        <f>[1]Results!AY1555</f>
        <v>672371.43279999995</v>
      </c>
      <c r="AW83" s="6">
        <f>[1]Results!AZ1555</f>
        <v>681903.66500000004</v>
      </c>
      <c r="AX83" s="6">
        <f>[1]Results!BA1555</f>
        <v>691538.77020000003</v>
      </c>
      <c r="AY83" s="6">
        <f>[1]Results!BB1555</f>
        <v>701271.04220000003</v>
      </c>
      <c r="AZ83" s="6">
        <f>[1]Results!BC1555</f>
        <v>711097.049</v>
      </c>
      <c r="BA83" s="6">
        <f>[1]Results!BD1555</f>
        <v>721015.48710000003</v>
      </c>
      <c r="BB83" s="6">
        <f>[1]Results!BE1555</f>
        <v>781663.80500000005</v>
      </c>
      <c r="BC83" s="6">
        <f>[1]Results!BF1555</f>
        <v>795467.88820000004</v>
      </c>
      <c r="BD83" s="6">
        <f>[1]Results!BG1555</f>
        <v>809456.06830000004</v>
      </c>
      <c r="BE83" s="6">
        <f>[1]Results!BH1555</f>
        <v>823628.62589999998</v>
      </c>
      <c r="BF83" s="6">
        <f>[1]Results!BI1555</f>
        <v>837986.17110000004</v>
      </c>
    </row>
    <row r="84" spans="1:58" x14ac:dyDescent="0.35">
      <c r="B84" t="s">
        <v>9</v>
      </c>
      <c r="C84" s="6">
        <f>[1]Results!F1567</f>
        <v>48572.098129999998</v>
      </c>
      <c r="D84" s="6">
        <f>[1]Results!G1567</f>
        <v>49164.313889999998</v>
      </c>
      <c r="E84" s="6">
        <f>[1]Results!H1567</f>
        <v>49819.38091</v>
      </c>
      <c r="F84" s="6">
        <f>[1]Results!I1567</f>
        <v>50512.816709999999</v>
      </c>
      <c r="G84" s="6">
        <f>[1]Results!J1567</f>
        <v>51244.646800000002</v>
      </c>
      <c r="H84" s="6">
        <f>[1]Results!K1567</f>
        <v>52011.94672</v>
      </c>
      <c r="I84" s="6">
        <f>[1]Results!L1567</f>
        <v>52773.807630000003</v>
      </c>
      <c r="J84" s="6">
        <f>[1]Results!M1567</f>
        <v>53558.00978</v>
      </c>
      <c r="K84" s="6">
        <f>[1]Results!N1567</f>
        <v>54360.848749999997</v>
      </c>
      <c r="L84" s="6">
        <f>[1]Results!O1567</f>
        <v>55180.447500000002</v>
      </c>
      <c r="M84" s="6">
        <f>[1]Results!P1567</f>
        <v>56080.858419999997</v>
      </c>
      <c r="N84" s="6">
        <f>[1]Results!Q1567</f>
        <v>56939.865550000002</v>
      </c>
      <c r="O84" s="6">
        <f>[1]Results!R1567</f>
        <v>57812.749369999998</v>
      </c>
      <c r="P84" s="6">
        <f>[1]Results!S1567</f>
        <v>58696.042999999998</v>
      </c>
      <c r="Q84" s="6">
        <f>[1]Results!T1567</f>
        <v>59589.1414</v>
      </c>
      <c r="R84" s="6">
        <f>[1]Results!U1567</f>
        <v>60492.133589999998</v>
      </c>
      <c r="S84" s="6">
        <f>[1]Results!V1567</f>
        <v>61405.417549999998</v>
      </c>
      <c r="T84" s="6">
        <f>[1]Results!W1567</f>
        <v>62329.556960000002</v>
      </c>
      <c r="U84" s="6">
        <f>[1]Results!X1567</f>
        <v>63265.190360000001</v>
      </c>
      <c r="V84" s="6">
        <f>[1]Results!Y1567</f>
        <v>64212.972320000001</v>
      </c>
      <c r="W84" s="6">
        <f>[1]Results!Z1567</f>
        <v>65124.481059999998</v>
      </c>
      <c r="X84" s="6">
        <f>[1]Results!AA1567</f>
        <v>66090.980779999998</v>
      </c>
      <c r="Y84" s="6">
        <f>[1]Results!AB1567</f>
        <v>67071.106830000004</v>
      </c>
      <c r="Z84" s="6">
        <f>[1]Results!AC1567</f>
        <v>68067.520210000002</v>
      </c>
      <c r="AA84" s="6">
        <f>[1]Results!AD1567</f>
        <v>69080.870970000004</v>
      </c>
      <c r="AB84" s="6">
        <f>[1]Results!AE1567</f>
        <v>69968.977280000006</v>
      </c>
      <c r="AC84" s="6">
        <f>[1]Results!AF1567</f>
        <v>70927.297720000002</v>
      </c>
      <c r="AD84" s="6">
        <f>[1]Results!AG1567</f>
        <v>71890.745320000002</v>
      </c>
      <c r="AE84" s="6">
        <f>[1]Results!AH1567</f>
        <v>72864.955270000006</v>
      </c>
      <c r="AF84" s="6">
        <f>[1]Results!AI1567</f>
        <v>73852.718670000002</v>
      </c>
      <c r="AG84" s="6">
        <f>[1]Results!AJ1567</f>
        <v>74855.960089999993</v>
      </c>
      <c r="AH84" s="6">
        <f>[1]Results!AK1567</f>
        <v>75876.017300000007</v>
      </c>
      <c r="AI84" s="6">
        <f>[1]Results!AL1567</f>
        <v>76913.749360000002</v>
      </c>
      <c r="AJ84" s="6">
        <f>[1]Results!AM1567</f>
        <v>77969.64572</v>
      </c>
      <c r="AK84" s="6">
        <f>[1]Results!AN1567</f>
        <v>79043.935060000003</v>
      </c>
      <c r="AL84" s="6">
        <f>[1]Results!AO1567</f>
        <v>80136.680300000007</v>
      </c>
      <c r="AM84" s="6">
        <f>[1]Results!AP1567</f>
        <v>81212.947939999998</v>
      </c>
      <c r="AN84" s="6">
        <f>[1]Results!AQ1567</f>
        <v>82301.769039999999</v>
      </c>
      <c r="AO84" s="6">
        <f>[1]Results!AR1567</f>
        <v>83402.743359999993</v>
      </c>
      <c r="AP84" s="6">
        <f>[1]Results!AS1567</f>
        <v>84516.979479999995</v>
      </c>
      <c r="AQ84" s="6">
        <f>[1]Results!AT1567</f>
        <v>85645.72954</v>
      </c>
      <c r="AR84" s="6">
        <f>[1]Results!AU1567</f>
        <v>86794.170039999997</v>
      </c>
      <c r="AS84" s="6">
        <f>[1]Results!AV1567</f>
        <v>87963.739629999996</v>
      </c>
      <c r="AT84" s="6">
        <f>[1]Results!AW1567</f>
        <v>89154.392330000002</v>
      </c>
      <c r="AU84" s="6">
        <f>[1]Results!AX1567</f>
        <v>90365.606969999993</v>
      </c>
      <c r="AV84" s="6">
        <f>[1]Results!AY1567</f>
        <v>91596.951679999998</v>
      </c>
      <c r="AW84" s="6">
        <f>[1]Results!AZ1567</f>
        <v>92851.44657</v>
      </c>
      <c r="AX84" s="6">
        <f>[1]Results!BA1567</f>
        <v>94126.437059999997</v>
      </c>
      <c r="AY84" s="6">
        <f>[1]Results!BB1567</f>
        <v>95422.072020000007</v>
      </c>
      <c r="AZ84" s="6">
        <f>[1]Results!BC1567</f>
        <v>96738.381829999998</v>
      </c>
      <c r="BA84" s="6">
        <f>[1]Results!BD1567</f>
        <v>98075.361340000003</v>
      </c>
      <c r="BB84" s="6">
        <f>[1]Results!BE1567</f>
        <v>104551.2357</v>
      </c>
      <c r="BC84" s="6">
        <f>[1]Results!BF1567</f>
        <v>106267.7761</v>
      </c>
      <c r="BD84" s="6">
        <f>[1]Results!BG1567</f>
        <v>108015.0258</v>
      </c>
      <c r="BE84" s="6">
        <f>[1]Results!BH1567</f>
        <v>109793.6344</v>
      </c>
      <c r="BF84" s="6">
        <f>[1]Results!BI1567</f>
        <v>111604.26330000001</v>
      </c>
    </row>
    <row r="85" spans="1:58" x14ac:dyDescent="0.35">
      <c r="B85" t="s">
        <v>10</v>
      </c>
      <c r="C85" s="6">
        <f>[1]Results!F1572</f>
        <v>1513912.3389999999</v>
      </c>
      <c r="D85" s="6">
        <f>[1]Results!G1572</f>
        <v>1533620.605</v>
      </c>
      <c r="E85" s="6">
        <f>[1]Results!H1572</f>
        <v>1555427.0549999999</v>
      </c>
      <c r="F85" s="6">
        <f>[1]Results!I1572</f>
        <v>1578671.4110000001</v>
      </c>
      <c r="G85" s="6">
        <f>[1]Results!J1572</f>
        <v>1603274.8859999999</v>
      </c>
      <c r="H85" s="6">
        <f>[1]Results!K1572</f>
        <v>1629125.852</v>
      </c>
      <c r="I85" s="6">
        <f>[1]Results!L1572</f>
        <v>1654958.017</v>
      </c>
      <c r="J85" s="6">
        <f>[1]Results!M1572</f>
        <v>1681480.987</v>
      </c>
      <c r="K85" s="6">
        <f>[1]Results!N1572</f>
        <v>1708643.537</v>
      </c>
      <c r="L85" s="6">
        <f>[1]Results!O1572</f>
        <v>1736395.5660000001</v>
      </c>
      <c r="M85" s="6">
        <f>[1]Results!P1572</f>
        <v>1766688.4339999999</v>
      </c>
      <c r="N85" s="6">
        <f>[1]Results!Q1572</f>
        <v>1796017.368</v>
      </c>
      <c r="O85" s="6">
        <f>[1]Results!R1572</f>
        <v>1825715.07</v>
      </c>
      <c r="P85" s="6">
        <f>[1]Results!S1572</f>
        <v>1855772.0449999999</v>
      </c>
      <c r="Q85" s="6">
        <f>[1]Results!T1572</f>
        <v>1886182.402</v>
      </c>
      <c r="R85" s="6">
        <f>[1]Results!U1572</f>
        <v>1916949.1610000001</v>
      </c>
      <c r="S85" s="6">
        <f>[1]Results!V1572</f>
        <v>1948083.196</v>
      </c>
      <c r="T85" s="6">
        <f>[1]Results!W1572</f>
        <v>1979600.3370000001</v>
      </c>
      <c r="U85" s="6">
        <f>[1]Results!X1572</f>
        <v>2011518.568</v>
      </c>
      <c r="V85" s="6">
        <f>[1]Results!Y1572</f>
        <v>2043856.031</v>
      </c>
      <c r="W85" s="6">
        <f>[1]Results!Z1572</f>
        <v>2075135.8770000001</v>
      </c>
      <c r="X85" s="6">
        <f>[1]Results!AA1572</f>
        <v>2107967.8870000001</v>
      </c>
      <c r="Y85" s="6">
        <f>[1]Results!AB1572</f>
        <v>2141350.0109999999</v>
      </c>
      <c r="Z85" s="6">
        <f>[1]Results!AC1572</f>
        <v>2175285.713</v>
      </c>
      <c r="AA85" s="6">
        <f>[1]Results!AD1572</f>
        <v>2209779.2760000001</v>
      </c>
      <c r="AB85" s="6">
        <f>[1]Results!AE1572</f>
        <v>2240496.1129999999</v>
      </c>
      <c r="AC85" s="6">
        <f>[1]Results!AF1572</f>
        <v>2272899.0929999999</v>
      </c>
      <c r="AD85" s="6">
        <f>[1]Results!AG1572</f>
        <v>2305528.213</v>
      </c>
      <c r="AE85" s="6">
        <f>[1]Results!AH1572</f>
        <v>2338463.2799999998</v>
      </c>
      <c r="AF85" s="6">
        <f>[1]Results!AI1572</f>
        <v>2371778.8640000001</v>
      </c>
      <c r="AG85" s="6">
        <f>[1]Results!AJ1572</f>
        <v>2405534.5780000002</v>
      </c>
      <c r="AH85" s="6">
        <f>[1]Results!AK1572</f>
        <v>2439773.284</v>
      </c>
      <c r="AI85" s="6">
        <f>[1]Results!AL1572</f>
        <v>2474522.9339999999</v>
      </c>
      <c r="AJ85" s="6">
        <f>[1]Results!AM1572</f>
        <v>2509799.91</v>
      </c>
      <c r="AK85" s="6">
        <f>[1]Results!AN1572</f>
        <v>2545612.6060000001</v>
      </c>
      <c r="AL85" s="6">
        <f>[1]Results!AO1572</f>
        <v>2581964.557</v>
      </c>
      <c r="AM85" s="6">
        <f>[1]Results!AP1572</f>
        <v>2617798.0520000001</v>
      </c>
      <c r="AN85" s="6">
        <f>[1]Results!AQ1572</f>
        <v>2653879.6839999999</v>
      </c>
      <c r="AO85" s="6">
        <f>[1]Results!AR1572</f>
        <v>2690263.5869999998</v>
      </c>
      <c r="AP85" s="6">
        <f>[1]Results!AS1572</f>
        <v>2726999.108</v>
      </c>
      <c r="AQ85" s="6">
        <f>[1]Results!AT1572</f>
        <v>2764133.6</v>
      </c>
      <c r="AR85" s="6">
        <f>[1]Results!AU1572</f>
        <v>2801831.3470000001</v>
      </c>
      <c r="AS85" s="6">
        <f>[1]Results!AV1572</f>
        <v>2840145.69</v>
      </c>
      <c r="AT85" s="6">
        <f>[1]Results!AW1572</f>
        <v>2879077.091</v>
      </c>
      <c r="AU85" s="6">
        <f>[1]Results!AX1572</f>
        <v>2918607.66</v>
      </c>
      <c r="AV85" s="6">
        <f>[1]Results!AY1572</f>
        <v>2958721.82</v>
      </c>
      <c r="AW85" s="6">
        <f>[1]Results!AZ1572</f>
        <v>2999509.9040000001</v>
      </c>
      <c r="AX85" s="6">
        <f>[1]Results!BA1572</f>
        <v>3040904.1439999999</v>
      </c>
      <c r="AY85" s="6">
        <f>[1]Results!BB1572</f>
        <v>3082906.7940000002</v>
      </c>
      <c r="AZ85" s="6">
        <f>[1]Results!BC1572</f>
        <v>3125522.6940000001</v>
      </c>
      <c r="BA85" s="6">
        <f>[1]Results!BD1572</f>
        <v>3168757.1120000002</v>
      </c>
      <c r="BB85" s="6">
        <f>[1]Results!BE1572</f>
        <v>3421146.1329999999</v>
      </c>
      <c r="BC85" s="6">
        <f>[1]Results!BF1572</f>
        <v>3478549.7910000002</v>
      </c>
      <c r="BD85" s="6">
        <f>[1]Results!BG1572</f>
        <v>3536883.7719999999</v>
      </c>
      <c r="BE85" s="6">
        <f>[1]Results!BH1572</f>
        <v>3596166.577</v>
      </c>
      <c r="BF85" s="6">
        <f>[1]Results!BI1572</f>
        <v>3656417.5589999999</v>
      </c>
    </row>
    <row r="86" spans="1:58" x14ac:dyDescent="0.35">
      <c r="B86" t="s">
        <v>29</v>
      </c>
      <c r="C86" s="6">
        <f>C91-C87</f>
        <v>-1911.6976320000001</v>
      </c>
      <c r="D86" s="6">
        <f t="shared" ref="D86:AL86" si="50">D91-D87</f>
        <v>-1937.7705407000001</v>
      </c>
      <c r="E86" s="6">
        <f t="shared" si="50"/>
        <v>-1945.3675834000001</v>
      </c>
      <c r="F86" s="6">
        <f t="shared" si="50"/>
        <v>-1949.7734013999998</v>
      </c>
      <c r="G86" s="6">
        <f t="shared" si="50"/>
        <v>-1956.5425784999998</v>
      </c>
      <c r="H86" s="6">
        <f t="shared" si="50"/>
        <v>-1967.1479171000001</v>
      </c>
      <c r="I86" s="6">
        <f t="shared" si="50"/>
        <v>-1982.0566509</v>
      </c>
      <c r="J86" s="6">
        <f t="shared" si="50"/>
        <v>-1997.6402332</v>
      </c>
      <c r="K86" s="6">
        <f t="shared" si="50"/>
        <v>-2014.5495076000002</v>
      </c>
      <c r="L86" s="6">
        <f t="shared" si="50"/>
        <v>-2032.5391268000003</v>
      </c>
      <c r="M86" s="6">
        <f t="shared" si="50"/>
        <v>-2049.5061344999999</v>
      </c>
      <c r="N86" s="6">
        <f t="shared" si="50"/>
        <v>-2072.0601976999997</v>
      </c>
      <c r="O86" s="6">
        <f t="shared" si="50"/>
        <v>-2092.5705419000001</v>
      </c>
      <c r="P86" s="6">
        <f t="shared" si="50"/>
        <v>-2112.8227644999997</v>
      </c>
      <c r="Q86" s="6">
        <f t="shared" si="50"/>
        <v>-2133.2010909999999</v>
      </c>
      <c r="R86" s="6">
        <f t="shared" si="50"/>
        <v>-2153.7671593999999</v>
      </c>
      <c r="S86" s="6">
        <f t="shared" si="50"/>
        <v>-2174.5329530999998</v>
      </c>
      <c r="T86" s="6">
        <f t="shared" si="50"/>
        <v>-2195.5079786000001</v>
      </c>
      <c r="U86" s="6">
        <f t="shared" si="50"/>
        <v>-2216.7031442000002</v>
      </c>
      <c r="V86" s="6">
        <f t="shared" si="50"/>
        <v>-2238.1290005999999</v>
      </c>
      <c r="W86" s="6">
        <f t="shared" si="50"/>
        <v>-2261.1048461999999</v>
      </c>
      <c r="X86" s="6">
        <f t="shared" si="50"/>
        <v>-2280.5960033000001</v>
      </c>
      <c r="Y86" s="6">
        <f t="shared" si="50"/>
        <v>-2302.1524656000001</v>
      </c>
      <c r="Z86" s="6">
        <f t="shared" si="50"/>
        <v>-2324.3867837999996</v>
      </c>
      <c r="AA86" s="6">
        <f t="shared" si="50"/>
        <v>-2346.9844352</v>
      </c>
      <c r="AB86" s="6">
        <f t="shared" si="50"/>
        <v>-2373.6534554</v>
      </c>
      <c r="AC86" s="6">
        <f t="shared" si="50"/>
        <v>-2391.6501107000004</v>
      </c>
      <c r="AD86" s="6">
        <f t="shared" si="50"/>
        <v>-2411.8883624</v>
      </c>
      <c r="AE86" s="6">
        <f t="shared" si="50"/>
        <v>-2432.7839804</v>
      </c>
      <c r="AF86" s="6">
        <f t="shared" si="50"/>
        <v>-2453.9834824999998</v>
      </c>
      <c r="AG86" s="6">
        <f t="shared" si="50"/>
        <v>-2475.4409913999998</v>
      </c>
      <c r="AH86" s="6">
        <f t="shared" si="50"/>
        <v>-2497.1720644000002</v>
      </c>
      <c r="AI86" s="6">
        <f t="shared" si="50"/>
        <v>-2519.1985600000003</v>
      </c>
      <c r="AJ86" s="6">
        <f t="shared" si="50"/>
        <v>-2541.5372850999997</v>
      </c>
      <c r="AK86" s="6">
        <f t="shared" si="50"/>
        <v>-2564.1986261000002</v>
      </c>
      <c r="AL86" s="6">
        <f t="shared" si="50"/>
        <v>-2587.1875980999998</v>
      </c>
      <c r="AM86" s="6">
        <f t="shared" ref="AM86:BC86" si="51">AM91-AM87</f>
        <v>-2611.4097645000002</v>
      </c>
      <c r="AN86" s="6">
        <f t="shared" si="51"/>
        <v>-2634.2805871</v>
      </c>
      <c r="AO86" s="6">
        <f t="shared" si="51"/>
        <v>-2657.0280843999999</v>
      </c>
      <c r="AP86" s="6">
        <f t="shared" si="51"/>
        <v>-2679.9979915000004</v>
      </c>
      <c r="AQ86" s="6">
        <f t="shared" si="51"/>
        <v>-2703.3094093999998</v>
      </c>
      <c r="AR86" s="6">
        <f t="shared" si="51"/>
        <v>-2727.1217594</v>
      </c>
      <c r="AS86" s="6">
        <f t="shared" si="51"/>
        <v>-2751.2343450000003</v>
      </c>
      <c r="AT86" s="6">
        <f t="shared" si="51"/>
        <v>-2775.6255928</v>
      </c>
      <c r="AU86" s="6">
        <f t="shared" si="51"/>
        <v>-2800.2985414</v>
      </c>
      <c r="AV86" s="6">
        <f t="shared" si="51"/>
        <v>-2825.2620625</v>
      </c>
      <c r="AW86" s="6">
        <f t="shared" si="51"/>
        <v>-2850.4521592999999</v>
      </c>
      <c r="AX86" s="6">
        <f t="shared" si="51"/>
        <v>-2876.1218638999999</v>
      </c>
      <c r="AY86" s="6">
        <f t="shared" si="51"/>
        <v>-2902.1730508999999</v>
      </c>
      <c r="AZ86" s="6">
        <f t="shared" si="51"/>
        <v>-2928.5891348999999</v>
      </c>
      <c r="BA86" s="6">
        <f t="shared" si="51"/>
        <v>-2955.3675819</v>
      </c>
      <c r="BB86" s="6">
        <f t="shared" si="51"/>
        <v>-3212.6561828999997</v>
      </c>
      <c r="BC86" s="6">
        <f t="shared" si="51"/>
        <v>-3251.7447438999998</v>
      </c>
      <c r="BD86" s="6">
        <f t="shared" ref="BD86:BF86" si="52">BD91-BD87</f>
        <v>-3291.4414388999999</v>
      </c>
      <c r="BE86" s="6">
        <f t="shared" si="52"/>
        <v>-3331.7645218999996</v>
      </c>
      <c r="BF86" s="6">
        <f t="shared" si="52"/>
        <v>-3372.7320029000002</v>
      </c>
    </row>
    <row r="87" spans="1:58" x14ac:dyDescent="0.35">
      <c r="B87" t="s">
        <v>36</v>
      </c>
      <c r="C87" s="6">
        <f>C89+C90</f>
        <v>-117.44557500000002</v>
      </c>
      <c r="D87" s="6">
        <f t="shared" ref="D87:AL87" si="53">D89+D90</f>
        <v>-123.61145229999994</v>
      </c>
      <c r="E87" s="6">
        <f t="shared" si="53"/>
        <v>-126.5887386</v>
      </c>
      <c r="F87" s="6">
        <f t="shared" si="53"/>
        <v>-129.46713859999994</v>
      </c>
      <c r="G87" s="6">
        <f t="shared" si="53"/>
        <v>-133.41237150000001</v>
      </c>
      <c r="H87" s="6">
        <f t="shared" si="53"/>
        <v>-138.61466289999993</v>
      </c>
      <c r="I87" s="6">
        <f t="shared" si="53"/>
        <v>-144.75865110000001</v>
      </c>
      <c r="J87" s="6">
        <f t="shared" si="53"/>
        <v>-151.45926879999996</v>
      </c>
      <c r="K87" s="6">
        <f t="shared" si="53"/>
        <v>-158.65656239999993</v>
      </c>
      <c r="L87" s="6">
        <f t="shared" si="53"/>
        <v>-166.22242319999992</v>
      </c>
      <c r="M87" s="6">
        <f t="shared" si="53"/>
        <v>-174.28509549999995</v>
      </c>
      <c r="N87" s="6">
        <f t="shared" si="53"/>
        <v>-182.77296529999995</v>
      </c>
      <c r="O87" s="6">
        <f t="shared" si="53"/>
        <v>-191.13377610000003</v>
      </c>
      <c r="P87" s="6">
        <f t="shared" si="53"/>
        <v>-199.56609750000001</v>
      </c>
      <c r="Q87" s="6">
        <f t="shared" si="53"/>
        <v>-208.09503699999999</v>
      </c>
      <c r="R87" s="6">
        <f t="shared" si="53"/>
        <v>-216.71803859999994</v>
      </c>
      <c r="S87" s="6">
        <f t="shared" si="53"/>
        <v>-225.43114989999998</v>
      </c>
      <c r="T87" s="6">
        <f t="shared" si="53"/>
        <v>-234.23240340000001</v>
      </c>
      <c r="U87" s="6">
        <f t="shared" si="53"/>
        <v>-243.12139180000003</v>
      </c>
      <c r="V87" s="6">
        <f t="shared" si="53"/>
        <v>-252.09854139999999</v>
      </c>
      <c r="W87" s="6">
        <f t="shared" si="53"/>
        <v>-260.99488879999996</v>
      </c>
      <c r="X87" s="6">
        <f t="shared" si="53"/>
        <v>-269.81734469999998</v>
      </c>
      <c r="Y87" s="6">
        <f t="shared" si="53"/>
        <v>-278.9460224</v>
      </c>
      <c r="Z87" s="6">
        <f t="shared" si="53"/>
        <v>-288.21510719999998</v>
      </c>
      <c r="AA87" s="6">
        <f t="shared" si="53"/>
        <v>-297.59547779999997</v>
      </c>
      <c r="AB87" s="6">
        <f t="shared" si="53"/>
        <v>-306.59249459999995</v>
      </c>
      <c r="AC87" s="6">
        <f t="shared" si="53"/>
        <v>-314.99283329999997</v>
      </c>
      <c r="AD87" s="6">
        <f t="shared" si="53"/>
        <v>-323.66469360000002</v>
      </c>
      <c r="AE87" s="6">
        <f t="shared" si="53"/>
        <v>-332.41564959999999</v>
      </c>
      <c r="AF87" s="6">
        <f t="shared" si="53"/>
        <v>-341.2236575</v>
      </c>
      <c r="AG87" s="6">
        <f t="shared" si="53"/>
        <v>-350.0981946</v>
      </c>
      <c r="AH87" s="6">
        <f t="shared" si="53"/>
        <v>-359.05231959999998</v>
      </c>
      <c r="AI87" s="6">
        <f t="shared" si="53"/>
        <v>-368.09726099999995</v>
      </c>
      <c r="AJ87" s="6">
        <f t="shared" si="53"/>
        <v>-377.24164189999993</v>
      </c>
      <c r="AK87" s="6">
        <f t="shared" si="53"/>
        <v>-386.49174490000001</v>
      </c>
      <c r="AL87" s="6">
        <f t="shared" si="53"/>
        <v>-395.85201490000003</v>
      </c>
      <c r="AM87" s="6">
        <f t="shared" ref="AM87:BC87" si="54">AM89+AM90</f>
        <v>-405.2071775</v>
      </c>
      <c r="AN87" s="6">
        <f t="shared" si="54"/>
        <v>-414.44524989999996</v>
      </c>
      <c r="AO87" s="6">
        <f t="shared" si="54"/>
        <v>-423.71727059999995</v>
      </c>
      <c r="AP87" s="6">
        <f t="shared" si="54"/>
        <v>-433.05841849999996</v>
      </c>
      <c r="AQ87" s="6">
        <f t="shared" si="54"/>
        <v>-442.48236860000003</v>
      </c>
      <c r="AR87" s="6">
        <f t="shared" si="54"/>
        <v>-451.98920459999994</v>
      </c>
      <c r="AS87" s="6">
        <f t="shared" si="54"/>
        <v>-461.56552199999993</v>
      </c>
      <c r="AT87" s="6">
        <f t="shared" si="54"/>
        <v>-471.22654819999997</v>
      </c>
      <c r="AU87" s="6">
        <f t="shared" si="54"/>
        <v>-480.98987459999995</v>
      </c>
      <c r="AV87" s="6">
        <f t="shared" si="54"/>
        <v>-490.86852849999997</v>
      </c>
      <c r="AW87" s="6">
        <f t="shared" si="54"/>
        <v>-500.88168569999999</v>
      </c>
      <c r="AX87" s="6">
        <f t="shared" si="54"/>
        <v>-511.0449021</v>
      </c>
      <c r="AY87" s="6">
        <f t="shared" si="54"/>
        <v>-521.34795110000005</v>
      </c>
      <c r="AZ87" s="6">
        <f t="shared" si="54"/>
        <v>-531.78993910000008</v>
      </c>
      <c r="BA87" s="6">
        <f t="shared" si="54"/>
        <v>-542.37105910000014</v>
      </c>
      <c r="BB87" s="6">
        <f t="shared" si="54"/>
        <v>-648.58569910000006</v>
      </c>
      <c r="BC87" s="6">
        <f t="shared" si="54"/>
        <v>-664.35592210000004</v>
      </c>
      <c r="BD87" s="6">
        <f t="shared" ref="BD87:BF87" si="55">BD89+BD90</f>
        <v>-680.36736109999993</v>
      </c>
      <c r="BE87" s="6">
        <f t="shared" si="55"/>
        <v>-696.62701110000012</v>
      </c>
      <c r="BF87" s="6">
        <f t="shared" si="55"/>
        <v>-713.1423741000001</v>
      </c>
    </row>
    <row r="88" spans="1:58" x14ac:dyDescent="0.35">
      <c r="B88" t="s">
        <v>33</v>
      </c>
      <c r="C88" s="6">
        <f>[1]Results!F1580</f>
        <v>40631.793089999999</v>
      </c>
      <c r="D88" s="6">
        <f>[1]Results!G1580</f>
        <v>40933.913719999997</v>
      </c>
      <c r="E88" s="6">
        <f>[1]Results!H1580</f>
        <v>41205.086170000002</v>
      </c>
      <c r="F88" s="6">
        <f>[1]Results!I1580</f>
        <v>41483.583059999997</v>
      </c>
      <c r="G88" s="6">
        <f>[1]Results!J1580</f>
        <v>41783.64875</v>
      </c>
      <c r="H88" s="6">
        <f>[1]Results!K1580</f>
        <v>42105.969169999997</v>
      </c>
      <c r="I88" s="6">
        <f>[1]Results!L1580</f>
        <v>42428.62528</v>
      </c>
      <c r="J88" s="6">
        <f>[1]Results!M1580</f>
        <v>42764.79653</v>
      </c>
      <c r="K88" s="6">
        <f>[1]Results!N1580</f>
        <v>43114.373509999998</v>
      </c>
      <c r="L88" s="6">
        <f>[1]Results!O1580</f>
        <v>43475.733220000002</v>
      </c>
      <c r="M88" s="6">
        <f>[1]Results!P1580</f>
        <v>43887.594899999996</v>
      </c>
      <c r="N88" s="6">
        <f>[1]Results!Q1580</f>
        <v>44281.008560000002</v>
      </c>
      <c r="O88" s="6">
        <f>[1]Results!R1580</f>
        <v>44676.652670000003</v>
      </c>
      <c r="P88" s="6">
        <f>[1]Results!S1580</f>
        <v>45077.007290000001</v>
      </c>
      <c r="Q88" s="6">
        <f>[1]Results!T1580</f>
        <v>45482.665979999998</v>
      </c>
      <c r="R88" s="6">
        <f>[1]Results!U1580</f>
        <v>45894.054089999998</v>
      </c>
      <c r="S88" s="6">
        <f>[1]Results!V1580</f>
        <v>46311.495000000003</v>
      </c>
      <c r="T88" s="6">
        <f>[1]Results!W1580</f>
        <v>46735.219369999999</v>
      </c>
      <c r="U88" s="6">
        <f>[1]Results!X1580</f>
        <v>47165.395360000002</v>
      </c>
      <c r="V88" s="6">
        <f>[1]Results!Y1580</f>
        <v>47602.165130000001</v>
      </c>
      <c r="W88" s="6">
        <f>[1]Results!Z1580</f>
        <v>48016.375910000002</v>
      </c>
      <c r="X88" s="6">
        <f>[1]Results!AA1580</f>
        <v>48457.432919999999</v>
      </c>
      <c r="Y88" s="6">
        <f>[1]Results!AB1580</f>
        <v>48909.72739</v>
      </c>
      <c r="Z88" s="6">
        <f>[1]Results!AC1580</f>
        <v>49371.293709999998</v>
      </c>
      <c r="AA88" s="6">
        <f>[1]Results!AD1580</f>
        <v>49841.758329999997</v>
      </c>
      <c r="AB88" s="6">
        <f>[1]Results!AE1580</f>
        <v>50237.352680000004</v>
      </c>
      <c r="AC88" s="6">
        <f>[1]Results!AF1580</f>
        <v>50659.306239999998</v>
      </c>
      <c r="AD88" s="6">
        <f>[1]Results!AG1580</f>
        <v>51089.043709999998</v>
      </c>
      <c r="AE88" s="6">
        <f>[1]Results!AH1580</f>
        <v>51525.934800000003</v>
      </c>
      <c r="AF88" s="6">
        <f>[1]Results!AI1580</f>
        <v>51970.848129999998</v>
      </c>
      <c r="AG88" s="6">
        <f>[1]Results!AJ1580</f>
        <v>52424.762589999998</v>
      </c>
      <c r="AH88" s="6">
        <f>[1]Results!AK1580</f>
        <v>52888.527999999998</v>
      </c>
      <c r="AI88" s="6">
        <f>[1]Results!AL1580</f>
        <v>53362.814429999999</v>
      </c>
      <c r="AJ88" s="6">
        <f>[1]Results!AM1580</f>
        <v>53848.110289999997</v>
      </c>
      <c r="AK88" s="6">
        <f>[1]Results!AN1580</f>
        <v>54344.741699999999</v>
      </c>
      <c r="AL88" s="6">
        <f>[1]Results!AO1580</f>
        <v>54852.902399999999</v>
      </c>
      <c r="AM88" s="6">
        <f>[1]Results!AP1580</f>
        <v>55352.829749999997</v>
      </c>
      <c r="AN88" s="6">
        <f>[1]Results!AQ1580</f>
        <v>55857.896200000003</v>
      </c>
      <c r="AO88" s="6">
        <f>[1]Results!AR1580</f>
        <v>56372.087599999999</v>
      </c>
      <c r="AP88" s="6">
        <f>[1]Results!AS1580</f>
        <v>56897.731449999999</v>
      </c>
      <c r="AQ88" s="6">
        <f>[1]Results!AT1580</f>
        <v>57435.909899999999</v>
      </c>
      <c r="AR88" s="6">
        <f>[1]Results!AU1580</f>
        <v>57982.864930000003</v>
      </c>
      <c r="AS88" s="6">
        <f>[1]Results!AV1580</f>
        <v>58536.644160000003</v>
      </c>
      <c r="AT88" s="6">
        <f>[1]Results!AW1580</f>
        <v>59097.018730000003</v>
      </c>
      <c r="AU88" s="6">
        <f>[1]Results!AX1580</f>
        <v>59665.389840000003</v>
      </c>
      <c r="AV88" s="6">
        <f>[1]Results!AY1580</f>
        <v>60243.839970000001</v>
      </c>
      <c r="AW88" s="6">
        <f>[1]Results!AZ1580</f>
        <v>60836.019619999999</v>
      </c>
      <c r="AX88" s="6">
        <f>[1]Results!BA1580</f>
        <v>61442.010629999997</v>
      </c>
      <c r="AY88" s="6">
        <f>[1]Results!BB1580</f>
        <v>62062.24929</v>
      </c>
      <c r="AZ88" s="6">
        <f>[1]Results!BC1580</f>
        <v>62696.845699999998</v>
      </c>
      <c r="BA88" s="6">
        <f>[1]Results!BD1580</f>
        <v>63345.670879999998</v>
      </c>
      <c r="BB88" s="6">
        <f>[1]Results!BE1580</f>
        <v>66761.92697</v>
      </c>
      <c r="BC88" s="6">
        <f>[1]Results!BF1580</f>
        <v>67613.189150000006</v>
      </c>
      <c r="BD88" s="6">
        <f>[1]Results!BG1580</f>
        <v>68479.501260000005</v>
      </c>
      <c r="BE88" s="6">
        <f>[1]Results!BH1580</f>
        <v>69361.150169999994</v>
      </c>
      <c r="BF88" s="6">
        <f>[1]Results!BI1580</f>
        <v>70258.379430000001</v>
      </c>
    </row>
    <row r="89" spans="1:58" x14ac:dyDescent="0.35">
      <c r="B89" t="s">
        <v>35</v>
      </c>
      <c r="C89" s="6">
        <f>[1]Results!F1577</f>
        <v>-613.18556090000004</v>
      </c>
      <c r="D89" s="6">
        <f>[1]Results!G1577</f>
        <v>-619.35143819999996</v>
      </c>
      <c r="E89" s="6">
        <f>[1]Results!H1577</f>
        <v>-622.32872450000002</v>
      </c>
      <c r="F89" s="6">
        <f>[1]Results!I1577</f>
        <v>-625.20712449999996</v>
      </c>
      <c r="G89" s="6">
        <f>[1]Results!J1577</f>
        <v>-629.15235740000003</v>
      </c>
      <c r="H89" s="6">
        <f>[1]Results!K1577</f>
        <v>-634.35464879999995</v>
      </c>
      <c r="I89" s="6">
        <f>[1]Results!L1577</f>
        <v>-640.49863700000003</v>
      </c>
      <c r="J89" s="6">
        <f>[1]Results!M1577</f>
        <v>-647.19925469999998</v>
      </c>
      <c r="K89" s="6">
        <f>[1]Results!N1577</f>
        <v>-654.39654829999995</v>
      </c>
      <c r="L89" s="6">
        <f>[1]Results!O1577</f>
        <v>-661.96240909999995</v>
      </c>
      <c r="M89" s="6">
        <f>[1]Results!P1577</f>
        <v>-670.02508139999998</v>
      </c>
      <c r="N89" s="6">
        <f>[1]Results!Q1577</f>
        <v>-678.51295119999997</v>
      </c>
      <c r="O89" s="6">
        <f>[1]Results!R1577</f>
        <v>-686.87376200000006</v>
      </c>
      <c r="P89" s="6">
        <f>[1]Results!S1577</f>
        <v>-695.30608340000003</v>
      </c>
      <c r="Q89" s="6">
        <f>[1]Results!T1577</f>
        <v>-703.83502290000001</v>
      </c>
      <c r="R89" s="6">
        <f>[1]Results!U1577</f>
        <v>-712.45802449999996</v>
      </c>
      <c r="S89" s="6">
        <f>[1]Results!V1577</f>
        <v>-721.1711358</v>
      </c>
      <c r="T89" s="6">
        <f>[1]Results!W1577</f>
        <v>-729.97238930000003</v>
      </c>
      <c r="U89" s="6">
        <f>[1]Results!X1577</f>
        <v>-738.86137770000005</v>
      </c>
      <c r="V89" s="6">
        <f>[1]Results!Y1577</f>
        <v>-747.83852730000001</v>
      </c>
      <c r="W89" s="6">
        <f>[1]Results!Z1577</f>
        <v>-756.73487469999998</v>
      </c>
      <c r="X89" s="6">
        <f>[1]Results!AA1577</f>
        <v>-765.5573306</v>
      </c>
      <c r="Y89" s="6">
        <f>[1]Results!AB1577</f>
        <v>-774.68600830000003</v>
      </c>
      <c r="Z89" s="6">
        <f>[1]Results!AC1577</f>
        <v>-783.9550931</v>
      </c>
      <c r="AA89" s="6">
        <f>[1]Results!AD1577</f>
        <v>-793.33546369999999</v>
      </c>
      <c r="AB89" s="6">
        <f>[1]Results!AE1577</f>
        <v>-802.33248049999997</v>
      </c>
      <c r="AC89" s="6">
        <f>[1]Results!AF1577</f>
        <v>-810.73281919999999</v>
      </c>
      <c r="AD89" s="6">
        <f>[1]Results!AG1577</f>
        <v>-819.40467950000004</v>
      </c>
      <c r="AE89" s="6">
        <f>[1]Results!AH1577</f>
        <v>-828.15563550000002</v>
      </c>
      <c r="AF89" s="6">
        <f>[1]Results!AI1577</f>
        <v>-836.96364340000002</v>
      </c>
      <c r="AG89" s="6">
        <f>[1]Results!AJ1577</f>
        <v>-845.83818050000002</v>
      </c>
      <c r="AH89" s="6">
        <f>[1]Results!AK1577</f>
        <v>-854.7923055</v>
      </c>
      <c r="AI89" s="6">
        <f>[1]Results!AL1577</f>
        <v>-863.83724689999997</v>
      </c>
      <c r="AJ89" s="6">
        <f>[1]Results!AM1577</f>
        <v>-872.98162779999996</v>
      </c>
      <c r="AK89" s="6">
        <f>[1]Results!AN1577</f>
        <v>-882.23173080000004</v>
      </c>
      <c r="AL89" s="6">
        <f>[1]Results!AO1577</f>
        <v>-891.59200080000005</v>
      </c>
      <c r="AM89" s="6">
        <f>[1]Results!AP1577</f>
        <v>-900.94716340000002</v>
      </c>
      <c r="AN89" s="6">
        <f>[1]Results!AQ1577</f>
        <v>-910.18523579999999</v>
      </c>
      <c r="AO89" s="6">
        <f>[1]Results!AR1577</f>
        <v>-919.45725649999997</v>
      </c>
      <c r="AP89" s="6">
        <f>[1]Results!AS1577</f>
        <v>-928.79840439999998</v>
      </c>
      <c r="AQ89" s="6">
        <f>[1]Results!AT1577</f>
        <v>-938.22235450000005</v>
      </c>
      <c r="AR89" s="6">
        <f>[1]Results!AU1577</f>
        <v>-947.72919049999996</v>
      </c>
      <c r="AS89" s="6">
        <f>[1]Results!AV1577</f>
        <v>-957.30550789999995</v>
      </c>
      <c r="AT89" s="6">
        <f>[1]Results!AW1577</f>
        <v>-966.96653409999999</v>
      </c>
      <c r="AU89" s="6">
        <f>[1]Results!AX1577</f>
        <v>-976.72986049999997</v>
      </c>
      <c r="AV89" s="6">
        <f>[1]Results!AY1577</f>
        <v>-986.60851439999999</v>
      </c>
      <c r="AW89" s="6">
        <f>[1]Results!AZ1577</f>
        <v>-996.62167160000001</v>
      </c>
      <c r="AX89" s="6">
        <f>[1]Results!BA1577</f>
        <v>-1006.784888</v>
      </c>
      <c r="AY89" s="6">
        <f>[1]Results!BB1577</f>
        <v>-1017.087937</v>
      </c>
      <c r="AZ89" s="6">
        <f>[1]Results!BC1577</f>
        <v>-1027.529925</v>
      </c>
      <c r="BA89" s="6">
        <f>[1]Results!BD1577</f>
        <v>-1038.1110450000001</v>
      </c>
      <c r="BB89" s="6">
        <f>[1]Results!BE1577</f>
        <v>-1144.325685</v>
      </c>
      <c r="BC89" s="6">
        <f>[1]Results!BF1577</f>
        <v>-1160.095908</v>
      </c>
      <c r="BD89" s="6">
        <f>[1]Results!BG1577</f>
        <v>-1176.1073469999999</v>
      </c>
      <c r="BE89" s="6">
        <f>[1]Results!BH1577</f>
        <v>-1192.3669970000001</v>
      </c>
      <c r="BF89" s="6">
        <f>[1]Results!BI1577</f>
        <v>-1208.8823600000001</v>
      </c>
    </row>
    <row r="90" spans="1:58" x14ac:dyDescent="0.35">
      <c r="B90" t="s">
        <v>34</v>
      </c>
      <c r="C90" s="6">
        <f>[1]Results!$F1579</f>
        <v>495.73998590000002</v>
      </c>
      <c r="D90" s="6">
        <f>[1]Results!$F1579</f>
        <v>495.73998590000002</v>
      </c>
      <c r="E90" s="6">
        <f>[1]Results!$F1579</f>
        <v>495.73998590000002</v>
      </c>
      <c r="F90" s="6">
        <f>[1]Results!$F1579</f>
        <v>495.73998590000002</v>
      </c>
      <c r="G90" s="6">
        <f>[1]Results!$F1579</f>
        <v>495.73998590000002</v>
      </c>
      <c r="H90" s="6">
        <f>[1]Results!$F1579</f>
        <v>495.73998590000002</v>
      </c>
      <c r="I90" s="6">
        <f>[1]Results!$F1579</f>
        <v>495.73998590000002</v>
      </c>
      <c r="J90" s="6">
        <f>[1]Results!$F1579</f>
        <v>495.73998590000002</v>
      </c>
      <c r="K90" s="6">
        <f>[1]Results!$F1579</f>
        <v>495.73998590000002</v>
      </c>
      <c r="L90" s="6">
        <f>[1]Results!$F1579</f>
        <v>495.73998590000002</v>
      </c>
      <c r="M90" s="6">
        <f>[1]Results!$F1579</f>
        <v>495.73998590000002</v>
      </c>
      <c r="N90" s="6">
        <f>[1]Results!$F1579</f>
        <v>495.73998590000002</v>
      </c>
      <c r="O90" s="6">
        <f>[1]Results!$F1579</f>
        <v>495.73998590000002</v>
      </c>
      <c r="P90" s="6">
        <f>[1]Results!$F1579</f>
        <v>495.73998590000002</v>
      </c>
      <c r="Q90" s="6">
        <f>[1]Results!$F1579</f>
        <v>495.73998590000002</v>
      </c>
      <c r="R90" s="6">
        <f>[1]Results!$F1579</f>
        <v>495.73998590000002</v>
      </c>
      <c r="S90" s="6">
        <f>[1]Results!$F1579</f>
        <v>495.73998590000002</v>
      </c>
      <c r="T90" s="6">
        <f>[1]Results!$F1579</f>
        <v>495.73998590000002</v>
      </c>
      <c r="U90" s="6">
        <f>[1]Results!$F1579</f>
        <v>495.73998590000002</v>
      </c>
      <c r="V90" s="6">
        <f>[1]Results!$F1579</f>
        <v>495.73998590000002</v>
      </c>
      <c r="W90" s="6">
        <f>[1]Results!$F1579</f>
        <v>495.73998590000002</v>
      </c>
      <c r="X90" s="6">
        <f>[1]Results!$F1579</f>
        <v>495.73998590000002</v>
      </c>
      <c r="Y90" s="6">
        <f>[1]Results!$F1579</f>
        <v>495.73998590000002</v>
      </c>
      <c r="Z90" s="6">
        <f>[1]Results!$F1579</f>
        <v>495.73998590000002</v>
      </c>
      <c r="AA90" s="6">
        <f>[1]Results!$F1579</f>
        <v>495.73998590000002</v>
      </c>
      <c r="AB90" s="6">
        <f>[1]Results!$F1579</f>
        <v>495.73998590000002</v>
      </c>
      <c r="AC90" s="6">
        <f>[1]Results!$F1579</f>
        <v>495.73998590000002</v>
      </c>
      <c r="AD90" s="6">
        <f>[1]Results!$F1579</f>
        <v>495.73998590000002</v>
      </c>
      <c r="AE90" s="6">
        <f>[1]Results!$F1579</f>
        <v>495.73998590000002</v>
      </c>
      <c r="AF90" s="6">
        <f>[1]Results!$F1579</f>
        <v>495.73998590000002</v>
      </c>
      <c r="AG90" s="6">
        <f>[1]Results!$F1579</f>
        <v>495.73998590000002</v>
      </c>
      <c r="AH90" s="6">
        <f>[1]Results!$F1579</f>
        <v>495.73998590000002</v>
      </c>
      <c r="AI90" s="6">
        <f>[1]Results!$F1579</f>
        <v>495.73998590000002</v>
      </c>
      <c r="AJ90" s="6">
        <f>[1]Results!$F1579</f>
        <v>495.73998590000002</v>
      </c>
      <c r="AK90" s="6">
        <f>[1]Results!$F1579</f>
        <v>495.73998590000002</v>
      </c>
      <c r="AL90" s="6">
        <f>[1]Results!$F1579</f>
        <v>495.73998590000002</v>
      </c>
      <c r="AM90" s="6">
        <f>[1]Results!$F1579</f>
        <v>495.73998590000002</v>
      </c>
      <c r="AN90" s="6">
        <f>[1]Results!$F1579</f>
        <v>495.73998590000002</v>
      </c>
      <c r="AO90" s="6">
        <f>[1]Results!$F1579</f>
        <v>495.73998590000002</v>
      </c>
      <c r="AP90" s="6">
        <f>[1]Results!$F1579</f>
        <v>495.73998590000002</v>
      </c>
      <c r="AQ90" s="6">
        <f>[1]Results!$F1579</f>
        <v>495.73998590000002</v>
      </c>
      <c r="AR90" s="6">
        <f>[1]Results!$F1579</f>
        <v>495.73998590000002</v>
      </c>
      <c r="AS90" s="6">
        <f>[1]Results!$F1579</f>
        <v>495.73998590000002</v>
      </c>
      <c r="AT90" s="6">
        <f>[1]Results!$F1579</f>
        <v>495.73998590000002</v>
      </c>
      <c r="AU90" s="6">
        <f>[1]Results!$F1579</f>
        <v>495.73998590000002</v>
      </c>
      <c r="AV90" s="6">
        <f>[1]Results!$F1579</f>
        <v>495.73998590000002</v>
      </c>
      <c r="AW90" s="6">
        <f>[1]Results!$F1579</f>
        <v>495.73998590000002</v>
      </c>
      <c r="AX90" s="6">
        <f>[1]Results!$F1579</f>
        <v>495.73998590000002</v>
      </c>
      <c r="AY90" s="6">
        <f>[1]Results!$F1579</f>
        <v>495.73998590000002</v>
      </c>
      <c r="AZ90" s="6">
        <f>[1]Results!$F1579</f>
        <v>495.73998590000002</v>
      </c>
      <c r="BA90" s="6">
        <f>[1]Results!$F1579</f>
        <v>495.73998590000002</v>
      </c>
      <c r="BB90" s="6">
        <f>[1]Results!$F1579</f>
        <v>495.73998590000002</v>
      </c>
      <c r="BC90" s="6">
        <f>[1]Results!$F1579</f>
        <v>495.73998590000002</v>
      </c>
      <c r="BD90" s="6">
        <f>[1]Results!$F1579</f>
        <v>495.73998590000002</v>
      </c>
      <c r="BE90" s="6">
        <f>[1]Results!$F1579</f>
        <v>495.73998590000002</v>
      </c>
      <c r="BF90" s="6">
        <f>[1]Results!$F1579</f>
        <v>495.73998590000002</v>
      </c>
    </row>
    <row r="91" spans="1:58" x14ac:dyDescent="0.35">
      <c r="B91" t="s">
        <v>37</v>
      </c>
      <c r="C91" s="6">
        <f>[1]Results!F1575</f>
        <v>-2029.1432070000001</v>
      </c>
      <c r="D91" s="6">
        <f>[1]Results!G1575</f>
        <v>-2061.381993</v>
      </c>
      <c r="E91" s="6">
        <f>[1]Results!H1575</f>
        <v>-2071.956322</v>
      </c>
      <c r="F91" s="6">
        <f>[1]Results!I1575</f>
        <v>-2079.2405399999998</v>
      </c>
      <c r="G91" s="6">
        <f>[1]Results!J1575</f>
        <v>-2089.9549499999998</v>
      </c>
      <c r="H91" s="6">
        <f>[1]Results!K1575</f>
        <v>-2105.7625800000001</v>
      </c>
      <c r="I91" s="6">
        <f>[1]Results!L1575</f>
        <v>-2126.815302</v>
      </c>
      <c r="J91" s="6">
        <f>[1]Results!M1575</f>
        <v>-2149.099502</v>
      </c>
      <c r="K91" s="6">
        <f>[1]Results!N1575</f>
        <v>-2173.2060700000002</v>
      </c>
      <c r="L91" s="6">
        <f>[1]Results!O1575</f>
        <v>-2198.7615500000002</v>
      </c>
      <c r="M91" s="6">
        <f>[1]Results!P1575</f>
        <v>-2223.7912299999998</v>
      </c>
      <c r="N91" s="6">
        <f>[1]Results!Q1575</f>
        <v>-2254.8331629999998</v>
      </c>
      <c r="O91" s="6">
        <f>[1]Results!R1575</f>
        <v>-2283.7043180000001</v>
      </c>
      <c r="P91" s="6">
        <f>[1]Results!S1575</f>
        <v>-2312.3888619999998</v>
      </c>
      <c r="Q91" s="6">
        <f>[1]Results!T1575</f>
        <v>-2341.296128</v>
      </c>
      <c r="R91" s="6">
        <f>[1]Results!U1575</f>
        <v>-2370.4851979999999</v>
      </c>
      <c r="S91" s="6">
        <f>[1]Results!V1575</f>
        <v>-2399.9641029999998</v>
      </c>
      <c r="T91" s="6">
        <f>[1]Results!W1575</f>
        <v>-2429.740382</v>
      </c>
      <c r="U91" s="6">
        <f>[1]Results!X1575</f>
        <v>-2459.8245360000001</v>
      </c>
      <c r="V91" s="6">
        <f>[1]Results!Y1575</f>
        <v>-2490.2275420000001</v>
      </c>
      <c r="W91" s="6">
        <f>[1]Results!Z1575</f>
        <v>-2522.0997349999998</v>
      </c>
      <c r="X91" s="6">
        <f>[1]Results!AA1575</f>
        <v>-2550.413348</v>
      </c>
      <c r="Y91" s="6">
        <f>[1]Results!AB1575</f>
        <v>-2581.0984880000001</v>
      </c>
      <c r="Z91" s="6">
        <f>[1]Results!AC1575</f>
        <v>-2612.6018909999998</v>
      </c>
      <c r="AA91" s="6">
        <f>[1]Results!AD1575</f>
        <v>-2644.579913</v>
      </c>
      <c r="AB91" s="6">
        <f>[1]Results!AE1575</f>
        <v>-2680.24595</v>
      </c>
      <c r="AC91" s="6">
        <f>[1]Results!AF1575</f>
        <v>-2706.6429440000002</v>
      </c>
      <c r="AD91" s="6">
        <f>[1]Results!AG1575</f>
        <v>-2735.5530560000002</v>
      </c>
      <c r="AE91" s="6">
        <f>[1]Results!AH1575</f>
        <v>-2765.1996300000001</v>
      </c>
      <c r="AF91" s="6">
        <f>[1]Results!AI1575</f>
        <v>-2795.20714</v>
      </c>
      <c r="AG91" s="6">
        <f>[1]Results!AJ1575</f>
        <v>-2825.539186</v>
      </c>
      <c r="AH91" s="6">
        <f>[1]Results!AK1575</f>
        <v>-2856.2243840000001</v>
      </c>
      <c r="AI91" s="6">
        <f>[1]Results!AL1575</f>
        <v>-2887.2958210000002</v>
      </c>
      <c r="AJ91" s="6">
        <f>[1]Results!AM1575</f>
        <v>-2918.7789269999998</v>
      </c>
      <c r="AK91" s="6">
        <f>[1]Results!AN1575</f>
        <v>-2950.6903710000001</v>
      </c>
      <c r="AL91" s="6">
        <f>[1]Results!AO1575</f>
        <v>-2983.0396129999999</v>
      </c>
      <c r="AM91" s="6">
        <f>[1]Results!AP1575</f>
        <v>-3016.6169420000001</v>
      </c>
      <c r="AN91" s="6">
        <f>[1]Results!AQ1575</f>
        <v>-3048.725837</v>
      </c>
      <c r="AO91" s="6">
        <f>[1]Results!AR1575</f>
        <v>-3080.745355</v>
      </c>
      <c r="AP91" s="6">
        <f>[1]Results!AS1575</f>
        <v>-3113.0564100000001</v>
      </c>
      <c r="AQ91" s="6">
        <f>[1]Results!AT1575</f>
        <v>-3145.7917779999998</v>
      </c>
      <c r="AR91" s="6">
        <f>[1]Results!AU1575</f>
        <v>-3179.110964</v>
      </c>
      <c r="AS91" s="6">
        <f>[1]Results!AV1575</f>
        <v>-3212.7998670000002</v>
      </c>
      <c r="AT91" s="6">
        <f>[1]Results!AW1575</f>
        <v>-3246.8521409999998</v>
      </c>
      <c r="AU91" s="6">
        <f>[1]Results!AX1575</f>
        <v>-3281.2884159999999</v>
      </c>
      <c r="AV91" s="6">
        <f>[1]Results!AY1575</f>
        <v>-3316.1305910000001</v>
      </c>
      <c r="AW91" s="6">
        <f>[1]Results!AZ1575</f>
        <v>-3351.3338450000001</v>
      </c>
      <c r="AX91" s="6">
        <f>[1]Results!BA1575</f>
        <v>-3387.1667659999998</v>
      </c>
      <c r="AY91" s="6">
        <f>[1]Results!BB1575</f>
        <v>-3423.521002</v>
      </c>
      <c r="AZ91" s="6">
        <f>[1]Results!BC1575</f>
        <v>-3460.3790739999999</v>
      </c>
      <c r="BA91" s="6">
        <f>[1]Results!BD1575</f>
        <v>-3497.7386409999999</v>
      </c>
      <c r="BB91" s="6">
        <f>[1]Results!BE1575</f>
        <v>-3861.2418819999998</v>
      </c>
      <c r="BC91" s="6">
        <f>[1]Results!BF1575</f>
        <v>-3916.1006659999998</v>
      </c>
      <c r="BD91" s="6">
        <f>[1]Results!BG1575</f>
        <v>-3971.8087999999998</v>
      </c>
      <c r="BE91" s="6">
        <f>[1]Results!BH1575</f>
        <v>-4028.391533</v>
      </c>
      <c r="BF91" s="6">
        <f>[1]Results!BI1575</f>
        <v>-4085.8743770000001</v>
      </c>
    </row>
    <row r="93" spans="1:58" x14ac:dyDescent="0.35">
      <c r="A93" t="s">
        <v>39</v>
      </c>
      <c r="B93" t="s">
        <v>13</v>
      </c>
      <c r="C93" s="6">
        <f>[1]Results!F1512</f>
        <v>1969318.2919999999</v>
      </c>
      <c r="D93" s="6">
        <f>[1]Results!G1512</f>
        <v>1994033.5460000001</v>
      </c>
      <c r="E93" s="6">
        <f>[1]Results!H1512</f>
        <v>2021533.0519999999</v>
      </c>
      <c r="F93" s="6">
        <f>[1]Results!I1512</f>
        <v>2050924.9509999999</v>
      </c>
      <c r="G93" s="6">
        <f>[1]Results!J1512</f>
        <v>2082120.5460000001</v>
      </c>
      <c r="H93" s="6">
        <f>[1]Results!K1512</f>
        <v>2114975.1540000001</v>
      </c>
      <c r="I93" s="6">
        <f>[1]Results!L1512</f>
        <v>2147880.7599999998</v>
      </c>
      <c r="J93" s="6">
        <f>[1]Results!M1512</f>
        <v>2181758.3840000001</v>
      </c>
      <c r="K93" s="6">
        <f>[1]Results!N1512</f>
        <v>2216526.4070000001</v>
      </c>
      <c r="L93" s="6">
        <f>[1]Results!O1512</f>
        <v>2252115.3640000001</v>
      </c>
      <c r="M93" s="6">
        <f>[1]Results!P1512</f>
        <v>2291010.5610000002</v>
      </c>
      <c r="N93" s="6">
        <f>[1]Results!Q1512</f>
        <v>2328709.054</v>
      </c>
      <c r="O93" s="6">
        <f>[1]Results!R1512</f>
        <v>2366950.0430000001</v>
      </c>
      <c r="P93" s="6">
        <f>[1]Results!S1512</f>
        <v>2405686.5780000002</v>
      </c>
      <c r="Q93" s="6">
        <f>[1]Results!T1512</f>
        <v>2444900.5729999999</v>
      </c>
      <c r="R93" s="6">
        <f>[1]Results!U1512</f>
        <v>2484590.08</v>
      </c>
      <c r="S93" s="6">
        <f>[1]Results!V1512</f>
        <v>2524766.3470000001</v>
      </c>
      <c r="T93" s="6">
        <f>[1]Results!W1512</f>
        <v>2565445.89</v>
      </c>
      <c r="U93" s="6">
        <f>[1]Results!X1512</f>
        <v>2606650.8059999999</v>
      </c>
      <c r="V93" s="6">
        <f>[1]Results!Y1512</f>
        <v>2648404.4700000002</v>
      </c>
      <c r="W93" s="6">
        <f>[1]Results!Z1512</f>
        <v>2688822.6439999999</v>
      </c>
      <c r="X93" s="6">
        <f>[1]Results!AA1512</f>
        <v>2731252.8020000001</v>
      </c>
      <c r="Y93" s="6">
        <f>[1]Results!AB1512</f>
        <v>2774382.1430000002</v>
      </c>
      <c r="Z93" s="6">
        <f>[1]Results!AC1512</f>
        <v>2818237.051</v>
      </c>
      <c r="AA93" s="6">
        <f>[1]Results!AD1512</f>
        <v>2862827.4709999999</v>
      </c>
      <c r="AB93" s="6">
        <f>[1]Results!AE1512</f>
        <v>2902623.6469999999</v>
      </c>
      <c r="AC93" s="6">
        <f>[1]Results!AF1512</f>
        <v>2944637.0639999998</v>
      </c>
      <c r="AD93" s="6">
        <f>[1]Results!AG1512</f>
        <v>2986920.747</v>
      </c>
      <c r="AE93" s="6">
        <f>[1]Results!AH1512</f>
        <v>3029602.9950000001</v>
      </c>
      <c r="AF93" s="6">
        <f>[1]Results!AI1512</f>
        <v>3072780.97</v>
      </c>
      <c r="AG93" s="6">
        <f>[1]Results!AJ1512</f>
        <v>3116529.2030000002</v>
      </c>
      <c r="AH93" s="6">
        <f>[1]Results!AK1512</f>
        <v>3160899.7370000002</v>
      </c>
      <c r="AI93" s="6">
        <f>[1]Results!AL1512</f>
        <v>3205925.889</v>
      </c>
      <c r="AJ93" s="6">
        <f>[1]Results!AM1512</f>
        <v>3251625.108</v>
      </c>
      <c r="AK93" s="6">
        <f>[1]Results!AN1512</f>
        <v>3298004.0809999998</v>
      </c>
      <c r="AL93" s="6">
        <f>[1]Results!AO1512</f>
        <v>3345062.7949999999</v>
      </c>
      <c r="AM93" s="6">
        <f>[1]Results!AP1512</f>
        <v>3391443.5529999998</v>
      </c>
      <c r="AN93" s="6">
        <f>[1]Results!AQ1512</f>
        <v>3438134.3119999999</v>
      </c>
      <c r="AO93" s="6">
        <f>[1]Results!AR1512</f>
        <v>3485188.4040000001</v>
      </c>
      <c r="AP93" s="6">
        <f>[1]Results!AS1512</f>
        <v>3532666.8450000002</v>
      </c>
      <c r="AQ93" s="6">
        <f>[1]Results!AT1512</f>
        <v>3580627.1660000002</v>
      </c>
      <c r="AR93" s="6">
        <f>[1]Results!AU1512</f>
        <v>3629119.1260000002</v>
      </c>
      <c r="AS93" s="6">
        <f>[1]Results!AV1512</f>
        <v>3678185.0350000001</v>
      </c>
      <c r="AT93" s="6">
        <f>[1]Results!AW1512</f>
        <v>3727857.2209999999</v>
      </c>
      <c r="AU93" s="6">
        <f>[1]Results!AX1512</f>
        <v>3778159.8689999999</v>
      </c>
      <c r="AV93" s="6">
        <f>[1]Results!AY1512</f>
        <v>3829110.5759999999</v>
      </c>
      <c r="AW93" s="6">
        <f>[1]Results!AZ1512</f>
        <v>3881173.2560000001</v>
      </c>
      <c r="AX93" s="6">
        <f>[1]Results!BA1512</f>
        <v>3934339.7220000001</v>
      </c>
      <c r="AY93" s="6">
        <f>[1]Results!BB1512</f>
        <v>3988548.3339999998</v>
      </c>
      <c r="AZ93" s="6">
        <f>[1]Results!BC1512</f>
        <v>4043703.2590000001</v>
      </c>
      <c r="BA93" s="6">
        <f>[1]Results!BD1512</f>
        <v>4099725.318</v>
      </c>
      <c r="BB93" s="6">
        <f>[1]Results!BE1512</f>
        <v>4435341.7680000002</v>
      </c>
      <c r="BC93" s="6">
        <f>[1]Results!BF1512</f>
        <v>4509946.5190000003</v>
      </c>
      <c r="BD93" s="6">
        <f>[1]Results!BG1512</f>
        <v>4585737.1710000001</v>
      </c>
      <c r="BE93" s="6">
        <f>[1]Results!BH1512</f>
        <v>4662731.2929999996</v>
      </c>
      <c r="BF93" s="6">
        <f>[1]Results!BI1512</f>
        <v>4740947.9249999998</v>
      </c>
    </row>
    <row r="94" spans="1:58" x14ac:dyDescent="0.35">
      <c r="B94" t="s">
        <v>7</v>
      </c>
      <c r="C94" s="6">
        <f>[1]Results!F1513</f>
        <v>35915.693509999997</v>
      </c>
      <c r="D94" s="6">
        <f>[1]Results!G1513</f>
        <v>36020.24379</v>
      </c>
      <c r="E94" s="6">
        <f>[1]Results!H1513</f>
        <v>36188.017820000001</v>
      </c>
      <c r="F94" s="6">
        <f>[1]Results!I1513</f>
        <v>36406.483670000001</v>
      </c>
      <c r="G94" s="6">
        <f>[1]Results!J1513</f>
        <v>36679.375319999999</v>
      </c>
      <c r="H94" s="6">
        <f>[1]Results!K1513</f>
        <v>37004.02072</v>
      </c>
      <c r="I94" s="6">
        <f>[1]Results!L1513</f>
        <v>37345.454310000001</v>
      </c>
      <c r="J94" s="6">
        <f>[1]Results!M1513</f>
        <v>37721.160819999997</v>
      </c>
      <c r="K94" s="6">
        <f>[1]Results!N1513</f>
        <v>38124.87285</v>
      </c>
      <c r="L94" s="6">
        <f>[1]Results!O1513</f>
        <v>38551.480629999998</v>
      </c>
      <c r="M94" s="6">
        <f>[1]Results!P1513</f>
        <v>39044.69427</v>
      </c>
      <c r="N94" s="6">
        <f>[1]Results!Q1513</f>
        <v>39505.87255</v>
      </c>
      <c r="O94" s="6">
        <f>[1]Results!R1513</f>
        <v>39975.634830000003</v>
      </c>
      <c r="P94" s="6">
        <f>[1]Results!S1513</f>
        <v>40449.442419999999</v>
      </c>
      <c r="Q94" s="6">
        <f>[1]Results!T1513</f>
        <v>40925.326200000003</v>
      </c>
      <c r="R94" s="6">
        <f>[1]Results!U1513</f>
        <v>41402.044999999998</v>
      </c>
      <c r="S94" s="6">
        <f>[1]Results!V1513</f>
        <v>41873.64486</v>
      </c>
      <c r="T94" s="6">
        <f>[1]Results!W1513</f>
        <v>42344.85181</v>
      </c>
      <c r="U94" s="6">
        <f>[1]Results!X1513</f>
        <v>42816.32533</v>
      </c>
      <c r="V94" s="6">
        <f>[1]Results!Y1513</f>
        <v>43288.919190000001</v>
      </c>
      <c r="W94" s="6">
        <f>[1]Results!Z1513</f>
        <v>43728.495430000003</v>
      </c>
      <c r="X94" s="6">
        <f>[1]Results!AA1513</f>
        <v>44201.688049999997</v>
      </c>
      <c r="Y94" s="6">
        <f>[1]Results!AB1513</f>
        <v>44680.09289</v>
      </c>
      <c r="Z94" s="6">
        <f>[1]Results!AC1513</f>
        <v>45166.265379999997</v>
      </c>
      <c r="AA94" s="6">
        <f>[1]Results!AD1513</f>
        <v>45661.160600000003</v>
      </c>
      <c r="AB94" s="6">
        <f>[1]Results!AE1513</f>
        <v>46065.210299999999</v>
      </c>
      <c r="AC94" s="6">
        <f>[1]Results!AF1513</f>
        <v>46520.341410000001</v>
      </c>
      <c r="AD94" s="6">
        <f>[1]Results!AG1513</f>
        <v>46979.686800000003</v>
      </c>
      <c r="AE94" s="6">
        <f>[1]Results!AH1513</f>
        <v>47447.526010000001</v>
      </c>
      <c r="AF94" s="6">
        <f>[1]Results!AI1513</f>
        <v>47925.404649999997</v>
      </c>
      <c r="AG94" s="6">
        <f>[1]Results!AJ1513</f>
        <v>48414.257250000002</v>
      </c>
      <c r="AH94" s="6">
        <f>[1]Results!AK1513</f>
        <v>48916.145199999999</v>
      </c>
      <c r="AI94" s="6">
        <f>[1]Results!AL1513</f>
        <v>49429.858630000002</v>
      </c>
      <c r="AJ94" s="6">
        <f>[1]Results!AM1513</f>
        <v>49955.19528</v>
      </c>
      <c r="AK94" s="6">
        <f>[1]Results!AN1513</f>
        <v>50491.788289999997</v>
      </c>
      <c r="AL94" s="6">
        <f>[1]Results!AO1513</f>
        <v>51039.135490000001</v>
      </c>
      <c r="AM94" s="6">
        <f>[1]Results!AP1513</f>
        <v>51587.416680000002</v>
      </c>
      <c r="AN94" s="6">
        <f>[1]Results!AQ1513</f>
        <v>52143.34158</v>
      </c>
      <c r="AO94" s="6">
        <f>[1]Results!AR1513</f>
        <v>52705.913180000003</v>
      </c>
      <c r="AP94" s="6">
        <f>[1]Results!AS1513</f>
        <v>53275.663050000003</v>
      </c>
      <c r="AQ94" s="6">
        <f>[1]Results!AT1513</f>
        <v>53853.106500000002</v>
      </c>
      <c r="AR94" s="6">
        <f>[1]Results!AU1513</f>
        <v>54441.084170000002</v>
      </c>
      <c r="AS94" s="6">
        <f>[1]Results!AV1513</f>
        <v>55037.742630000001</v>
      </c>
      <c r="AT94" s="6">
        <f>[1]Results!AW1513</f>
        <v>55643.192110000004</v>
      </c>
      <c r="AU94" s="6">
        <f>[1]Results!AX1513</f>
        <v>56257.558490000003</v>
      </c>
      <c r="AV94" s="6">
        <f>[1]Results!AY1513</f>
        <v>56880.922769999997</v>
      </c>
      <c r="AW94" s="6">
        <f>[1]Results!AZ1513</f>
        <v>57627.127189999999</v>
      </c>
      <c r="AX94" s="6">
        <f>[1]Results!BA1513</f>
        <v>58462.888220000001</v>
      </c>
      <c r="AY94" s="6">
        <f>[1]Results!BB1513</f>
        <v>59363.11793</v>
      </c>
      <c r="AZ94" s="6">
        <f>[1]Results!BC1513</f>
        <v>60309.964970000001</v>
      </c>
      <c r="BA94" s="6">
        <f>[1]Results!BD1513</f>
        <v>61291.821960000001</v>
      </c>
      <c r="BB94" s="6">
        <f>[1]Results!BE1513</f>
        <v>73046.369460000002</v>
      </c>
      <c r="BC94" s="6">
        <f>[1]Results!BF1513</f>
        <v>74178.173190000001</v>
      </c>
      <c r="BD94" s="6">
        <f>[1]Results!BG1513</f>
        <v>75329.311960000006</v>
      </c>
      <c r="BE94" s="6">
        <f>[1]Results!BH1513</f>
        <v>76500.127600000007</v>
      </c>
      <c r="BF94" s="6">
        <f>[1]Results!BI1513</f>
        <v>77691.000880000007</v>
      </c>
    </row>
    <row r="95" spans="1:58" x14ac:dyDescent="0.35">
      <c r="B95" t="s">
        <v>30</v>
      </c>
      <c r="C95" s="6">
        <f>[1]Results!F1516</f>
        <v>332398.6335</v>
      </c>
      <c r="D95" s="6">
        <f>[1]Results!G1516</f>
        <v>336502.40330000001</v>
      </c>
      <c r="E95" s="6">
        <f>[1]Results!H1516</f>
        <v>341166.13059999997</v>
      </c>
      <c r="F95" s="6">
        <f>[1]Results!I1516</f>
        <v>346178.41560000001</v>
      </c>
      <c r="G95" s="6">
        <f>[1]Results!J1516</f>
        <v>351532.17349999998</v>
      </c>
      <c r="H95" s="6">
        <f>[1]Results!K1516</f>
        <v>357211.7329</v>
      </c>
      <c r="I95" s="6">
        <f>[1]Results!L1516</f>
        <v>362973.17320000002</v>
      </c>
      <c r="J95" s="6">
        <f>[1]Results!M1516</f>
        <v>368961.87329999998</v>
      </c>
      <c r="K95" s="6">
        <f>[1]Results!N1516</f>
        <v>375153.64939999999</v>
      </c>
      <c r="L95" s="6">
        <f>[1]Results!O1516</f>
        <v>381533.46090000001</v>
      </c>
      <c r="M95" s="6">
        <f>[1]Results!P1516</f>
        <v>388485.49810000003</v>
      </c>
      <c r="N95" s="6">
        <f>[1]Results!Q1516</f>
        <v>395305.59210000001</v>
      </c>
      <c r="O95" s="6">
        <f>[1]Results!R1516</f>
        <v>402275.07280000002</v>
      </c>
      <c r="P95" s="6">
        <f>[1]Results!S1516</f>
        <v>409364.80609999999</v>
      </c>
      <c r="Q95" s="6">
        <f>[1]Results!T1516</f>
        <v>416565.88929999998</v>
      </c>
      <c r="R95" s="6">
        <f>[1]Results!U1516</f>
        <v>423874.78619999997</v>
      </c>
      <c r="S95" s="6">
        <f>[1]Results!V1516</f>
        <v>431298.92249999999</v>
      </c>
      <c r="T95" s="6">
        <f>[1]Results!W1516</f>
        <v>438832.44630000001</v>
      </c>
      <c r="U95" s="6">
        <f>[1]Results!X1516</f>
        <v>446478.48340000003</v>
      </c>
      <c r="V95" s="6">
        <f>[1]Results!Y1516</f>
        <v>454240.97389999998</v>
      </c>
      <c r="W95" s="6">
        <f>[1]Results!Z1516</f>
        <v>461823.49859999999</v>
      </c>
      <c r="X95" s="6">
        <f>[1]Results!AA1516</f>
        <v>469755.35590000002</v>
      </c>
      <c r="Y95" s="6">
        <f>[1]Results!AB1516</f>
        <v>477815.59480000002</v>
      </c>
      <c r="Z95" s="6">
        <f>[1]Results!AC1516</f>
        <v>486022.21600000001</v>
      </c>
      <c r="AA95" s="6">
        <f>[1]Results!AD1516</f>
        <v>494379.21629999997</v>
      </c>
      <c r="AB95" s="6">
        <f>[1]Results!AE1516</f>
        <v>502011.97480000003</v>
      </c>
      <c r="AC95" s="6">
        <f>[1]Results!AF1516</f>
        <v>510027.19400000002</v>
      </c>
      <c r="AD95" s="6">
        <f>[1]Results!AG1516</f>
        <v>518077.96139999997</v>
      </c>
      <c r="AE95" s="6">
        <f>[1]Results!AH1516</f>
        <v>526201.43359999999</v>
      </c>
      <c r="AF95" s="6">
        <f>[1]Results!AI1516</f>
        <v>534414.4621</v>
      </c>
      <c r="AG95" s="6">
        <f>[1]Results!AJ1516</f>
        <v>542728.06850000005</v>
      </c>
      <c r="AH95" s="6">
        <f>[1]Results!AK1516</f>
        <v>551146.82330000005</v>
      </c>
      <c r="AI95" s="6">
        <f>[1]Results!AL1516</f>
        <v>559676.37670000002</v>
      </c>
      <c r="AJ95" s="6">
        <f>[1]Results!AM1516</f>
        <v>568317.15749999997</v>
      </c>
      <c r="AK95" s="6">
        <f>[1]Results!AN1516</f>
        <v>577067.44259999995</v>
      </c>
      <c r="AL95" s="6">
        <f>[1]Results!AO1516</f>
        <v>585924.12890000001</v>
      </c>
      <c r="AM95" s="6">
        <f>[1]Results!AP1516</f>
        <v>594644.98699999996</v>
      </c>
      <c r="AN95" s="6">
        <f>[1]Results!AQ1516</f>
        <v>603406.07490000001</v>
      </c>
      <c r="AO95" s="6">
        <f>[1]Results!AR1516</f>
        <v>612202.90740000003</v>
      </c>
      <c r="AP95" s="6">
        <f>[1]Results!AS1516</f>
        <v>621041.68429999996</v>
      </c>
      <c r="AQ95" s="6">
        <f>[1]Results!AT1516</f>
        <v>629929.59600000002</v>
      </c>
      <c r="AR95" s="6">
        <f>[1]Results!AU1516</f>
        <v>638869.35759999999</v>
      </c>
      <c r="AS95" s="6">
        <f>[1]Results!AV1516</f>
        <v>647870.24800000002</v>
      </c>
      <c r="AT95" s="6">
        <f>[1]Results!AW1516</f>
        <v>656936.72230000002</v>
      </c>
      <c r="AU95" s="6">
        <f>[1]Results!AX1516</f>
        <v>666072.22080000001</v>
      </c>
      <c r="AV95" s="6">
        <f>[1]Results!AY1516</f>
        <v>675279.37620000006</v>
      </c>
      <c r="AW95" s="6">
        <f>[1]Results!AZ1516</f>
        <v>684619.48679999996</v>
      </c>
      <c r="AX95" s="6">
        <f>[1]Results!BA1516</f>
        <v>694163.84770000004</v>
      </c>
      <c r="AY95" s="6">
        <f>[1]Results!BB1516</f>
        <v>703919.02610000002</v>
      </c>
      <c r="AZ95" s="6">
        <f>[1]Results!BC1516</f>
        <v>713863.76769999997</v>
      </c>
      <c r="BA95" s="6">
        <f>[1]Results!BD1516</f>
        <v>723971.90460000001</v>
      </c>
      <c r="BB95" s="6">
        <f>[1]Results!BE1516</f>
        <v>779782.38390000002</v>
      </c>
      <c r="BC95" s="6">
        <f>[1]Results!BF1516</f>
        <v>793578.7855</v>
      </c>
      <c r="BD95" s="6">
        <f>[1]Results!BG1516</f>
        <v>807567.57739999995</v>
      </c>
      <c r="BE95" s="6">
        <f>[1]Results!BH1516</f>
        <v>821748.6128</v>
      </c>
      <c r="BF95" s="6">
        <f>[1]Results!BI1516</f>
        <v>836122.06779999996</v>
      </c>
    </row>
    <row r="96" spans="1:58" x14ac:dyDescent="0.35">
      <c r="B96" t="s">
        <v>9</v>
      </c>
      <c r="C96" s="6">
        <f>[1]Results!F1528</f>
        <v>48568.66259</v>
      </c>
      <c r="D96" s="6">
        <f>[1]Results!G1528</f>
        <v>49158.288860000001</v>
      </c>
      <c r="E96" s="6">
        <f>[1]Results!H1528</f>
        <v>49811.156459999998</v>
      </c>
      <c r="F96" s="6">
        <f>[1]Results!I1528</f>
        <v>50502.55042</v>
      </c>
      <c r="G96" s="6">
        <f>[1]Results!J1528</f>
        <v>51232.008399999999</v>
      </c>
      <c r="H96" s="6">
        <f>[1]Results!K1528</f>
        <v>51996.274389999999</v>
      </c>
      <c r="I96" s="6">
        <f>[1]Results!L1528</f>
        <v>52754.447189999999</v>
      </c>
      <c r="J96" s="6">
        <f>[1]Results!M1528</f>
        <v>53534.417139999998</v>
      </c>
      <c r="K96" s="6">
        <f>[1]Results!N1528</f>
        <v>54332.602989999999</v>
      </c>
      <c r="L96" s="6">
        <f>[1]Results!O1528</f>
        <v>55147.229809999997</v>
      </c>
      <c r="M96" s="6">
        <f>[1]Results!P1528</f>
        <v>56042.354599999999</v>
      </c>
      <c r="N96" s="6">
        <f>[1]Results!Q1528</f>
        <v>56895.832459999998</v>
      </c>
      <c r="O96" s="6">
        <f>[1]Results!R1528</f>
        <v>57762.974909999997</v>
      </c>
      <c r="P96" s="6">
        <f>[1]Results!S1528</f>
        <v>58640.295359999996</v>
      </c>
      <c r="Q96" s="6">
        <f>[1]Results!T1528</f>
        <v>59527.17151</v>
      </c>
      <c r="R96" s="6">
        <f>[1]Results!U1528</f>
        <v>60423.685010000001</v>
      </c>
      <c r="S96" s="6">
        <f>[1]Results!V1528</f>
        <v>61330.145920000003</v>
      </c>
      <c r="T96" s="6">
        <f>[1]Results!W1528</f>
        <v>62247.211770000002</v>
      </c>
      <c r="U96" s="6">
        <f>[1]Results!X1528</f>
        <v>63175.507890000001</v>
      </c>
      <c r="V96" s="6">
        <f>[1]Results!Y1528</f>
        <v>64115.681329999999</v>
      </c>
      <c r="W96" s="6">
        <f>[1]Results!Z1528</f>
        <v>65019.409099999997</v>
      </c>
      <c r="X96" s="6">
        <f>[1]Results!AA1528</f>
        <v>65977.749299999996</v>
      </c>
      <c r="Y96" s="6">
        <f>[1]Results!AB1528</f>
        <v>66949.432740000004</v>
      </c>
      <c r="Z96" s="6">
        <f>[1]Results!AC1528</f>
        <v>67937.11275</v>
      </c>
      <c r="AA96" s="6">
        <f>[1]Results!AD1528</f>
        <v>68941.434840000002</v>
      </c>
      <c r="AB96" s="6">
        <f>[1]Results!AE1528</f>
        <v>69820.612330000004</v>
      </c>
      <c r="AC96" s="6">
        <f>[1]Results!AF1528</f>
        <v>70769.569140000007</v>
      </c>
      <c r="AD96" s="6">
        <f>[1]Results!AG1528</f>
        <v>71723.371799999994</v>
      </c>
      <c r="AE96" s="6">
        <f>[1]Results!AH1528</f>
        <v>72687.648809999999</v>
      </c>
      <c r="AF96" s="6">
        <f>[1]Results!AI1528</f>
        <v>73665.18836</v>
      </c>
      <c r="AG96" s="6">
        <f>[1]Results!AJ1528</f>
        <v>74657.909679999997</v>
      </c>
      <c r="AH96" s="6">
        <f>[1]Results!AK1528</f>
        <v>75667.171159999998</v>
      </c>
      <c r="AI96" s="6">
        <f>[1]Results!AL1528</f>
        <v>76693.794259999995</v>
      </c>
      <c r="AJ96" s="6">
        <f>[1]Results!AM1528</f>
        <v>77738.263819999993</v>
      </c>
      <c r="AK96" s="6">
        <f>[1]Results!AN1528</f>
        <v>78800.801930000001</v>
      </c>
      <c r="AL96" s="6">
        <f>[1]Results!AO1528</f>
        <v>79881.464120000004</v>
      </c>
      <c r="AM96" s="6">
        <f>[1]Results!AP1528</f>
        <v>80945.736810000002</v>
      </c>
      <c r="AN96" s="6">
        <f>[1]Results!AQ1528</f>
        <v>82022.230049999998</v>
      </c>
      <c r="AO96" s="6">
        <f>[1]Results!AR1528</f>
        <v>83110.624429999996</v>
      </c>
      <c r="AP96" s="6">
        <f>[1]Results!AS1528</f>
        <v>84212.081730000005</v>
      </c>
      <c r="AQ96" s="6">
        <f>[1]Results!AT1528</f>
        <v>85327.87212</v>
      </c>
      <c r="AR96" s="6">
        <f>[1]Results!AU1528</f>
        <v>86459.161659999998</v>
      </c>
      <c r="AS96" s="6">
        <f>[1]Results!AV1528</f>
        <v>87606.799719999995</v>
      </c>
      <c r="AT96" s="6">
        <f>[1]Results!AW1528</f>
        <v>88771.462899999999</v>
      </c>
      <c r="AU96" s="6">
        <f>[1]Results!AX1528</f>
        <v>89953.62199</v>
      </c>
      <c r="AV96" s="6">
        <f>[1]Results!AY1528</f>
        <v>91153.585749999998</v>
      </c>
      <c r="AW96" s="6">
        <f>[1]Results!AZ1528</f>
        <v>92380.639110000004</v>
      </c>
      <c r="AX96" s="6">
        <f>[1]Results!BA1528</f>
        <v>93632.798349999997</v>
      </c>
      <c r="AY96" s="6">
        <f>[1]Results!BB1528</f>
        <v>94909.022230000002</v>
      </c>
      <c r="AZ96" s="6">
        <f>[1]Results!BC1528</f>
        <v>96207.759690000006</v>
      </c>
      <c r="BA96" s="6">
        <f>[1]Results!BD1528</f>
        <v>97527.884600000005</v>
      </c>
      <c r="BB96" s="6">
        <f>[1]Results!BE1528</f>
        <v>104246.85159999999</v>
      </c>
      <c r="BC96" s="6">
        <f>[1]Results!BF1528</f>
        <v>105947.7721</v>
      </c>
      <c r="BD96" s="6">
        <f>[1]Results!BG1528</f>
        <v>107679.07919999999</v>
      </c>
      <c r="BE96" s="6">
        <f>[1]Results!BH1528</f>
        <v>109441.3615</v>
      </c>
      <c r="BF96" s="6">
        <f>[1]Results!BI1528</f>
        <v>111235.22809999999</v>
      </c>
    </row>
    <row r="97" spans="1:58" x14ac:dyDescent="0.35">
      <c r="B97" t="s">
        <v>10</v>
      </c>
      <c r="C97" s="6">
        <f>[1]Results!F1533</f>
        <v>1513827.531</v>
      </c>
      <c r="D97" s="6">
        <f>[1]Results!G1533</f>
        <v>1533421.7379999999</v>
      </c>
      <c r="E97" s="6">
        <f>[1]Results!H1533</f>
        <v>1555148.1669999999</v>
      </c>
      <c r="F97" s="6">
        <f>[1]Results!I1533</f>
        <v>1578329.0360000001</v>
      </c>
      <c r="G97" s="6">
        <f>[1]Results!J1533</f>
        <v>1602862.923</v>
      </c>
      <c r="H97" s="6">
        <f>[1]Results!K1533</f>
        <v>1628621.67</v>
      </c>
      <c r="I97" s="6">
        <f>[1]Results!L1533</f>
        <v>1654341.5759999999</v>
      </c>
      <c r="J97" s="6">
        <f>[1]Results!M1533</f>
        <v>1680737.345</v>
      </c>
      <c r="K97" s="6">
        <f>[1]Results!N1533</f>
        <v>1707762.8870000001</v>
      </c>
      <c r="L97" s="6">
        <f>[1]Results!O1533</f>
        <v>1735372.189</v>
      </c>
      <c r="M97" s="6">
        <f>[1]Results!P1533</f>
        <v>1765517.844</v>
      </c>
      <c r="N97" s="6">
        <f>[1]Results!Q1533</f>
        <v>1794697.0049999999</v>
      </c>
      <c r="O97" s="6">
        <f>[1]Results!R1533</f>
        <v>1824242.6240000001</v>
      </c>
      <c r="P97" s="6">
        <f>[1]Results!S1533</f>
        <v>1854144.2720000001</v>
      </c>
      <c r="Q97" s="6">
        <f>[1]Results!T1533</f>
        <v>1884395.179</v>
      </c>
      <c r="R97" s="6">
        <f>[1]Results!U1533</f>
        <v>1914997.9809999999</v>
      </c>
      <c r="S97" s="6">
        <f>[1]Results!V1533</f>
        <v>1945961.8019999999</v>
      </c>
      <c r="T97" s="6">
        <f>[1]Results!W1533</f>
        <v>1977303.6440000001</v>
      </c>
      <c r="U97" s="6">
        <f>[1]Results!X1533</f>
        <v>2009041.101</v>
      </c>
      <c r="V97" s="6">
        <f>[1]Results!Y1533</f>
        <v>2041191.932</v>
      </c>
      <c r="W97" s="6">
        <f>[1]Results!Z1533</f>
        <v>2072281.013</v>
      </c>
      <c r="X97" s="6">
        <f>[1]Results!AA1533</f>
        <v>2104914.2149999999</v>
      </c>
      <c r="Y97" s="6">
        <f>[1]Results!AB1533</f>
        <v>2138090.8029999998</v>
      </c>
      <c r="Z97" s="6">
        <f>[1]Results!AC1533</f>
        <v>2171814.307</v>
      </c>
      <c r="AA97" s="6">
        <f>[1]Results!AD1533</f>
        <v>2206089.09</v>
      </c>
      <c r="AB97" s="6">
        <f>[1]Results!AE1533</f>
        <v>2236588.4909999999</v>
      </c>
      <c r="AC97" s="6">
        <f>[1]Results!AF1533</f>
        <v>2268766.301</v>
      </c>
      <c r="AD97" s="6">
        <f>[1]Results!AG1533</f>
        <v>2301164.6039999998</v>
      </c>
      <c r="AE97" s="6">
        <f>[1]Results!AH1533</f>
        <v>2333863.523</v>
      </c>
      <c r="AF97" s="6">
        <f>[1]Results!AI1533</f>
        <v>2366937.8539999998</v>
      </c>
      <c r="AG97" s="6">
        <f>[1]Results!AJ1533</f>
        <v>2400447.3190000001</v>
      </c>
      <c r="AH97" s="6">
        <f>[1]Results!AK1533</f>
        <v>2434435.3050000002</v>
      </c>
      <c r="AI97" s="6">
        <f>[1]Results!AL1533</f>
        <v>2468929.2740000002</v>
      </c>
      <c r="AJ97" s="6">
        <f>[1]Results!AM1533</f>
        <v>2503945.557</v>
      </c>
      <c r="AK97" s="6">
        <f>[1]Results!AN1533</f>
        <v>2539492.4500000002</v>
      </c>
      <c r="AL97" s="6">
        <f>[1]Results!AO1533</f>
        <v>2575573.36</v>
      </c>
      <c r="AM97" s="6">
        <f>[1]Results!AP1533</f>
        <v>2611138.4739999999</v>
      </c>
      <c r="AN97" s="6">
        <f>[1]Results!AQ1533</f>
        <v>2646947.9959999998</v>
      </c>
      <c r="AO97" s="6">
        <f>[1]Results!AR1533</f>
        <v>2683059.7050000001</v>
      </c>
      <c r="AP97" s="6">
        <f>[1]Results!AS1533</f>
        <v>2719525.81</v>
      </c>
      <c r="AQ97" s="6">
        <f>[1]Results!AT1533</f>
        <v>2756394.2089999998</v>
      </c>
      <c r="AR97" s="6">
        <f>[1]Results!AU1533</f>
        <v>2793707.591</v>
      </c>
      <c r="AS97" s="6">
        <f>[1]Results!AV1533</f>
        <v>2831499.6179999998</v>
      </c>
      <c r="AT97" s="6">
        <f>[1]Results!AW1533</f>
        <v>2869797.1379999998</v>
      </c>
      <c r="AU97" s="6">
        <f>[1]Results!AX1533</f>
        <v>2908620.1549999998</v>
      </c>
      <c r="AV97" s="6">
        <f>[1]Results!AY1533</f>
        <v>2947983.1710000001</v>
      </c>
      <c r="AW97" s="6">
        <f>[1]Results!AZ1533</f>
        <v>2988168.83</v>
      </c>
      <c r="AX97" s="6">
        <f>[1]Results!BA1533</f>
        <v>3029132.2990000001</v>
      </c>
      <c r="AY97" s="6">
        <f>[1]Results!BB1533</f>
        <v>3070828.8840000001</v>
      </c>
      <c r="AZ97" s="6">
        <f>[1]Results!BC1533</f>
        <v>3113201.2650000001</v>
      </c>
      <c r="BA97" s="6">
        <f>[1]Results!BD1533</f>
        <v>3156207.7910000002</v>
      </c>
      <c r="BB97" s="6">
        <f>[1]Results!BE1533</f>
        <v>3416677.1430000002</v>
      </c>
      <c r="BC97" s="6">
        <f>[1]Results!BF1533</f>
        <v>3473898.909</v>
      </c>
      <c r="BD97" s="6">
        <f>[1]Results!BG1533</f>
        <v>3532050.4369999999</v>
      </c>
      <c r="BE97" s="6">
        <f>[1]Results!BH1533</f>
        <v>3591148.4539999999</v>
      </c>
      <c r="BF97" s="6">
        <f>[1]Results!BI1533</f>
        <v>3651210.7570000002</v>
      </c>
    </row>
    <row r="98" spans="1:58" x14ac:dyDescent="0.35">
      <c r="B98" t="s">
        <v>29</v>
      </c>
      <c r="C98" s="6">
        <f>C103-C99</f>
        <v>-2004.4602182999997</v>
      </c>
      <c r="D98" s="6">
        <f t="shared" ref="D98:AL98" si="56">D103-D99</f>
        <v>-2036.9602751999998</v>
      </c>
      <c r="E98" s="6">
        <f t="shared" si="56"/>
        <v>-2054.8778123000002</v>
      </c>
      <c r="F98" s="6">
        <f t="shared" si="56"/>
        <v>-2069.6946628999999</v>
      </c>
      <c r="G98" s="6">
        <f t="shared" si="56"/>
        <v>-2086.2097143000001</v>
      </c>
      <c r="H98" s="6">
        <f t="shared" si="56"/>
        <v>-2105.9354487999999</v>
      </c>
      <c r="I98" s="6">
        <f t="shared" si="56"/>
        <v>-2129.0723698000002</v>
      </c>
      <c r="J98" s="6">
        <f t="shared" si="56"/>
        <v>-2152.8617681999999</v>
      </c>
      <c r="K98" s="6">
        <f t="shared" si="56"/>
        <v>-2177.9764870999998</v>
      </c>
      <c r="L98" s="6">
        <f t="shared" si="56"/>
        <v>-2204.2322666999999</v>
      </c>
      <c r="M98" s="6">
        <f t="shared" si="56"/>
        <v>-2230.8168235000003</v>
      </c>
      <c r="N98" s="6">
        <f t="shared" si="56"/>
        <v>-2261.8235046</v>
      </c>
      <c r="O98" s="6">
        <f t="shared" si="56"/>
        <v>-2291.0438325</v>
      </c>
      <c r="P98" s="6">
        <f t="shared" si="56"/>
        <v>-2320.1517451999998</v>
      </c>
      <c r="Q98" s="6">
        <f t="shared" si="56"/>
        <v>-2349.5237917999998</v>
      </c>
      <c r="R98" s="6">
        <f t="shared" si="56"/>
        <v>-2379.2291074999998</v>
      </c>
      <c r="S98" s="6">
        <f t="shared" si="56"/>
        <v>-2409.2793751999998</v>
      </c>
      <c r="T98" s="6">
        <f t="shared" si="56"/>
        <v>-2439.6918364000003</v>
      </c>
      <c r="U98" s="6">
        <f t="shared" si="56"/>
        <v>-2470.467627</v>
      </c>
      <c r="V98" s="6">
        <f t="shared" si="56"/>
        <v>-2501.6144934000004</v>
      </c>
      <c r="W98" s="6">
        <f t="shared" si="56"/>
        <v>-2533.5442219999995</v>
      </c>
      <c r="X98" s="6">
        <f t="shared" si="56"/>
        <v>-2563.0863727999999</v>
      </c>
      <c r="Y98" s="6">
        <f t="shared" si="56"/>
        <v>-2594.7659605000003</v>
      </c>
      <c r="Z98" s="6">
        <f t="shared" si="56"/>
        <v>-2627.2906539000001</v>
      </c>
      <c r="AA98" s="6">
        <f t="shared" si="56"/>
        <v>-2660.3617533000001</v>
      </c>
      <c r="AB98" s="6">
        <f t="shared" si="56"/>
        <v>-2695.0822395</v>
      </c>
      <c r="AC98" s="6">
        <f t="shared" si="56"/>
        <v>-2722.8071648999999</v>
      </c>
      <c r="AD98" s="6">
        <f t="shared" si="56"/>
        <v>-2752.7532528000002</v>
      </c>
      <c r="AE98" s="6">
        <f t="shared" si="56"/>
        <v>-2783.4850720999998</v>
      </c>
      <c r="AF98" s="6">
        <f t="shared" si="56"/>
        <v>-2814.6864290999997</v>
      </c>
      <c r="AG98" s="6">
        <f t="shared" si="56"/>
        <v>-2846.3238670000001</v>
      </c>
      <c r="AH98" s="6">
        <f t="shared" si="56"/>
        <v>-2878.419496</v>
      </c>
      <c r="AI98" s="6">
        <f t="shared" si="56"/>
        <v>-2910.9966670000003</v>
      </c>
      <c r="AJ98" s="6">
        <f t="shared" si="56"/>
        <v>-2944.0782694</v>
      </c>
      <c r="AK98" s="6">
        <f t="shared" si="56"/>
        <v>-2977.6789796000003</v>
      </c>
      <c r="AL98" s="6">
        <f t="shared" si="56"/>
        <v>-3011.8068171</v>
      </c>
      <c r="AM98" s="6">
        <f t="shared" ref="AM98:BC98" si="57">AM103-AM99</f>
        <v>-3046.7471255</v>
      </c>
      <c r="AN98" s="6">
        <f t="shared" si="57"/>
        <v>-3080.5290855999997</v>
      </c>
      <c r="AO98" s="6">
        <f t="shared" si="57"/>
        <v>-3114.361723</v>
      </c>
      <c r="AP98" s="6">
        <f t="shared" si="57"/>
        <v>-3148.5410626000003</v>
      </c>
      <c r="AQ98" s="6">
        <f t="shared" si="57"/>
        <v>-3183.1460926</v>
      </c>
      <c r="AR98" s="6">
        <f t="shared" si="57"/>
        <v>-3218.2081198999999</v>
      </c>
      <c r="AS98" s="6">
        <f t="shared" si="57"/>
        <v>-3253.7414746999998</v>
      </c>
      <c r="AT98" s="6">
        <f t="shared" si="57"/>
        <v>-3289.7642215000001</v>
      </c>
      <c r="AU98" s="6">
        <f t="shared" si="57"/>
        <v>-3326.2889588999997</v>
      </c>
      <c r="AV98" s="6">
        <f t="shared" si="57"/>
        <v>-3363.3239890999998</v>
      </c>
      <c r="AW98" s="6">
        <f t="shared" si="57"/>
        <v>-3400.8591544000001</v>
      </c>
      <c r="AX98" s="6">
        <f t="shared" si="57"/>
        <v>-3438.8288395999998</v>
      </c>
      <c r="AY98" s="6">
        <f t="shared" si="57"/>
        <v>-3477.2215857000001</v>
      </c>
      <c r="AZ98" s="6">
        <f t="shared" si="57"/>
        <v>-3516.1418953000002</v>
      </c>
      <c r="BA98" s="6">
        <f t="shared" si="57"/>
        <v>-3555.6717232999999</v>
      </c>
      <c r="BB98" s="6">
        <f t="shared" si="57"/>
        <v>-3870.5352363000002</v>
      </c>
      <c r="BC98" s="6">
        <f t="shared" si="57"/>
        <v>-3927.7372703999999</v>
      </c>
      <c r="BD98" s="6">
        <f t="shared" ref="BD98:BF98" si="58">BD103-BD99</f>
        <v>-3985.8874222999993</v>
      </c>
      <c r="BE98" s="6">
        <f t="shared" si="58"/>
        <v>-4045.0042201999995</v>
      </c>
      <c r="BF98" s="6">
        <f t="shared" si="58"/>
        <v>-4105.1096029999999</v>
      </c>
    </row>
    <row r="99" spans="1:58" x14ac:dyDescent="0.35">
      <c r="B99" t="s">
        <v>36</v>
      </c>
      <c r="C99" s="6">
        <f>C101+C102</f>
        <v>-117.31537470000006</v>
      </c>
      <c r="D99" s="6">
        <f t="shared" ref="D99:AL99" si="59">D101+D102</f>
        <v>-118.17539679999999</v>
      </c>
      <c r="E99" s="6">
        <f t="shared" si="59"/>
        <v>-115.96116369999999</v>
      </c>
      <c r="F99" s="6">
        <f t="shared" si="59"/>
        <v>-113.53691409999999</v>
      </c>
      <c r="G99" s="6">
        <f t="shared" si="59"/>
        <v>-111.91649869999992</v>
      </c>
      <c r="H99" s="6">
        <f t="shared" si="59"/>
        <v>-111.2410112</v>
      </c>
      <c r="I99" s="6">
        <f t="shared" si="59"/>
        <v>-111.54823120000003</v>
      </c>
      <c r="J99" s="6">
        <f t="shared" si="59"/>
        <v>-112.23724780000009</v>
      </c>
      <c r="K99" s="6">
        <f t="shared" si="59"/>
        <v>-113.23757290000003</v>
      </c>
      <c r="L99" s="6">
        <f t="shared" si="59"/>
        <v>-114.43618029999993</v>
      </c>
      <c r="M99" s="6">
        <f t="shared" si="59"/>
        <v>-115.3754265</v>
      </c>
      <c r="N99" s="6">
        <f t="shared" si="59"/>
        <v>-117.02987840000003</v>
      </c>
      <c r="O99" s="6">
        <f t="shared" si="59"/>
        <v>-118.50870950000001</v>
      </c>
      <c r="P99" s="6">
        <f t="shared" si="59"/>
        <v>-119.97004080000011</v>
      </c>
      <c r="Q99" s="6">
        <f t="shared" si="59"/>
        <v>-121.4318462</v>
      </c>
      <c r="R99" s="6">
        <f t="shared" si="59"/>
        <v>-122.89108350000004</v>
      </c>
      <c r="S99" s="6">
        <f t="shared" si="59"/>
        <v>-124.34029979999991</v>
      </c>
      <c r="T99" s="6">
        <f t="shared" si="59"/>
        <v>-125.78094759999999</v>
      </c>
      <c r="U99" s="6">
        <f t="shared" si="59"/>
        <v>-127.21174799999994</v>
      </c>
      <c r="V99" s="6">
        <f t="shared" si="59"/>
        <v>-128.63187359999995</v>
      </c>
      <c r="W99" s="6">
        <f t="shared" si="59"/>
        <v>-130.31239200000005</v>
      </c>
      <c r="X99" s="6">
        <f t="shared" si="59"/>
        <v>-131.49861120000003</v>
      </c>
      <c r="Y99" s="6">
        <f t="shared" si="59"/>
        <v>-132.82879749999995</v>
      </c>
      <c r="Z99" s="6">
        <f t="shared" si="59"/>
        <v>-134.16939709999997</v>
      </c>
      <c r="AA99" s="6">
        <f t="shared" si="59"/>
        <v>-135.49830569999995</v>
      </c>
      <c r="AB99" s="6">
        <f t="shared" si="59"/>
        <v>-137.59092950000002</v>
      </c>
      <c r="AC99" s="6">
        <f t="shared" si="59"/>
        <v>-138.6549761</v>
      </c>
      <c r="AD99" s="6">
        <f t="shared" si="59"/>
        <v>-139.88134619999994</v>
      </c>
      <c r="AE99" s="6">
        <f t="shared" si="59"/>
        <v>-141.09965590000002</v>
      </c>
      <c r="AF99" s="6">
        <f t="shared" si="59"/>
        <v>-142.28301490000001</v>
      </c>
      <c r="AG99" s="6">
        <f t="shared" si="59"/>
        <v>-143.43225200000006</v>
      </c>
      <c r="AH99" s="6">
        <f t="shared" si="59"/>
        <v>-144.55343400000004</v>
      </c>
      <c r="AI99" s="6">
        <f t="shared" si="59"/>
        <v>-145.649947</v>
      </c>
      <c r="AJ99" s="6">
        <f t="shared" si="59"/>
        <v>-146.72504059999994</v>
      </c>
      <c r="AK99" s="6">
        <f t="shared" si="59"/>
        <v>-147.78086740000003</v>
      </c>
      <c r="AL99" s="6">
        <f t="shared" si="59"/>
        <v>-148.81888390000006</v>
      </c>
      <c r="AM99" s="6">
        <f t="shared" ref="AM99:BC99" si="60">AM101+AM102</f>
        <v>-150.03567349999992</v>
      </c>
      <c r="AN99" s="6">
        <f t="shared" si="60"/>
        <v>-151.09222540000007</v>
      </c>
      <c r="AO99" s="6">
        <f t="shared" si="60"/>
        <v>-152.10166499999991</v>
      </c>
      <c r="AP99" s="6">
        <f t="shared" si="60"/>
        <v>-153.08303339999998</v>
      </c>
      <c r="AQ99" s="6">
        <f t="shared" si="60"/>
        <v>-154.04028139999991</v>
      </c>
      <c r="AR99" s="6">
        <f t="shared" si="60"/>
        <v>-154.97807409999996</v>
      </c>
      <c r="AS99" s="6">
        <f t="shared" si="60"/>
        <v>-155.89790630000005</v>
      </c>
      <c r="AT99" s="6">
        <f t="shared" si="60"/>
        <v>-156.80288350000001</v>
      </c>
      <c r="AU99" s="6">
        <f t="shared" si="60"/>
        <v>-157.69555410000009</v>
      </c>
      <c r="AV99" s="6">
        <f t="shared" si="60"/>
        <v>-158.57788990000006</v>
      </c>
      <c r="AW99" s="6">
        <f t="shared" si="60"/>
        <v>-159.49030760000005</v>
      </c>
      <c r="AX99" s="6">
        <f t="shared" si="60"/>
        <v>-160.4067814</v>
      </c>
      <c r="AY99" s="6">
        <f t="shared" si="60"/>
        <v>-161.30206829999997</v>
      </c>
      <c r="AZ99" s="6">
        <f t="shared" si="60"/>
        <v>-162.16975869999999</v>
      </c>
      <c r="BA99" s="6">
        <f t="shared" si="60"/>
        <v>-163.00716269999998</v>
      </c>
      <c r="BB99" s="6">
        <f t="shared" si="60"/>
        <v>-199.6492727000001</v>
      </c>
      <c r="BC99" s="6">
        <f t="shared" si="60"/>
        <v>-201.67183060000002</v>
      </c>
      <c r="BD99" s="6">
        <f t="shared" ref="BD99:BF99" si="61">BD101+BD102</f>
        <v>-203.70929770000009</v>
      </c>
      <c r="BE99" s="6">
        <f t="shared" si="61"/>
        <v>-205.76491780000015</v>
      </c>
      <c r="BF99" s="6">
        <f t="shared" si="61"/>
        <v>-207.84193600000003</v>
      </c>
    </row>
    <row r="100" spans="1:58" x14ac:dyDescent="0.35">
      <c r="B100" t="s">
        <v>33</v>
      </c>
      <c r="C100" s="6">
        <f>[1]Results!F1541</f>
        <v>40636.557769999999</v>
      </c>
      <c r="D100" s="6">
        <f>[1]Results!G1541</f>
        <v>40991.626770000003</v>
      </c>
      <c r="E100" s="6">
        <f>[1]Results!H1541</f>
        <v>41291.611510000002</v>
      </c>
      <c r="F100" s="6">
        <f>[1]Results!I1541</f>
        <v>41588.199979999998</v>
      </c>
      <c r="G100" s="6">
        <f>[1]Results!J1541</f>
        <v>41904.695079999998</v>
      </c>
      <c r="H100" s="6">
        <f>[1]Results!K1541</f>
        <v>42247.94801</v>
      </c>
      <c r="I100" s="6">
        <f>[1]Results!L1541</f>
        <v>42593.867619999997</v>
      </c>
      <c r="J100" s="6">
        <f>[1]Results!M1541</f>
        <v>42953.94844</v>
      </c>
      <c r="K100" s="6">
        <f>[1]Results!N1541</f>
        <v>43327.225780000001</v>
      </c>
      <c r="L100" s="6">
        <f>[1]Results!O1541</f>
        <v>43711.771439999997</v>
      </c>
      <c r="M100" s="6">
        <f>[1]Results!P1541</f>
        <v>44146.349750000001</v>
      </c>
      <c r="N100" s="6">
        <f>[1]Results!Q1541</f>
        <v>44562.34721</v>
      </c>
      <c r="O100" s="6">
        <f>[1]Results!R1541</f>
        <v>44980.58049</v>
      </c>
      <c r="P100" s="6">
        <f>[1]Results!S1541</f>
        <v>45403.665910000003</v>
      </c>
      <c r="Q100" s="6">
        <f>[1]Results!T1541</f>
        <v>45832.194609999999</v>
      </c>
      <c r="R100" s="6">
        <f>[1]Results!U1541</f>
        <v>46266.34001</v>
      </c>
      <c r="S100" s="6">
        <f>[1]Results!V1541</f>
        <v>46706.442620000002</v>
      </c>
      <c r="T100" s="6">
        <f>[1]Results!W1541</f>
        <v>47152.502919999999</v>
      </c>
      <c r="U100" s="6">
        <f>[1]Results!X1541</f>
        <v>47604.613640000003</v>
      </c>
      <c r="V100" s="6">
        <f>[1]Results!Y1541</f>
        <v>48062.955459999997</v>
      </c>
      <c r="W100" s="6">
        <f>[1]Results!Z1541</f>
        <v>48498.445469999999</v>
      </c>
      <c r="X100" s="6">
        <f>[1]Results!AA1541</f>
        <v>48960.660730000003</v>
      </c>
      <c r="Y100" s="6">
        <f>[1]Results!AB1541</f>
        <v>49434.099629999997</v>
      </c>
      <c r="Z100" s="6">
        <f>[1]Results!AC1541</f>
        <v>49916.856480000002</v>
      </c>
      <c r="AA100" s="6">
        <f>[1]Results!AD1541</f>
        <v>50408.571980000001</v>
      </c>
      <c r="AB100" s="6">
        <f>[1]Results!AE1541</f>
        <v>50825.353360000001</v>
      </c>
      <c r="AC100" s="6">
        <f>[1]Results!AF1541</f>
        <v>51268.362009999997</v>
      </c>
      <c r="AD100" s="6">
        <f>[1]Results!AG1541</f>
        <v>51719.043010000001</v>
      </c>
      <c r="AE100" s="6">
        <f>[1]Results!AH1541</f>
        <v>52176.73416</v>
      </c>
      <c r="AF100" s="6">
        <f>[1]Results!AI1541</f>
        <v>52642.242980000003</v>
      </c>
      <c r="AG100" s="6">
        <f>[1]Results!AJ1541</f>
        <v>53116.468529999998</v>
      </c>
      <c r="AH100" s="6">
        <f>[1]Results!AK1541</f>
        <v>53600.105020000003</v>
      </c>
      <c r="AI100" s="6">
        <f>[1]Results!AL1541</f>
        <v>54093.772629999999</v>
      </c>
      <c r="AJ100" s="6">
        <f>[1]Results!AM1541</f>
        <v>54597.908060000002</v>
      </c>
      <c r="AK100" s="6">
        <f>[1]Results!AN1541</f>
        <v>55112.784659999998</v>
      </c>
      <c r="AL100" s="6">
        <f>[1]Results!AO1541</f>
        <v>55638.541039999996</v>
      </c>
      <c r="AM100" s="6">
        <f>[1]Results!AP1541</f>
        <v>56154.678039999999</v>
      </c>
      <c r="AN100" s="6">
        <f>[1]Results!AQ1541</f>
        <v>56674.810129999998</v>
      </c>
      <c r="AO100" s="6">
        <f>[1]Results!AR1541</f>
        <v>57201.716350000002</v>
      </c>
      <c r="AP100" s="6">
        <f>[1]Results!AS1541</f>
        <v>57736.637949999997</v>
      </c>
      <c r="AQ100" s="6">
        <f>[1]Results!AT1541</f>
        <v>58280.316590000002</v>
      </c>
      <c r="AR100" s="6">
        <f>[1]Results!AU1541</f>
        <v>58833.138229999997</v>
      </c>
      <c r="AS100" s="6">
        <f>[1]Results!AV1541</f>
        <v>59395.491329999997</v>
      </c>
      <c r="AT100" s="6">
        <f>[1]Results!AW1541</f>
        <v>59967.636480000001</v>
      </c>
      <c r="AU100" s="6">
        <f>[1]Results!AX1541</f>
        <v>60549.734250000001</v>
      </c>
      <c r="AV100" s="6">
        <f>[1]Results!AY1541</f>
        <v>61141.867039999997</v>
      </c>
      <c r="AW100" s="6">
        <f>[1]Results!AZ1541</f>
        <v>61740.969210000003</v>
      </c>
      <c r="AX100" s="6">
        <f>[1]Results!BA1541</f>
        <v>62347.534760000002</v>
      </c>
      <c r="AY100" s="6">
        <f>[1]Results!BB1541</f>
        <v>62964.107279999997</v>
      </c>
      <c r="AZ100" s="6">
        <f>[1]Results!BC1541</f>
        <v>63592.910459999999</v>
      </c>
      <c r="BA100" s="6">
        <f>[1]Results!BD1541</f>
        <v>64235.3914</v>
      </c>
      <c r="BB100" s="6">
        <f>[1]Results!BE1541</f>
        <v>65457.206310000001</v>
      </c>
      <c r="BC100" s="6">
        <f>[1]Results!BF1541</f>
        <v>66266.410640000002</v>
      </c>
      <c r="BD100" s="6">
        <f>[1]Results!BG1541</f>
        <v>67090.519190000006</v>
      </c>
      <c r="BE100" s="6">
        <f>[1]Results!BH1541</f>
        <v>67929.616699999999</v>
      </c>
      <c r="BF100" s="6">
        <f>[1]Results!BI1541</f>
        <v>68783.803939999998</v>
      </c>
    </row>
    <row r="101" spans="1:58" x14ac:dyDescent="0.35">
      <c r="B101" t="s">
        <v>35</v>
      </c>
      <c r="C101" s="6">
        <f>[1]Results!F1538</f>
        <v>-613.20424890000004</v>
      </c>
      <c r="D101" s="6">
        <f>[1]Results!G1538</f>
        <v>-619.4555464</v>
      </c>
      <c r="E101" s="6">
        <f>[1]Results!H1538</f>
        <v>-622.47193649999997</v>
      </c>
      <c r="F101" s="6">
        <f>[1]Results!I1538</f>
        <v>-625.37514399999998</v>
      </c>
      <c r="G101" s="6">
        <f>[1]Results!J1538</f>
        <v>-629.34387389999995</v>
      </c>
      <c r="H101" s="6">
        <f>[1]Results!K1538</f>
        <v>-634.57250839999995</v>
      </c>
      <c r="I101" s="6">
        <f>[1]Results!L1538</f>
        <v>-640.74637189999999</v>
      </c>
      <c r="J101" s="6">
        <f>[1]Results!M1538</f>
        <v>-647.47940930000004</v>
      </c>
      <c r="K101" s="6">
        <f>[1]Results!N1538</f>
        <v>-654.71055760000002</v>
      </c>
      <c r="L101" s="6">
        <f>[1]Results!O1538</f>
        <v>-662.31110679999995</v>
      </c>
      <c r="M101" s="6">
        <f>[1]Results!P1538</f>
        <v>-670.40898240000001</v>
      </c>
      <c r="N101" s="6">
        <f>[1]Results!Q1538</f>
        <v>-678.93269029999999</v>
      </c>
      <c r="O101" s="6">
        <f>[1]Results!R1538</f>
        <v>-687.33042009999997</v>
      </c>
      <c r="P101" s="6">
        <f>[1]Results!S1538</f>
        <v>-695.79996860000006</v>
      </c>
      <c r="Q101" s="6">
        <f>[1]Results!T1538</f>
        <v>-704.36618109999995</v>
      </c>
      <c r="R101" s="6">
        <f>[1]Results!U1538</f>
        <v>-713.02634550000005</v>
      </c>
      <c r="S101" s="6">
        <f>[1]Results!V1538</f>
        <v>-721.77626469999996</v>
      </c>
      <c r="T101" s="6">
        <f>[1]Results!W1538</f>
        <v>-730.61522990000003</v>
      </c>
      <c r="U101" s="6">
        <f>[1]Results!X1538</f>
        <v>-739.54205539999998</v>
      </c>
      <c r="V101" s="6">
        <f>[1]Results!Y1538</f>
        <v>-748.55711699999995</v>
      </c>
      <c r="W101" s="6">
        <f>[1]Results!Z1538</f>
        <v>-757.4916786</v>
      </c>
      <c r="X101" s="6">
        <f>[1]Results!AA1538</f>
        <v>-766.35241880000001</v>
      </c>
      <c r="Y101" s="6">
        <f>[1]Results!AB1538</f>
        <v>-775.52043749999996</v>
      </c>
      <c r="Z101" s="6">
        <f>[1]Results!AC1538</f>
        <v>-784.830061</v>
      </c>
      <c r="AA101" s="6">
        <f>[1]Results!AD1538</f>
        <v>-794.25231819999999</v>
      </c>
      <c r="AB101" s="6">
        <f>[1]Results!AE1538</f>
        <v>-803.29282260000002</v>
      </c>
      <c r="AC101" s="6">
        <f>[1]Results!AF1538</f>
        <v>-811.73668789999999</v>
      </c>
      <c r="AD101" s="6">
        <f>[1]Results!AG1538</f>
        <v>-820.45330769999998</v>
      </c>
      <c r="AE101" s="6">
        <f>[1]Results!AH1538</f>
        <v>-829.25069570000005</v>
      </c>
      <c r="AF101" s="6">
        <f>[1]Results!AI1538</f>
        <v>-838.10687819999998</v>
      </c>
      <c r="AG101" s="6">
        <f>[1]Results!AJ1538</f>
        <v>-847.03132100000005</v>
      </c>
      <c r="AH101" s="6">
        <f>[1]Results!AK1538</f>
        <v>-856.03710490000003</v>
      </c>
      <c r="AI101" s="6">
        <f>[1]Results!AL1538</f>
        <v>-865.13505799999996</v>
      </c>
      <c r="AJ101" s="6">
        <f>[1]Results!AM1538</f>
        <v>-874.33405789999995</v>
      </c>
      <c r="AK101" s="6">
        <f>[1]Results!AN1538</f>
        <v>-883.6404794</v>
      </c>
      <c r="AL101" s="6">
        <f>[1]Results!AO1538</f>
        <v>-893.05882770000005</v>
      </c>
      <c r="AM101" s="6">
        <f>[1]Results!AP1538</f>
        <v>-902.47430929999996</v>
      </c>
      <c r="AN101" s="6">
        <f>[1]Results!AQ1538</f>
        <v>-911.77066660000003</v>
      </c>
      <c r="AO101" s="6">
        <f>[1]Results!AR1538</f>
        <v>-921.10138159999997</v>
      </c>
      <c r="AP101" s="6">
        <f>[1]Results!AS1538</f>
        <v>-930.50177429999997</v>
      </c>
      <c r="AQ101" s="6">
        <f>[1]Results!AT1538</f>
        <v>-939.98541439999997</v>
      </c>
      <c r="AR101" s="6">
        <f>[1]Results!AU1538</f>
        <v>-949.56196999999997</v>
      </c>
      <c r="AS101" s="6">
        <f>[1]Results!AV1538</f>
        <v>-959.23905920000004</v>
      </c>
      <c r="AT101" s="6">
        <f>[1]Results!AW1538</f>
        <v>-969.02407909999999</v>
      </c>
      <c r="AU101" s="6">
        <f>[1]Results!AX1538</f>
        <v>-978.92276790000005</v>
      </c>
      <c r="AV101" s="6">
        <f>[1]Results!AY1538</f>
        <v>-988.93944260000001</v>
      </c>
      <c r="AW101" s="6">
        <f>[1]Results!AZ1538</f>
        <v>-999.07481600000006</v>
      </c>
      <c r="AX101" s="6">
        <f>[1]Results!BA1538</f>
        <v>-1009.31114</v>
      </c>
      <c r="AY101" s="6">
        <f>[1]Results!BB1538</f>
        <v>-1019.65162</v>
      </c>
      <c r="AZ101" s="6">
        <f>[1]Results!BC1538</f>
        <v>-1030.112895</v>
      </c>
      <c r="BA101" s="6">
        <f>[1]Results!BD1538</f>
        <v>-1040.707371</v>
      </c>
      <c r="BB101" s="6">
        <f>[1]Results!BE1538</f>
        <v>-1146.8100690000001</v>
      </c>
      <c r="BC101" s="6">
        <f>[1]Results!BF1538</f>
        <v>-1162.752213</v>
      </c>
      <c r="BD101" s="6">
        <f>[1]Results!BG1538</f>
        <v>-1178.9435550000001</v>
      </c>
      <c r="BE101" s="6">
        <f>[1]Results!BH1538</f>
        <v>-1195.3919310000001</v>
      </c>
      <c r="BF101" s="6">
        <f>[1]Results!BI1538</f>
        <v>-1212.105595</v>
      </c>
    </row>
    <row r="102" spans="1:58" x14ac:dyDescent="0.35">
      <c r="B102" t="s">
        <v>34</v>
      </c>
      <c r="C102" s="6">
        <f>[1]Results!F1540</f>
        <v>495.88887419999998</v>
      </c>
      <c r="D102" s="6">
        <f>[1]Results!G1540</f>
        <v>501.28014960000002</v>
      </c>
      <c r="E102" s="6">
        <f>[1]Results!H1540</f>
        <v>506.51077279999998</v>
      </c>
      <c r="F102" s="6">
        <f>[1]Results!I1540</f>
        <v>511.83822989999999</v>
      </c>
      <c r="G102" s="6">
        <f>[1]Results!J1540</f>
        <v>517.42737520000003</v>
      </c>
      <c r="H102" s="6">
        <f>[1]Results!K1540</f>
        <v>523.33149719999994</v>
      </c>
      <c r="I102" s="6">
        <f>[1]Results!L1540</f>
        <v>529.19814069999995</v>
      </c>
      <c r="J102" s="6">
        <f>[1]Results!M1540</f>
        <v>535.24216149999995</v>
      </c>
      <c r="K102" s="6">
        <f>[1]Results!N1540</f>
        <v>541.47298469999998</v>
      </c>
      <c r="L102" s="6">
        <f>[1]Results!O1540</f>
        <v>547.87492650000002</v>
      </c>
      <c r="M102" s="6">
        <f>[1]Results!P1540</f>
        <v>555.03355590000001</v>
      </c>
      <c r="N102" s="6">
        <f>[1]Results!Q1540</f>
        <v>561.90281189999996</v>
      </c>
      <c r="O102" s="6">
        <f>[1]Results!R1540</f>
        <v>568.82171059999996</v>
      </c>
      <c r="P102" s="6">
        <f>[1]Results!S1540</f>
        <v>575.82992779999995</v>
      </c>
      <c r="Q102" s="6">
        <f>[1]Results!T1540</f>
        <v>582.93433489999995</v>
      </c>
      <c r="R102" s="6">
        <f>[1]Results!U1540</f>
        <v>590.13526200000001</v>
      </c>
      <c r="S102" s="6">
        <f>[1]Results!V1540</f>
        <v>597.43596490000004</v>
      </c>
      <c r="T102" s="6">
        <f>[1]Results!W1540</f>
        <v>604.83428230000004</v>
      </c>
      <c r="U102" s="6">
        <f>[1]Results!X1540</f>
        <v>612.33030740000004</v>
      </c>
      <c r="V102" s="6">
        <f>[1]Results!Y1540</f>
        <v>619.9252434</v>
      </c>
      <c r="W102" s="6">
        <f>[1]Results!Z1540</f>
        <v>627.17928659999995</v>
      </c>
      <c r="X102" s="6">
        <f>[1]Results!AA1540</f>
        <v>634.85380759999998</v>
      </c>
      <c r="Y102" s="6">
        <f>[1]Results!AB1540</f>
        <v>642.69164000000001</v>
      </c>
      <c r="Z102" s="6">
        <f>[1]Results!AC1540</f>
        <v>650.66066390000003</v>
      </c>
      <c r="AA102" s="6">
        <f>[1]Results!AD1540</f>
        <v>658.75401250000004</v>
      </c>
      <c r="AB102" s="6">
        <f>[1]Results!AE1540</f>
        <v>665.70189310000001</v>
      </c>
      <c r="AC102" s="6">
        <f>[1]Results!AF1540</f>
        <v>673.08171179999999</v>
      </c>
      <c r="AD102" s="6">
        <f>[1]Results!AG1540</f>
        <v>680.57196150000004</v>
      </c>
      <c r="AE102" s="6">
        <f>[1]Results!AH1540</f>
        <v>688.15103980000004</v>
      </c>
      <c r="AF102" s="6">
        <f>[1]Results!AI1540</f>
        <v>695.82386329999997</v>
      </c>
      <c r="AG102" s="6">
        <f>[1]Results!AJ1540</f>
        <v>703.59906899999999</v>
      </c>
      <c r="AH102" s="6">
        <f>[1]Results!AK1540</f>
        <v>711.48367089999999</v>
      </c>
      <c r="AI102" s="6">
        <f>[1]Results!AL1540</f>
        <v>719.48511099999996</v>
      </c>
      <c r="AJ102" s="6">
        <f>[1]Results!AM1540</f>
        <v>727.6090173</v>
      </c>
      <c r="AK102" s="6">
        <f>[1]Results!AN1540</f>
        <v>735.85961199999997</v>
      </c>
      <c r="AL102" s="6">
        <f>[1]Results!AO1540</f>
        <v>744.23994379999999</v>
      </c>
      <c r="AM102" s="6">
        <f>[1]Results!AP1540</f>
        <v>752.43863580000004</v>
      </c>
      <c r="AN102" s="6">
        <f>[1]Results!AQ1540</f>
        <v>760.67844119999995</v>
      </c>
      <c r="AO102" s="6">
        <f>[1]Results!AR1540</f>
        <v>768.99971660000006</v>
      </c>
      <c r="AP102" s="6">
        <f>[1]Results!AS1540</f>
        <v>777.41874089999999</v>
      </c>
      <c r="AQ102" s="6">
        <f>[1]Results!AT1540</f>
        <v>785.94513300000006</v>
      </c>
      <c r="AR102" s="6">
        <f>[1]Results!AU1540</f>
        <v>794.58389590000002</v>
      </c>
      <c r="AS102" s="6">
        <f>[1]Results!AV1540</f>
        <v>803.3411529</v>
      </c>
      <c r="AT102" s="6">
        <f>[1]Results!AW1540</f>
        <v>812.22119559999999</v>
      </c>
      <c r="AU102" s="6">
        <f>[1]Results!AX1540</f>
        <v>821.22721379999996</v>
      </c>
      <c r="AV102" s="6">
        <f>[1]Results!AY1540</f>
        <v>830.36155269999995</v>
      </c>
      <c r="AW102" s="6">
        <f>[1]Results!AZ1540</f>
        <v>839.5845084</v>
      </c>
      <c r="AX102" s="6">
        <f>[1]Results!BA1540</f>
        <v>848.90435860000002</v>
      </c>
      <c r="AY102" s="6">
        <f>[1]Results!BB1540</f>
        <v>858.34955170000001</v>
      </c>
      <c r="AZ102" s="6">
        <f>[1]Results!BC1540</f>
        <v>867.94313629999999</v>
      </c>
      <c r="BA102" s="6">
        <f>[1]Results!BD1540</f>
        <v>877.70020829999999</v>
      </c>
      <c r="BB102" s="6">
        <f>[1]Results!BE1540</f>
        <v>947.16079630000002</v>
      </c>
      <c r="BC102" s="6">
        <f>[1]Results!BF1540</f>
        <v>961.08038239999996</v>
      </c>
      <c r="BD102" s="6">
        <f>[1]Results!BG1540</f>
        <v>975.23425729999997</v>
      </c>
      <c r="BE102" s="6">
        <f>[1]Results!BH1540</f>
        <v>989.62701319999996</v>
      </c>
      <c r="BF102" s="6">
        <f>[1]Results!BI1540</f>
        <v>1004.263659</v>
      </c>
    </row>
    <row r="103" spans="1:58" x14ac:dyDescent="0.35">
      <c r="B103" t="s">
        <v>37</v>
      </c>
      <c r="C103" s="6">
        <f>[1]Results!F1537</f>
        <v>-2121.7755929999998</v>
      </c>
      <c r="D103" s="6">
        <f>[1]Results!G1537</f>
        <v>-2155.1356719999999</v>
      </c>
      <c r="E103" s="6">
        <f>[1]Results!H1537</f>
        <v>-2170.838976</v>
      </c>
      <c r="F103" s="6">
        <f>[1]Results!I1537</f>
        <v>-2183.231577</v>
      </c>
      <c r="G103" s="6">
        <f>[1]Results!J1537</f>
        <v>-2198.126213</v>
      </c>
      <c r="H103" s="6">
        <f>[1]Results!K1537</f>
        <v>-2217.1764600000001</v>
      </c>
      <c r="I103" s="6">
        <f>[1]Results!L1537</f>
        <v>-2240.6206010000001</v>
      </c>
      <c r="J103" s="6">
        <f>[1]Results!M1537</f>
        <v>-2265.0990160000001</v>
      </c>
      <c r="K103" s="6">
        <f>[1]Results!N1537</f>
        <v>-2291.2140599999998</v>
      </c>
      <c r="L103" s="6">
        <f>[1]Results!O1537</f>
        <v>-2318.668447</v>
      </c>
      <c r="M103" s="6">
        <f>[1]Results!P1537</f>
        <v>-2346.1922500000001</v>
      </c>
      <c r="N103" s="6">
        <f>[1]Results!Q1537</f>
        <v>-2378.8533830000001</v>
      </c>
      <c r="O103" s="6">
        <f>[1]Results!R1537</f>
        <v>-2409.5525419999999</v>
      </c>
      <c r="P103" s="6">
        <f>[1]Results!S1537</f>
        <v>-2440.1217860000002</v>
      </c>
      <c r="Q103" s="6">
        <f>[1]Results!T1537</f>
        <v>-2470.9556379999999</v>
      </c>
      <c r="R103" s="6">
        <f>[1]Results!U1537</f>
        <v>-2502.120191</v>
      </c>
      <c r="S103" s="6">
        <f>[1]Results!V1537</f>
        <v>-2533.6196749999999</v>
      </c>
      <c r="T103" s="6">
        <f>[1]Results!W1537</f>
        <v>-2565.472784</v>
      </c>
      <c r="U103" s="6">
        <f>[1]Results!X1537</f>
        <v>-2597.6793750000002</v>
      </c>
      <c r="V103" s="6">
        <f>[1]Results!Y1537</f>
        <v>-2630.2463670000002</v>
      </c>
      <c r="W103" s="6">
        <f>[1]Results!Z1537</f>
        <v>-2663.8566139999998</v>
      </c>
      <c r="X103" s="6">
        <f>[1]Results!AA1537</f>
        <v>-2694.5849840000001</v>
      </c>
      <c r="Y103" s="6">
        <f>[1]Results!AB1537</f>
        <v>-2727.5947580000002</v>
      </c>
      <c r="Z103" s="6">
        <f>[1]Results!AC1537</f>
        <v>-2761.460051</v>
      </c>
      <c r="AA103" s="6">
        <f>[1]Results!AD1537</f>
        <v>-2795.8600590000001</v>
      </c>
      <c r="AB103" s="6">
        <f>[1]Results!AE1537</f>
        <v>-2832.6731690000001</v>
      </c>
      <c r="AC103" s="6">
        <f>[1]Results!AF1537</f>
        <v>-2861.462141</v>
      </c>
      <c r="AD103" s="6">
        <f>[1]Results!AG1537</f>
        <v>-2892.634599</v>
      </c>
      <c r="AE103" s="6">
        <f>[1]Results!AH1537</f>
        <v>-2924.5847279999998</v>
      </c>
      <c r="AF103" s="6">
        <f>[1]Results!AI1537</f>
        <v>-2956.9694439999998</v>
      </c>
      <c r="AG103" s="6">
        <f>[1]Results!AJ1537</f>
        <v>-2989.7561190000001</v>
      </c>
      <c r="AH103" s="6">
        <f>[1]Results!AK1537</f>
        <v>-3022.9729299999999</v>
      </c>
      <c r="AI103" s="6">
        <f>[1]Results!AL1537</f>
        <v>-3056.6466140000002</v>
      </c>
      <c r="AJ103" s="6">
        <f>[1]Results!AM1537</f>
        <v>-3090.8033099999998</v>
      </c>
      <c r="AK103" s="6">
        <f>[1]Results!AN1537</f>
        <v>-3125.4598470000001</v>
      </c>
      <c r="AL103" s="6">
        <f>[1]Results!AO1537</f>
        <v>-3160.6257009999999</v>
      </c>
      <c r="AM103" s="6">
        <f>[1]Results!AP1537</f>
        <v>-3196.7827990000001</v>
      </c>
      <c r="AN103" s="6">
        <f>[1]Results!AQ1537</f>
        <v>-3231.6213109999999</v>
      </c>
      <c r="AO103" s="6">
        <f>[1]Results!AR1537</f>
        <v>-3266.4633880000001</v>
      </c>
      <c r="AP103" s="6">
        <f>[1]Results!AS1537</f>
        <v>-3301.624096</v>
      </c>
      <c r="AQ103" s="6">
        <f>[1]Results!AT1537</f>
        <v>-3337.1863739999999</v>
      </c>
      <c r="AR103" s="6">
        <f>[1]Results!AU1537</f>
        <v>-3373.1861939999999</v>
      </c>
      <c r="AS103" s="6">
        <f>[1]Results!AV1537</f>
        <v>-3409.639381</v>
      </c>
      <c r="AT103" s="6">
        <f>[1]Results!AW1537</f>
        <v>-3446.5671050000001</v>
      </c>
      <c r="AU103" s="6">
        <f>[1]Results!AX1537</f>
        <v>-3483.9845129999999</v>
      </c>
      <c r="AV103" s="6">
        <f>[1]Results!AY1537</f>
        <v>-3521.901879</v>
      </c>
      <c r="AW103" s="6">
        <f>[1]Results!AZ1537</f>
        <v>-3560.3494620000001</v>
      </c>
      <c r="AX103" s="6">
        <f>[1]Results!BA1537</f>
        <v>-3599.2356209999998</v>
      </c>
      <c r="AY103" s="6">
        <f>[1]Results!BB1537</f>
        <v>-3638.5236540000001</v>
      </c>
      <c r="AZ103" s="6">
        <f>[1]Results!BC1537</f>
        <v>-3678.3116540000001</v>
      </c>
      <c r="BA103" s="6">
        <f>[1]Results!BD1537</f>
        <v>-3718.6788860000001</v>
      </c>
      <c r="BB103" s="6">
        <f>[1]Results!BE1537</f>
        <v>-4070.1845090000002</v>
      </c>
      <c r="BC103" s="6">
        <f>[1]Results!BF1537</f>
        <v>-4129.4091010000002</v>
      </c>
      <c r="BD103" s="6">
        <f>[1]Results!BG1537</f>
        <v>-4189.5967199999996</v>
      </c>
      <c r="BE103" s="6">
        <f>[1]Results!BH1537</f>
        <v>-4250.7691379999997</v>
      </c>
      <c r="BF103" s="6">
        <f>[1]Results!BI1537</f>
        <v>-4312.9515389999997</v>
      </c>
    </row>
    <row r="104" spans="1:58" x14ac:dyDescent="0.35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</row>
    <row r="106" spans="1:58" x14ac:dyDescent="0.35">
      <c r="A106" s="12" t="s">
        <v>79</v>
      </c>
      <c r="B106" t="s">
        <v>14</v>
      </c>
      <c r="C106" s="7" t="s">
        <v>15</v>
      </c>
      <c r="D106" s="7" t="s">
        <v>16</v>
      </c>
      <c r="E106" s="7" t="s">
        <v>17</v>
      </c>
    </row>
    <row r="107" spans="1:58" x14ac:dyDescent="0.35">
      <c r="A107" t="s">
        <v>80</v>
      </c>
      <c r="B107" t="s">
        <v>27</v>
      </c>
      <c r="C107" s="4">
        <f>(R93-R79)/R79</f>
        <v>-8.7633861812473981E-4</v>
      </c>
      <c r="D107" s="10">
        <f>(AB93-AB79)/AB79</f>
        <v>-1.5804104173817301E-3</v>
      </c>
      <c r="E107" s="10">
        <f>(AL93-AL79)/AL79</f>
        <v>-2.3311063928517974E-3</v>
      </c>
    </row>
    <row r="108" spans="1:58" x14ac:dyDescent="0.35">
      <c r="B108" t="s">
        <v>7</v>
      </c>
      <c r="C108" s="4">
        <f t="shared" ref="C108:C114" si="62">(R94-R82)/R82</f>
        <v>-3.7018350843705881E-2</v>
      </c>
      <c r="D108" s="4">
        <f t="shared" ref="D108:D114" si="63">(AB94-AB82)/AB82</f>
        <v>-6.0278436341178847E-2</v>
      </c>
      <c r="E108" s="4">
        <f t="shared" ref="E108:E114" si="64">(AL94-AL82)/AL82</f>
        <v>-8.4469212911121694E-2</v>
      </c>
      <c r="Q108" s="5"/>
      <c r="U108" s="5"/>
      <c r="V108" s="5"/>
      <c r="Y108" s="5"/>
      <c r="Z108" s="5"/>
      <c r="AA108" s="5"/>
    </row>
    <row r="109" spans="1:58" x14ac:dyDescent="0.35">
      <c r="B109" t="s">
        <v>30</v>
      </c>
      <c r="C109" s="4">
        <f t="shared" si="62"/>
        <v>2.516289839533998E-3</v>
      </c>
      <c r="D109" s="4">
        <f t="shared" si="63"/>
        <v>3.6706882300661841E-3</v>
      </c>
      <c r="E109" s="4">
        <f t="shared" si="64"/>
        <v>4.740819136270941E-3</v>
      </c>
      <c r="Q109" s="5"/>
      <c r="U109" s="5"/>
      <c r="V109" s="5"/>
      <c r="Y109" s="5"/>
      <c r="Z109" s="5"/>
      <c r="AA109" s="5"/>
    </row>
    <row r="110" spans="1:58" x14ac:dyDescent="0.35">
      <c r="B110" t="s">
        <v>9</v>
      </c>
      <c r="C110" s="4">
        <f t="shared" si="62"/>
        <v>-1.1315286126940623E-3</v>
      </c>
      <c r="D110" s="4">
        <f t="shared" si="63"/>
        <v>-2.1204390255166934E-3</v>
      </c>
      <c r="E110" s="4">
        <f t="shared" si="64"/>
        <v>-3.1847610737626608E-3</v>
      </c>
      <c r="Q110" s="5"/>
      <c r="U110" s="5"/>
      <c r="V110" s="5"/>
      <c r="Y110" s="5"/>
      <c r="Z110" s="5"/>
      <c r="AA110" s="5"/>
    </row>
    <row r="111" spans="1:58" x14ac:dyDescent="0.35">
      <c r="B111" t="s">
        <v>10</v>
      </c>
      <c r="C111" s="4">
        <f t="shared" si="62"/>
        <v>-1.0178569362696665E-3</v>
      </c>
      <c r="D111" s="4">
        <f t="shared" si="63"/>
        <v>-1.7440878282835807E-3</v>
      </c>
      <c r="E111" s="4">
        <f t="shared" si="64"/>
        <v>-2.4753232892654924E-3</v>
      </c>
      <c r="Q111" s="5"/>
      <c r="U111" s="5"/>
      <c r="V111" s="5"/>
      <c r="Y111" s="5"/>
      <c r="Z111" s="5"/>
      <c r="AA111" s="5"/>
    </row>
    <row r="112" spans="1:58" x14ac:dyDescent="0.35">
      <c r="B112" t="s">
        <v>29</v>
      </c>
      <c r="C112" s="4">
        <f t="shared" si="62"/>
        <v>0.10468260095618208</v>
      </c>
      <c r="D112" s="4">
        <f t="shared" si="63"/>
        <v>0.13541521125114447</v>
      </c>
      <c r="E112" s="4">
        <f t="shared" si="64"/>
        <v>0.16412386149030536</v>
      </c>
      <c r="Q112" s="5"/>
      <c r="U112" s="5"/>
      <c r="V112" s="5"/>
      <c r="Y112" s="5"/>
      <c r="Z112" s="5"/>
      <c r="AA112" s="5"/>
    </row>
    <row r="113" spans="1:58" x14ac:dyDescent="0.35">
      <c r="B113" t="s">
        <v>36</v>
      </c>
      <c r="C113" s="4">
        <f t="shared" si="62"/>
        <v>-0.43294483332408645</v>
      </c>
      <c r="D113" s="4">
        <f t="shared" si="63"/>
        <v>-0.55122538247549113</v>
      </c>
      <c r="E113" s="4">
        <f t="shared" si="64"/>
        <v>-0.62405424679322496</v>
      </c>
      <c r="Q113" s="5"/>
      <c r="U113" s="5"/>
      <c r="V113" s="5"/>
      <c r="Y113" s="5"/>
      <c r="Z113" s="5"/>
      <c r="AA113" s="5"/>
    </row>
    <row r="114" spans="1:58" x14ac:dyDescent="0.35">
      <c r="B114" t="s">
        <v>33</v>
      </c>
      <c r="C114" s="4">
        <f t="shared" si="62"/>
        <v>8.1118551712588988E-3</v>
      </c>
      <c r="D114" s="4">
        <f t="shared" si="63"/>
        <v>1.1704451939285534E-2</v>
      </c>
      <c r="E114" s="4">
        <f t="shared" si="64"/>
        <v>1.4322644848780097E-2</v>
      </c>
      <c r="Q114" s="5"/>
      <c r="U114" s="5"/>
      <c r="V114" s="5"/>
      <c r="Y114" s="5"/>
      <c r="Z114" s="5"/>
      <c r="AA114" s="5"/>
    </row>
    <row r="115" spans="1:58" x14ac:dyDescent="0.35"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</row>
    <row r="116" spans="1:58" x14ac:dyDescent="0.35">
      <c r="A116" s="12" t="s">
        <v>79</v>
      </c>
      <c r="B116" t="s">
        <v>14</v>
      </c>
      <c r="C116" s="7" t="s">
        <v>15</v>
      </c>
      <c r="D116" s="7" t="s">
        <v>16</v>
      </c>
      <c r="E116" s="7" t="s">
        <v>17</v>
      </c>
    </row>
    <row r="117" spans="1:58" x14ac:dyDescent="0.35">
      <c r="A117" t="s">
        <v>81</v>
      </c>
      <c r="B117" t="s">
        <v>7</v>
      </c>
      <c r="C117" s="4">
        <f>R94/R82-1</f>
        <v>-3.7018350843705861E-2</v>
      </c>
      <c r="D117" s="4">
        <f>AB94/AB82-1</f>
        <v>-6.0278436341178798E-2</v>
      </c>
      <c r="E117" s="4">
        <f>AL94/AL82-1</f>
        <v>-8.4469212911121749E-2</v>
      </c>
    </row>
    <row r="118" spans="1:58" x14ac:dyDescent="0.35">
      <c r="B118" t="s">
        <v>30</v>
      </c>
      <c r="C118" s="4">
        <f>R95/R83-1</f>
        <v>2.5162898395338917E-3</v>
      </c>
      <c r="D118" s="4">
        <f>AB95/AB83-1</f>
        <v>3.6706882300661103E-3</v>
      </c>
      <c r="E118" s="4">
        <f>AL95/AL83-1</f>
        <v>4.7408191362710017E-3</v>
      </c>
    </row>
    <row r="119" spans="1:58" x14ac:dyDescent="0.35">
      <c r="B119" t="s">
        <v>9</v>
      </c>
      <c r="C119" s="4">
        <f>R96/R84-1</f>
        <v>-1.1315286126940549E-3</v>
      </c>
      <c r="D119" s="4">
        <f>AB96/AB84-1</f>
        <v>-2.1204390255167294E-3</v>
      </c>
      <c r="E119" s="4">
        <f>AL96/AL84-1</f>
        <v>-3.1847610737626431E-3</v>
      </c>
    </row>
    <row r="120" spans="1:58" x14ac:dyDescent="0.35">
      <c r="B120" t="s">
        <v>10</v>
      </c>
      <c r="C120" s="4">
        <f>R97/R85-1</f>
        <v>-1.0178569362696566E-3</v>
      </c>
      <c r="D120" s="4">
        <f>AB97/AB85-1</f>
        <v>-1.7440878282836136E-3</v>
      </c>
      <c r="E120" s="4">
        <f>AL97/AL85-1</f>
        <v>-2.4753232892654742E-3</v>
      </c>
    </row>
    <row r="121" spans="1:58" x14ac:dyDescent="0.35">
      <c r="B121" t="s">
        <v>29</v>
      </c>
      <c r="C121" s="4">
        <f>R98/R86-1</f>
        <v>0.10468260095618209</v>
      </c>
      <c r="D121" s="4">
        <f>AB98/AB86-1</f>
        <v>0.13541521125114442</v>
      </c>
      <c r="E121" s="4">
        <f>AL98/AL86-1</f>
        <v>0.16412386149030533</v>
      </c>
    </row>
    <row r="122" spans="1:58" x14ac:dyDescent="0.35">
      <c r="B122" t="s">
        <v>33</v>
      </c>
      <c r="C122" s="4">
        <f>R100/R88-1</f>
        <v>8.1118551712588971E-3</v>
      </c>
      <c r="D122" s="4">
        <f>AB100/AB88-1</f>
        <v>1.1704451939285487E-2</v>
      </c>
      <c r="E122" s="4">
        <f>AL100/AL88-1</f>
        <v>1.4322644848780097E-2</v>
      </c>
    </row>
    <row r="124" spans="1:58" x14ac:dyDescent="0.35">
      <c r="A124" s="12" t="s">
        <v>82</v>
      </c>
      <c r="C124" s="2">
        <v>42005</v>
      </c>
      <c r="D124" s="2">
        <v>42370</v>
      </c>
      <c r="E124" s="2">
        <v>42736</v>
      </c>
      <c r="F124" s="2">
        <v>43101</v>
      </c>
      <c r="G124" s="2">
        <v>43466</v>
      </c>
      <c r="H124" s="2">
        <v>43831</v>
      </c>
      <c r="I124" s="2">
        <v>44197</v>
      </c>
      <c r="J124" s="2">
        <v>44562</v>
      </c>
      <c r="K124" s="2">
        <v>44927</v>
      </c>
      <c r="L124" s="2">
        <v>45292</v>
      </c>
      <c r="M124" s="2">
        <v>45658</v>
      </c>
      <c r="N124" s="2">
        <v>46023</v>
      </c>
      <c r="O124" s="2">
        <v>46388</v>
      </c>
      <c r="P124" s="2">
        <v>46753</v>
      </c>
      <c r="Q124" s="2">
        <v>47119</v>
      </c>
      <c r="R124" s="2">
        <v>47484</v>
      </c>
      <c r="S124" s="2">
        <v>47849</v>
      </c>
      <c r="T124" s="2">
        <v>48214</v>
      </c>
      <c r="U124" s="2">
        <v>48580</v>
      </c>
      <c r="V124" s="2">
        <v>48945</v>
      </c>
      <c r="W124" s="2">
        <v>49310</v>
      </c>
      <c r="X124" s="2">
        <v>49675</v>
      </c>
      <c r="Y124" s="2">
        <v>50041</v>
      </c>
      <c r="Z124" s="2">
        <v>50406</v>
      </c>
      <c r="AA124" s="2">
        <v>50771</v>
      </c>
      <c r="AB124" s="2">
        <v>51136</v>
      </c>
      <c r="AC124" s="2">
        <v>51502</v>
      </c>
      <c r="AD124" s="2">
        <v>51867</v>
      </c>
      <c r="AE124" s="2">
        <v>52232</v>
      </c>
      <c r="AF124" s="2">
        <v>52597</v>
      </c>
      <c r="AG124" s="2">
        <v>52963</v>
      </c>
      <c r="AH124" s="2">
        <v>53328</v>
      </c>
      <c r="AI124" s="2">
        <v>53693</v>
      </c>
      <c r="AJ124" s="2">
        <v>54058</v>
      </c>
      <c r="AK124" s="2">
        <v>54424</v>
      </c>
      <c r="AL124" s="2">
        <v>54789</v>
      </c>
      <c r="AM124" s="2">
        <v>54790</v>
      </c>
      <c r="AN124" s="2">
        <v>54791</v>
      </c>
      <c r="AO124" s="2">
        <v>54792</v>
      </c>
      <c r="AP124" s="2">
        <v>54793</v>
      </c>
      <c r="AQ124" s="2">
        <v>54794</v>
      </c>
      <c r="AR124" s="2">
        <v>54795</v>
      </c>
      <c r="AS124" s="2">
        <v>54796</v>
      </c>
      <c r="AT124" s="2">
        <v>54797</v>
      </c>
      <c r="AU124" s="2">
        <v>54798</v>
      </c>
      <c r="AV124" s="2">
        <v>54799</v>
      </c>
      <c r="AW124" s="2">
        <v>54800</v>
      </c>
      <c r="AX124" s="2">
        <v>54801</v>
      </c>
      <c r="AY124" s="2">
        <v>54802</v>
      </c>
      <c r="AZ124" s="2">
        <v>54803</v>
      </c>
      <c r="BA124" s="2">
        <v>54804</v>
      </c>
      <c r="BB124" s="2">
        <v>54805</v>
      </c>
      <c r="BC124" s="2">
        <v>54806</v>
      </c>
      <c r="BD124" s="2">
        <v>54807</v>
      </c>
      <c r="BE124" s="2">
        <v>54808</v>
      </c>
      <c r="BF124" s="2">
        <v>54809</v>
      </c>
    </row>
    <row r="125" spans="1:58" x14ac:dyDescent="0.35">
      <c r="A125" t="s">
        <v>38</v>
      </c>
      <c r="B125" t="s">
        <v>27</v>
      </c>
      <c r="C125" s="6">
        <f>[1]Production!B3</f>
        <v>3859456.267</v>
      </c>
      <c r="D125" s="6">
        <f>[1]Production!C3</f>
        <v>3908928.0649999999</v>
      </c>
      <c r="E125" s="6">
        <f>[1]Production!D3</f>
        <v>3963318.7030000002</v>
      </c>
      <c r="F125" s="6">
        <f>[1]Production!E3</f>
        <v>4021348.8029999998</v>
      </c>
      <c r="G125" s="6">
        <f>[1]Production!F3</f>
        <v>4082802.6409999998</v>
      </c>
      <c r="H125" s="6">
        <f>[1]Production!G3</f>
        <v>4147429.432</v>
      </c>
      <c r="I125" s="6">
        <f>[1]Production!H3</f>
        <v>4212284.6210000003</v>
      </c>
      <c r="J125" s="6">
        <f>[1]Production!I3</f>
        <v>4278870.5190000003</v>
      </c>
      <c r="K125" s="6">
        <f>[1]Production!J3</f>
        <v>4347161.068</v>
      </c>
      <c r="L125" s="6">
        <f>[1]Production!K3</f>
        <v>4417052.6169999996</v>
      </c>
      <c r="M125" s="6">
        <f>[1]Production!L3</f>
        <v>4493113.216</v>
      </c>
      <c r="N125" s="6">
        <f>[1]Production!M3</f>
        <v>4567405.3509999998</v>
      </c>
      <c r="O125" s="6">
        <f>[1]Production!N3</f>
        <v>4642562.1449999996</v>
      </c>
      <c r="P125" s="6">
        <f>[1]Production!O3</f>
        <v>4718670.5710000005</v>
      </c>
      <c r="Q125" s="6">
        <f>[1]Production!P3</f>
        <v>4795733.801</v>
      </c>
      <c r="R125" s="6">
        <f>[1]Production!Q3</f>
        <v>4873757.1370000001</v>
      </c>
      <c r="S125" s="6">
        <f>[1]Production!R3</f>
        <v>4952762.1500000004</v>
      </c>
      <c r="T125" s="6">
        <f>[1]Production!S3</f>
        <v>5032783.9079999998</v>
      </c>
      <c r="U125" s="6">
        <f>[1]Production!T3</f>
        <v>5113865.108</v>
      </c>
      <c r="V125" s="6">
        <f>[1]Production!U3</f>
        <v>5196051.0209999997</v>
      </c>
      <c r="W125" s="6">
        <f>[1]Production!V3</f>
        <v>5275882.074</v>
      </c>
      <c r="X125" s="6">
        <f>[1]Production!W3</f>
        <v>5359258.1229999997</v>
      </c>
      <c r="Y125" s="6">
        <f>[1]Production!X3</f>
        <v>5444189.75</v>
      </c>
      <c r="Z125" s="6">
        <f>[1]Production!Y3</f>
        <v>5530597.3739999998</v>
      </c>
      <c r="AA125" s="6">
        <f>[1]Production!Z3</f>
        <v>5618473.3449999997</v>
      </c>
      <c r="AB125" s="6">
        <f>[1]Production!AA3</f>
        <v>5697650.6770000001</v>
      </c>
      <c r="AC125" s="6">
        <f>[1]Production!AB3</f>
        <v>5780281.4270000001</v>
      </c>
      <c r="AD125" s="6">
        <f>[1]Production!AC3</f>
        <v>5863659.8449999997</v>
      </c>
      <c r="AE125" s="6">
        <f>[1]Production!AD3</f>
        <v>5947875.9910000004</v>
      </c>
      <c r="AF125" s="6">
        <f>[1]Production!AE3</f>
        <v>6033085.0499999998</v>
      </c>
      <c r="AG125" s="6">
        <f>[1]Production!AF3</f>
        <v>6119423.5379999997</v>
      </c>
      <c r="AH125" s="6">
        <f>[1]Production!AG3</f>
        <v>6206990.9850000003</v>
      </c>
      <c r="AI125" s="6">
        <f>[1]Production!AH3</f>
        <v>6295850.3700000001</v>
      </c>
      <c r="AJ125" s="6">
        <f>[1]Production!AI3</f>
        <v>6386034.9119999995</v>
      </c>
      <c r="AK125" s="6">
        <f>[1]Production!AJ3</f>
        <v>6477556.5290000001</v>
      </c>
      <c r="AL125" s="6">
        <f>[1]Production!AK3</f>
        <v>6570413.767</v>
      </c>
      <c r="AM125" s="6">
        <f>[1]Production!AL3</f>
        <v>6662114.4179999996</v>
      </c>
      <c r="AN125" s="6">
        <f>[1]Production!AM3</f>
        <v>6754283.1739999996</v>
      </c>
      <c r="AO125" s="6">
        <f>[1]Production!AN3</f>
        <v>6847129.4330000002</v>
      </c>
      <c r="AP125" s="6">
        <f>[1]Production!AO3</f>
        <v>6940786.6100000003</v>
      </c>
      <c r="AQ125" s="6">
        <f>[1]Production!AP3</f>
        <v>7035366.0559999999</v>
      </c>
      <c r="AR125" s="6">
        <f>[1]Production!AQ3</f>
        <v>7131338.1490000002</v>
      </c>
      <c r="AS125" s="6">
        <f>[1]Production!AR3</f>
        <v>7228873.0990000004</v>
      </c>
      <c r="AT125" s="6">
        <f>[1]Production!AS3</f>
        <v>7327984.6890000002</v>
      </c>
      <c r="AU125" s="6">
        <f>[1]Production!AT3</f>
        <v>7428619.0800000001</v>
      </c>
      <c r="AV125" s="6">
        <f>[1]Production!AU3</f>
        <v>7530716.5190000003</v>
      </c>
      <c r="AW125" s="6">
        <f>[1]Production!AV3</f>
        <v>7634464.5250000004</v>
      </c>
      <c r="AX125" s="6">
        <f>[1]Production!AW3</f>
        <v>7739698.1279999996</v>
      </c>
      <c r="AY125" s="6">
        <f>[1]Production!AX3</f>
        <v>7846399.6730000004</v>
      </c>
      <c r="AZ125" s="6">
        <f>[1]Production!AY3</f>
        <v>7954568.7819999997</v>
      </c>
      <c r="BA125" s="6">
        <f>[1]Production!AZ3</f>
        <v>8064211.7139999997</v>
      </c>
      <c r="BB125" s="6">
        <f>[1]Production!BA3</f>
        <v>8712181.8599999994</v>
      </c>
      <c r="BC125" s="6">
        <f>[1]Production!BB3</f>
        <v>8859098.2300000004</v>
      </c>
      <c r="BD125" s="6">
        <f>[1]Production!BC3</f>
        <v>9008308.0109999999</v>
      </c>
      <c r="BE125" s="6">
        <f>[1]Production!BD3</f>
        <v>9159849.0710000005</v>
      </c>
      <c r="BF125" s="6">
        <f>[1]Production!BE3</f>
        <v>9313761.7990000006</v>
      </c>
    </row>
    <row r="126" spans="1:58" x14ac:dyDescent="0.35">
      <c r="B126" t="s">
        <v>7</v>
      </c>
      <c r="C126" s="6">
        <f>[1]Production!B5+[1]Production!B7</f>
        <v>88478.071793999989</v>
      </c>
      <c r="D126" s="6">
        <f>[1]Production!C5+[1]Production!C7</f>
        <v>89337.800939000008</v>
      </c>
      <c r="E126" s="6">
        <f>[1]Production!D5+[1]Production!D7</f>
        <v>90238.095384</v>
      </c>
      <c r="F126" s="6">
        <f>[1]Production!E5+[1]Production!E7</f>
        <v>91167.887065999996</v>
      </c>
      <c r="G126" s="6">
        <f>[1]Production!F5+[1]Production!F7</f>
        <v>92146.376413999998</v>
      </c>
      <c r="H126" s="6">
        <f>[1]Production!G5+[1]Production!G7</f>
        <v>93179.613073</v>
      </c>
      <c r="I126" s="6">
        <f>[1]Production!H5+[1]Production!H7</f>
        <v>94191.004060000007</v>
      </c>
      <c r="J126" s="6">
        <f>[1]Production!I5+[1]Production!I7</f>
        <v>95243.118937000007</v>
      </c>
      <c r="K126" s="6">
        <f>[1]Production!J5+[1]Production!J7</f>
        <v>96335.358187999998</v>
      </c>
      <c r="L126" s="6">
        <f>[1]Production!K5+[1]Production!K7</f>
        <v>97464.569734999997</v>
      </c>
      <c r="M126" s="6">
        <f>[1]Production!L5+[1]Production!L7</f>
        <v>98759.075142000002</v>
      </c>
      <c r="N126" s="6">
        <f>[1]Production!M5+[1]Production!M7</f>
        <v>99967.023310999997</v>
      </c>
      <c r="O126" s="6">
        <f>[1]Production!N5+[1]Production!N7</f>
        <v>101192.602915</v>
      </c>
      <c r="P126" s="6">
        <f>[1]Production!O5+[1]Production!O7</f>
        <v>102435.16923299999</v>
      </c>
      <c r="Q126" s="6">
        <f>[1]Production!P5+[1]Production!P7</f>
        <v>103693.186675</v>
      </c>
      <c r="R126" s="6">
        <f>[1]Production!Q5+[1]Production!Q7</f>
        <v>104965.348012</v>
      </c>
      <c r="S126" s="6">
        <f>[1]Production!R5+[1]Production!R7</f>
        <v>106250.85889999999</v>
      </c>
      <c r="T126" s="6">
        <f>[1]Production!S5+[1]Production!S7</f>
        <v>107549.47652899999</v>
      </c>
      <c r="U126" s="6">
        <f>[1]Production!T5+[1]Production!T7</f>
        <v>108861.463944</v>
      </c>
      <c r="V126" s="6">
        <f>[1]Production!U5+[1]Production!U7</f>
        <v>110187.512596</v>
      </c>
      <c r="W126" s="6">
        <f>[1]Production!V5+[1]Production!V7</f>
        <v>111432.02012399999</v>
      </c>
      <c r="X126" s="6">
        <f>[1]Production!W5+[1]Production!W7</f>
        <v>112777.362605</v>
      </c>
      <c r="Y126" s="6">
        <f>[1]Production!X5+[1]Production!X7</f>
        <v>114145.101448</v>
      </c>
      <c r="Z126" s="6">
        <f>[1]Production!Y5+[1]Production!Y7</f>
        <v>115534.79084999999</v>
      </c>
      <c r="AA126" s="6">
        <f>[1]Production!Z5+[1]Production!Z7</f>
        <v>116947.04583399999</v>
      </c>
      <c r="AB126" s="6">
        <f>[1]Production!AA5+[1]Production!AA7</f>
        <v>118106.100681</v>
      </c>
      <c r="AC126" s="6">
        <f>[1]Production!AB5+[1]Production!AB7</f>
        <v>119400.998928</v>
      </c>
      <c r="AD126" s="6">
        <f>[1]Production!AC5+[1]Production!AC7</f>
        <v>120716.357292</v>
      </c>
      <c r="AE126" s="6">
        <f>[1]Production!AD5+[1]Production!AD7</f>
        <v>122053.511564</v>
      </c>
      <c r="AF126" s="6">
        <f>[1]Production!AE5+[1]Production!AE7</f>
        <v>123414.103879</v>
      </c>
      <c r="AG126" s="6">
        <f>[1]Production!AF5+[1]Production!AF7</f>
        <v>124799.565629</v>
      </c>
      <c r="AH126" s="6">
        <f>[1]Production!AG5+[1]Production!AG7</f>
        <v>126210.964867</v>
      </c>
      <c r="AI126" s="6">
        <f>[1]Production!AH5+[1]Production!AH7</f>
        <v>127648.990265</v>
      </c>
      <c r="AJ126" s="6">
        <f>[1]Production!AI5+[1]Production!AI7</f>
        <v>129113.995914</v>
      </c>
      <c r="AK126" s="6">
        <f>[1]Production!AJ5+[1]Production!AJ7</f>
        <v>130606.07003</v>
      </c>
      <c r="AL126" s="6">
        <f>[1]Production!AK5+[1]Production!AK7</f>
        <v>132125.110181</v>
      </c>
      <c r="AM126" s="6">
        <f>[1]Production!AL5+[1]Production!AL7</f>
        <v>133605.02493300001</v>
      </c>
      <c r="AN126" s="6">
        <f>[1]Production!AM5+[1]Production!AM7</f>
        <v>135102.921003</v>
      </c>
      <c r="AO126" s="6">
        <f>[1]Production!AN5+[1]Production!AN7</f>
        <v>136622.76932300001</v>
      </c>
      <c r="AP126" s="6">
        <f>[1]Production!AO5+[1]Production!AO7</f>
        <v>138166.91778000002</v>
      </c>
      <c r="AQ126" s="6">
        <f>[1]Production!AP5+[1]Production!AP7</f>
        <v>139736.27171899998</v>
      </c>
      <c r="AR126" s="6">
        <f>[1]Production!AQ5+[1]Production!AQ7</f>
        <v>141392.03952000002</v>
      </c>
      <c r="AS126" s="6">
        <f>[1]Production!AR5+[1]Production!AR7</f>
        <v>143121.053361</v>
      </c>
      <c r="AT126" s="6">
        <f>[1]Production!AS5+[1]Production!AS7</f>
        <v>144911.92699400001</v>
      </c>
      <c r="AU126" s="6">
        <f>[1]Production!AT5+[1]Production!AT7</f>
        <v>146756.204536</v>
      </c>
      <c r="AV126" s="6">
        <f>[1]Production!AU5+[1]Production!AU7</f>
        <v>148648.220784</v>
      </c>
      <c r="AW126" s="6">
        <f>[1]Production!AV5+[1]Production!AV7</f>
        <v>150590.39489700002</v>
      </c>
      <c r="AX126" s="6">
        <f>[1]Production!AW5+[1]Production!AW7</f>
        <v>152575.569265</v>
      </c>
      <c r="AY126" s="6">
        <f>[1]Production!AX5+[1]Production!AX7</f>
        <v>154602.50969600002</v>
      </c>
      <c r="AZ126" s="6">
        <f>[1]Production!AY5+[1]Production!AY7</f>
        <v>156670.67376599999</v>
      </c>
      <c r="BA126" s="6">
        <f>[1]Production!AZ5+[1]Production!AZ7</f>
        <v>158779.91195800001</v>
      </c>
      <c r="BB126" s="6">
        <f>[1]Production!BA5+[1]Production!BA7</f>
        <v>187349.718796</v>
      </c>
      <c r="BC126" s="6">
        <f>[1]Production!BB5+[1]Production!BB7</f>
        <v>190365.57513399998</v>
      </c>
      <c r="BD126" s="6">
        <f>[1]Production!BC5+[1]Production!BC7</f>
        <v>193432.17496200002</v>
      </c>
      <c r="BE126" s="6">
        <f>[1]Production!BD5+[1]Production!BD7</f>
        <v>196550.74918099999</v>
      </c>
      <c r="BF126" s="6">
        <f>[1]Production!BE5+[1]Production!BE7</f>
        <v>199722.56682400001</v>
      </c>
    </row>
    <row r="127" spans="1:58" x14ac:dyDescent="0.35">
      <c r="B127" t="s">
        <v>30</v>
      </c>
      <c r="C127" s="6">
        <f>[1]Production!B9+[1]Production!B11+[1]Production!B13+[1]Production!B15+[1]Production!B17+[1]Production!B19+[1]Production!B21+[1]Production!B23+[1]Production!B25+[1]Production!B27+[1]Production!B41</f>
        <v>980663.515916</v>
      </c>
      <c r="D127" s="6">
        <f>[1]Production!C9+[1]Production!C11+[1]Production!C13+[1]Production!C15+[1]Production!C17+[1]Production!C19+[1]Production!C21+[1]Production!C23+[1]Production!C25+[1]Production!C27+[1]Production!C41</f>
        <v>993757.44682899991</v>
      </c>
      <c r="E127" s="6">
        <f>[1]Production!D9+[1]Production!D11+[1]Production!D13+[1]Production!D15+[1]Production!D17+[1]Production!D19+[1]Production!D21+[1]Production!D23+[1]Production!D25+[1]Production!D27+[1]Production!D41</f>
        <v>1008351.902855</v>
      </c>
      <c r="F127" s="6">
        <f>[1]Production!E9+[1]Production!E11+[1]Production!E13+[1]Production!E15+[1]Production!E17+[1]Production!E19+[1]Production!E21+[1]Production!E23+[1]Production!E25+[1]Production!E27+[1]Production!E41</f>
        <v>1023848.445608</v>
      </c>
      <c r="G127" s="6">
        <f>[1]Production!F9+[1]Production!F11+[1]Production!F13+[1]Production!F15+[1]Production!F17+[1]Production!F19+[1]Production!F21+[1]Production!F23+[1]Production!F25+[1]Production!F27+[1]Production!F41</f>
        <v>1040129.7843150001</v>
      </c>
      <c r="H127" s="6">
        <f>[1]Production!G9+[1]Production!G11+[1]Production!G13+[1]Production!G15+[1]Production!G17+[1]Production!G19+[1]Production!G21+[1]Production!G23+[1]Production!G25+[1]Production!G27+[1]Production!G41</f>
        <v>1057152.6942450001</v>
      </c>
      <c r="I127" s="6">
        <f>[1]Production!H9+[1]Production!H11+[1]Production!H13+[1]Production!H15+[1]Production!H17+[1]Production!H19+[1]Production!H21+[1]Production!H23+[1]Production!H25+[1]Production!H27+[1]Production!H41</f>
        <v>1074235.0460909999</v>
      </c>
      <c r="J127" s="6">
        <f>[1]Production!I9+[1]Production!I11+[1]Production!I13+[1]Production!I15+[1]Production!I17+[1]Production!I19+[1]Production!I21+[1]Production!I23+[1]Production!I25+[1]Production!I27+[1]Production!I41</f>
        <v>1091787.5164980001</v>
      </c>
      <c r="K127" s="6">
        <f>[1]Production!J9+[1]Production!J11+[1]Production!J13+[1]Production!J15+[1]Production!J17+[1]Production!J19+[1]Production!J21+[1]Production!J23+[1]Production!J25+[1]Production!J27+[1]Production!J41</f>
        <v>1109826.711323</v>
      </c>
      <c r="L127" s="6">
        <f>[1]Production!K9+[1]Production!K11+[1]Production!K13+[1]Production!K15+[1]Production!K17+[1]Production!K19+[1]Production!K21+[1]Production!K23+[1]Production!K25+[1]Production!K27+[1]Production!K41</f>
        <v>1128340.528066</v>
      </c>
      <c r="M127" s="6">
        <f>[1]Production!L9+[1]Production!L11+[1]Production!L13+[1]Production!L15+[1]Production!L17+[1]Production!L19+[1]Production!L21+[1]Production!L23+[1]Production!L25+[1]Production!L27+[1]Production!L41</f>
        <v>1148455.5804260001</v>
      </c>
      <c r="N127" s="6">
        <f>[1]Production!M9+[1]Production!M11+[1]Production!M13+[1]Production!M15+[1]Production!M17+[1]Production!M19+[1]Production!M21+[1]Production!M23+[1]Production!M25+[1]Production!M27+[1]Production!M41</f>
        <v>1168214.3342790001</v>
      </c>
      <c r="O127" s="6">
        <f>[1]Production!N9+[1]Production!N11+[1]Production!N13+[1]Production!N15+[1]Production!N17+[1]Production!N19+[1]Production!N21+[1]Production!N23+[1]Production!N25+[1]Production!N27+[1]Production!N41</f>
        <v>1188277.177473</v>
      </c>
      <c r="P127" s="6">
        <f>[1]Production!O9+[1]Production!O11+[1]Production!O13+[1]Production!O15+[1]Production!O17+[1]Production!O19+[1]Production!O21+[1]Production!O23+[1]Production!O25+[1]Production!O27+[1]Production!O41</f>
        <v>1208659.568494</v>
      </c>
      <c r="Q127" s="6">
        <f>[1]Production!P9+[1]Production!P11+[1]Production!P13+[1]Production!P15+[1]Production!P17+[1]Production!P19+[1]Production!P21+[1]Production!P23+[1]Production!P25+[1]Production!P27+[1]Production!P41</f>
        <v>1229357.9524090001</v>
      </c>
      <c r="R127" s="6">
        <f>[1]Production!Q9+[1]Production!Q11+[1]Production!Q13+[1]Production!Q15+[1]Production!Q17+[1]Production!Q19+[1]Production!Q21+[1]Production!Q23+[1]Production!Q25+[1]Production!Q27+[1]Production!Q41</f>
        <v>1250369.1342499999</v>
      </c>
      <c r="S127" s="6">
        <f>[1]Production!R9+[1]Production!R11+[1]Production!R13+[1]Production!R15+[1]Production!R17+[1]Production!R19+[1]Production!R21+[1]Production!R23+[1]Production!R25+[1]Production!R27+[1]Production!R41</f>
        <v>1271694.404719</v>
      </c>
      <c r="T127" s="6">
        <f>[1]Production!S9+[1]Production!S11+[1]Production!S13+[1]Production!S15+[1]Production!S17+[1]Production!S19+[1]Production!S21+[1]Production!S23+[1]Production!S25+[1]Production!S27+[1]Production!S41</f>
        <v>1293339.5023100001</v>
      </c>
      <c r="U127" s="6">
        <f>[1]Production!T9+[1]Production!T11+[1]Production!T13+[1]Production!T15+[1]Production!T17+[1]Production!T19+[1]Production!T21+[1]Production!T23+[1]Production!T25+[1]Production!T27+[1]Production!T41</f>
        <v>1315313.3741869999</v>
      </c>
      <c r="V127" s="6">
        <f>[1]Production!U9+[1]Production!U11+[1]Production!U13+[1]Production!U15+[1]Production!U17+[1]Production!U19+[1]Production!U21+[1]Production!U23+[1]Production!U25+[1]Production!U27+[1]Production!U41</f>
        <v>1337626.7885690001</v>
      </c>
      <c r="W127" s="6">
        <f>[1]Production!V9+[1]Production!V11+[1]Production!V13+[1]Production!V15+[1]Production!V17+[1]Production!V19+[1]Production!V21+[1]Production!V23+[1]Production!V25+[1]Production!V27+[1]Production!V41</f>
        <v>1359427.7364959999</v>
      </c>
      <c r="X127" s="6">
        <f>[1]Production!W9+[1]Production!W11+[1]Production!W13+[1]Production!W15+[1]Production!W17+[1]Production!W19+[1]Production!W21+[1]Production!W23+[1]Production!W25+[1]Production!W27+[1]Production!W41</f>
        <v>1382175.2649390001</v>
      </c>
      <c r="Y127" s="6">
        <f>[1]Production!X9+[1]Production!X11+[1]Production!X13+[1]Production!X15+[1]Production!X17+[1]Production!X19+[1]Production!X21+[1]Production!X23+[1]Production!X25+[1]Production!X27+[1]Production!X41</f>
        <v>1405368.675539</v>
      </c>
      <c r="Z127" s="6">
        <f>[1]Production!Y9+[1]Production!Y11+[1]Production!Y13+[1]Production!Y15+[1]Production!Y17+[1]Production!Y19+[1]Production!Y21+[1]Production!Y23+[1]Production!Y25+[1]Production!Y27+[1]Production!Y41</f>
        <v>1428990.6998720001</v>
      </c>
      <c r="AA127" s="6">
        <f>[1]Production!Z9+[1]Production!Z11+[1]Production!Z13+[1]Production!Z15+[1]Production!Z17+[1]Production!Z19+[1]Production!Z21+[1]Production!Z23+[1]Production!Z25+[1]Production!Z27+[1]Production!Z41</f>
        <v>1453040.2326760001</v>
      </c>
      <c r="AB127" s="6">
        <f>[1]Production!AA9+[1]Production!AA11+[1]Production!AA13+[1]Production!AA15+[1]Production!AA17+[1]Production!AA19+[1]Production!AA21+[1]Production!AA23+[1]Production!AA25+[1]Production!AA27+[1]Production!AA41</f>
        <v>1475008.6163359999</v>
      </c>
      <c r="AC127" s="6">
        <f>[1]Production!AB9+[1]Production!AB11+[1]Production!AB13+[1]Production!AB15+[1]Production!AB17+[1]Production!AB19+[1]Production!AB21+[1]Production!AB23+[1]Production!AB25+[1]Production!AB27+[1]Production!AB41</f>
        <v>1497904.7804679999</v>
      </c>
      <c r="AD127" s="6">
        <f>[1]Production!AC9+[1]Production!AC11+[1]Production!AC13+[1]Production!AC15+[1]Production!AC17+[1]Production!AC19+[1]Production!AC21+[1]Production!AC23+[1]Production!AC25+[1]Production!AC27+[1]Production!AC41</f>
        <v>1521033.2231059999</v>
      </c>
      <c r="AE127" s="6">
        <f>[1]Production!AD9+[1]Production!AD11+[1]Production!AD13+[1]Production!AD15+[1]Production!AD17+[1]Production!AD19+[1]Production!AD21+[1]Production!AD23+[1]Production!AD25+[1]Production!AD27+[1]Production!AD41</f>
        <v>1544408.3794660002</v>
      </c>
      <c r="AF127" s="6">
        <f>[1]Production!AE9+[1]Production!AE11+[1]Production!AE13+[1]Production!AE15+[1]Production!AE17+[1]Production!AE19+[1]Production!AE21+[1]Production!AE23+[1]Production!AE25+[1]Production!AE27+[1]Production!AE41</f>
        <v>1568058.1084290002</v>
      </c>
      <c r="AG127" s="6">
        <f>[1]Production!AF9+[1]Production!AF11+[1]Production!AF13+[1]Production!AF15+[1]Production!AF17+[1]Production!AF19+[1]Production!AF21+[1]Production!AF23+[1]Production!AF25+[1]Production!AF27+[1]Production!AF41</f>
        <v>1592006.73994</v>
      </c>
      <c r="AH127" s="6">
        <f>[1]Production!AG9+[1]Production!AG11+[1]Production!AG13+[1]Production!AG15+[1]Production!AG17+[1]Production!AG19+[1]Production!AG21+[1]Production!AG23+[1]Production!AG25+[1]Production!AG27+[1]Production!AG41</f>
        <v>1616270.866807</v>
      </c>
      <c r="AI127" s="6">
        <f>[1]Production!AH9+[1]Production!AH11+[1]Production!AH13+[1]Production!AH15+[1]Production!AH17+[1]Production!AH19+[1]Production!AH21+[1]Production!AH23+[1]Production!AH25+[1]Production!AH27+[1]Production!AH41</f>
        <v>1640858.8747750001</v>
      </c>
      <c r="AJ127" s="6">
        <f>[1]Production!AI9+[1]Production!AI11+[1]Production!AI13+[1]Production!AI15+[1]Production!AI17+[1]Production!AI19+[1]Production!AI21+[1]Production!AI23+[1]Production!AI25+[1]Production!AI27+[1]Production!AI41</f>
        <v>1665772.0510479999</v>
      </c>
      <c r="AK127" s="6">
        <f>[1]Production!AJ9+[1]Production!AJ11+[1]Production!AJ13+[1]Production!AJ15+[1]Production!AJ17+[1]Production!AJ19+[1]Production!AJ21+[1]Production!AJ23+[1]Production!AJ25+[1]Production!AJ27+[1]Production!AJ41</f>
        <v>1691006.3527249999</v>
      </c>
      <c r="AL127" s="6">
        <f>[1]Production!AK9+[1]Production!AK11+[1]Production!AK13+[1]Production!AK15+[1]Production!AK17+[1]Production!AK19+[1]Production!AK21+[1]Production!AK23+[1]Production!AK25+[1]Production!AK27+[1]Production!AK41</f>
        <v>1716554.2880270001</v>
      </c>
      <c r="AM127" s="6">
        <f>[1]Production!AL9+[1]Production!AL11+[1]Production!AL13+[1]Production!AL15+[1]Production!AL17+[1]Production!AL19+[1]Production!AL21+[1]Production!AL23+[1]Production!AL25+[1]Production!AL27+[1]Production!AL41</f>
        <v>1741790.4936929997</v>
      </c>
      <c r="AN127" s="6">
        <f>[1]Production!AM9+[1]Production!AM11+[1]Production!AM13+[1]Production!AM15+[1]Production!AM17+[1]Production!AM19+[1]Production!AM21+[1]Production!AM23+[1]Production!AM25+[1]Production!AM27+[1]Production!AM41</f>
        <v>1767111.9991129998</v>
      </c>
      <c r="AO127" s="6">
        <f>[1]Production!AN9+[1]Production!AN11+[1]Production!AN13+[1]Production!AN15+[1]Production!AN17+[1]Production!AN19+[1]Production!AN21+[1]Production!AN23+[1]Production!AN25+[1]Production!AN27+[1]Production!AN41</f>
        <v>1792557.868519</v>
      </c>
      <c r="AP127" s="6">
        <f>[1]Production!AO9+[1]Production!AO11+[1]Production!AO13+[1]Production!AO15+[1]Production!AO17+[1]Production!AO19+[1]Production!AO21+[1]Production!AO23+[1]Production!AO25+[1]Production!AO27+[1]Production!AO41</f>
        <v>1818150.274681</v>
      </c>
      <c r="AQ127" s="6">
        <f>[1]Production!AP9+[1]Production!AP11+[1]Production!AP13+[1]Production!AP15+[1]Production!AP17+[1]Production!AP19+[1]Production!AP21+[1]Production!AP23+[1]Production!AP25+[1]Production!AP27+[1]Production!AP41</f>
        <v>1843907.3052939998</v>
      </c>
      <c r="AR127" s="6">
        <f>[1]Production!AQ9+[1]Production!AQ11+[1]Production!AQ13+[1]Production!AQ15+[1]Production!AQ17+[1]Production!AQ19+[1]Production!AQ21+[1]Production!AQ23+[1]Production!AQ25+[1]Production!AQ27+[1]Production!AQ41</f>
        <v>1869959.7991040002</v>
      </c>
      <c r="AS127" s="6">
        <f>[1]Production!AR9+[1]Production!AR11+[1]Production!AR13+[1]Production!AR15+[1]Production!AR17+[1]Production!AR19+[1]Production!AR21+[1]Production!AR23+[1]Production!AR25+[1]Production!AR27+[1]Production!AR41</f>
        <v>1896385.9894630001</v>
      </c>
      <c r="AT127" s="6">
        <f>[1]Production!AS9+[1]Production!AS11+[1]Production!AS13+[1]Production!AS15+[1]Production!AS17+[1]Production!AS19+[1]Production!AS21+[1]Production!AS23+[1]Production!AS25+[1]Production!AS27+[1]Production!AS41</f>
        <v>1923201.377481</v>
      </c>
      <c r="AU127" s="6">
        <f>[1]Production!AT9+[1]Production!AT11+[1]Production!AT13+[1]Production!AT15+[1]Production!AT17+[1]Production!AT19+[1]Production!AT21+[1]Production!AT23+[1]Production!AT25+[1]Production!AT27+[1]Production!AT41</f>
        <v>1950386.6610220002</v>
      </c>
      <c r="AV127" s="6">
        <f>[1]Production!AU9+[1]Production!AU11+[1]Production!AU13+[1]Production!AU15+[1]Production!AU17+[1]Production!AU19+[1]Production!AU21+[1]Production!AU23+[1]Production!AU25+[1]Production!AU27+[1]Production!AU41</f>
        <v>1977912.1045550003</v>
      </c>
      <c r="AW127" s="6">
        <f>[1]Production!AV9+[1]Production!AV11+[1]Production!AV13+[1]Production!AV15+[1]Production!AV17+[1]Production!AV19+[1]Production!AV21+[1]Production!AV23+[1]Production!AV25+[1]Production!AV27+[1]Production!AV41</f>
        <v>2005807.7887960002</v>
      </c>
      <c r="AX127" s="6">
        <f>[1]Production!AW9+[1]Production!AW11+[1]Production!AW13+[1]Production!AW15+[1]Production!AW17+[1]Production!AW19+[1]Production!AW21+[1]Production!AW23+[1]Production!AW25+[1]Production!AW27+[1]Production!AW41</f>
        <v>2034018.17869</v>
      </c>
      <c r="AY127" s="6">
        <f>[1]Production!AX9+[1]Production!AX11+[1]Production!AX13+[1]Production!AX15+[1]Production!AX17+[1]Production!AX19+[1]Production!AX21+[1]Production!AX23+[1]Production!AX25+[1]Production!AX27+[1]Production!AX41</f>
        <v>2062528.9728889999</v>
      </c>
      <c r="AZ127" s="6">
        <f>[1]Production!AY9+[1]Production!AY11+[1]Production!AY13+[1]Production!AY15+[1]Production!AY17+[1]Production!AY19+[1]Production!AY21+[1]Production!AY23+[1]Production!AY25+[1]Production!AY27+[1]Production!AY41</f>
        <v>2091333.9798269998</v>
      </c>
      <c r="BA127" s="6">
        <f>[1]Production!AZ9+[1]Production!AZ11+[1]Production!AZ13+[1]Production!AZ15+[1]Production!AZ17+[1]Production!AZ19+[1]Production!AZ21+[1]Production!AZ23+[1]Production!AZ25+[1]Production!AZ27+[1]Production!AZ41</f>
        <v>2120431.8738200003</v>
      </c>
      <c r="BB127" s="6">
        <f>[1]Production!BA9+[1]Production!BA11+[1]Production!BA13+[1]Production!BA15+[1]Production!BA17+[1]Production!BA19+[1]Production!BA21+[1]Production!BA23+[1]Production!BA25+[1]Production!BA27+[1]Production!BA41</f>
        <v>2290112.6670290004</v>
      </c>
      <c r="BC127" s="6">
        <f>[1]Production!BB9+[1]Production!BB11+[1]Production!BB13+[1]Production!BB15+[1]Production!BB17+[1]Production!BB19+[1]Production!BB21+[1]Production!BB23+[1]Production!BB25+[1]Production!BB27+[1]Production!BB41</f>
        <v>2330263.092402</v>
      </c>
      <c r="BD127" s="6">
        <f>[1]Production!BC9+[1]Production!BC11+[1]Production!BC13+[1]Production!BC15+[1]Production!BC17+[1]Production!BC19+[1]Production!BC21+[1]Production!BC23+[1]Production!BC25+[1]Production!BC27+[1]Production!BC41</f>
        <v>2370971.5196389998</v>
      </c>
      <c r="BE127" s="6">
        <f>[1]Production!BD9+[1]Production!BD11+[1]Production!BD13+[1]Production!BD15+[1]Production!BD17+[1]Production!BD19+[1]Production!BD21+[1]Production!BD23+[1]Production!BD25+[1]Production!BD27+[1]Production!BD41</f>
        <v>2412240.6733629997</v>
      </c>
      <c r="BF127" s="6">
        <f>[1]Production!BE9+[1]Production!BE11+[1]Production!BE13+[1]Production!BE15+[1]Production!BE17+[1]Production!BE19+[1]Production!BE21+[1]Production!BE23+[1]Production!BE25+[1]Production!BE27+[1]Production!BE41</f>
        <v>2454074.2157859998</v>
      </c>
    </row>
    <row r="128" spans="1:58" x14ac:dyDescent="0.35">
      <c r="B128" t="s">
        <v>9</v>
      </c>
      <c r="C128" s="6">
        <f>[1]Production!B29+[1]Production!B31+[1]Production!B33+[1]Production!B35</f>
        <v>121167.533238</v>
      </c>
      <c r="D128" s="6">
        <f>[1]Production!C29+[1]Production!C31+[1]Production!C33+[1]Production!C35</f>
        <v>122688.38835200001</v>
      </c>
      <c r="E128" s="6">
        <f>[1]Production!D29+[1]Production!D31+[1]Production!D33+[1]Production!D35</f>
        <v>124343.61332700001</v>
      </c>
      <c r="F128" s="6">
        <f>[1]Production!E29+[1]Production!E31+[1]Production!E33+[1]Production!E35</f>
        <v>126095.97210500001</v>
      </c>
      <c r="G128" s="6">
        <f>[1]Production!F29+[1]Production!F31+[1]Production!F33+[1]Production!F35</f>
        <v>127942.08696599999</v>
      </c>
      <c r="H128" s="6">
        <f>[1]Production!G29+[1]Production!G31+[1]Production!G33+[1]Production!G35</f>
        <v>129874.45420199999</v>
      </c>
      <c r="I128" s="6">
        <f>[1]Production!H29+[1]Production!H31+[1]Production!H33+[1]Production!H35</f>
        <v>131797.85269200001</v>
      </c>
      <c r="J128" s="6">
        <f>[1]Production!I29+[1]Production!I31+[1]Production!I33+[1]Production!I35</f>
        <v>133766.42469399999</v>
      </c>
      <c r="K128" s="6">
        <f>[1]Production!J29+[1]Production!J31+[1]Production!J33+[1]Production!J35</f>
        <v>135778.80356299999</v>
      </c>
      <c r="L128" s="6">
        <f>[1]Production!K29+[1]Production!K31+[1]Production!K33+[1]Production!K35</f>
        <v>137831.69329</v>
      </c>
      <c r="M128" s="6">
        <f>[1]Production!L29+[1]Production!L31+[1]Production!L33+[1]Production!L35</f>
        <v>140072.98047400001</v>
      </c>
      <c r="N128" s="6">
        <f>[1]Production!M29+[1]Production!M31+[1]Production!M33+[1]Production!M35</f>
        <v>142236.75189700001</v>
      </c>
      <c r="O128" s="6">
        <f>[1]Production!N29+[1]Production!N31+[1]Production!N33+[1]Production!N35</f>
        <v>144420.77400500001</v>
      </c>
      <c r="P128" s="6">
        <f>[1]Production!O29+[1]Production!O31+[1]Production!O33+[1]Production!O35</f>
        <v>146628.47618600001</v>
      </c>
      <c r="Q128" s="6">
        <f>[1]Production!P29+[1]Production!P31+[1]Production!P33+[1]Production!P35</f>
        <v>148860.465238</v>
      </c>
      <c r="R128" s="6">
        <f>[1]Production!Q29+[1]Production!Q31+[1]Production!Q33+[1]Production!Q35</f>
        <v>151117.35159400001</v>
      </c>
      <c r="S128" s="6">
        <f>[1]Production!R29+[1]Production!R31+[1]Production!R33+[1]Production!R35</f>
        <v>153400.180032</v>
      </c>
      <c r="T128" s="6">
        <f>[1]Production!S29+[1]Production!S31+[1]Production!S33+[1]Production!S35</f>
        <v>155710.342795</v>
      </c>
      <c r="U128" s="6">
        <f>[1]Production!T29+[1]Production!T31+[1]Production!T33+[1]Production!T35</f>
        <v>158049.4154</v>
      </c>
      <c r="V128" s="6">
        <f>[1]Production!U29+[1]Production!U31+[1]Production!U33+[1]Production!U35</f>
        <v>160419.02500300002</v>
      </c>
      <c r="W128" s="6">
        <f>[1]Production!V29+[1]Production!V31+[1]Production!V33+[1]Production!V35</f>
        <v>162707.63927099999</v>
      </c>
      <c r="X128" s="6">
        <f>[1]Production!W29+[1]Production!W31+[1]Production!W33+[1]Production!W35</f>
        <v>165113.88198599999</v>
      </c>
      <c r="Y128" s="6">
        <f>[1]Production!X29+[1]Production!X31+[1]Production!X33+[1]Production!X35</f>
        <v>167564.718276</v>
      </c>
      <c r="Z128" s="6">
        <f>[1]Production!Y29+[1]Production!Y31+[1]Production!Y33+[1]Production!Y35</f>
        <v>170057.945236</v>
      </c>
      <c r="AA128" s="6">
        <f>[1]Production!Z29+[1]Production!Z31+[1]Production!Z33+[1]Production!Z35</f>
        <v>172593.76241799997</v>
      </c>
      <c r="AB128" s="6">
        <f>[1]Production!AA29+[1]Production!AA31+[1]Production!AA33+[1]Production!AA35</f>
        <v>174844.265785</v>
      </c>
      <c r="AC128" s="6">
        <f>[1]Production!AB29+[1]Production!AB31+[1]Production!AB33+[1]Production!AB35</f>
        <v>177225.538038</v>
      </c>
      <c r="AD128" s="6">
        <f>[1]Production!AC29+[1]Production!AC31+[1]Production!AC33+[1]Production!AC35</f>
        <v>179635.48121800003</v>
      </c>
      <c r="AE128" s="6">
        <f>[1]Production!AD29+[1]Production!AD31+[1]Production!AD33+[1]Production!AD35</f>
        <v>182076.51172899999</v>
      </c>
      <c r="AF128" s="6">
        <f>[1]Production!AE29+[1]Production!AE31+[1]Production!AE33+[1]Production!AE35</f>
        <v>184553.39363999999</v>
      </c>
      <c r="AG128" s="6">
        <f>[1]Production!AF29+[1]Production!AF31+[1]Production!AF33+[1]Production!AF35</f>
        <v>187070.37715000001</v>
      </c>
      <c r="AH128" s="6">
        <f>[1]Production!AG29+[1]Production!AG31+[1]Production!AG33+[1]Production!AG35</f>
        <v>189630.60645999998</v>
      </c>
      <c r="AI128" s="6">
        <f>[1]Production!AH29+[1]Production!AH31+[1]Production!AH33+[1]Production!AH35</f>
        <v>192236.13305</v>
      </c>
      <c r="AJ128" s="6">
        <f>[1]Production!AI29+[1]Production!AI31+[1]Production!AI33+[1]Production!AI35</f>
        <v>194888.11742999998</v>
      </c>
      <c r="AK128" s="6">
        <f>[1]Production!AJ29+[1]Production!AJ31+[1]Production!AJ33+[1]Production!AJ35</f>
        <v>197587.07412</v>
      </c>
      <c r="AL128" s="6">
        <f>[1]Production!AK29+[1]Production!AK31+[1]Production!AK33+[1]Production!AK35</f>
        <v>200333.09745</v>
      </c>
      <c r="AM128" s="6">
        <f>[1]Production!AL29+[1]Production!AL31+[1]Production!AL33+[1]Production!AL35</f>
        <v>203045.59959</v>
      </c>
      <c r="AN128" s="6">
        <f>[1]Production!AM29+[1]Production!AM31+[1]Production!AM33+[1]Production!AM35</f>
        <v>205782.91450999997</v>
      </c>
      <c r="AO128" s="6">
        <f>[1]Production!AN29+[1]Production!AN31+[1]Production!AN33+[1]Production!AN35</f>
        <v>208551.17524000001</v>
      </c>
      <c r="AP128" s="6">
        <f>[1]Production!AO29+[1]Production!AO31+[1]Production!AO33+[1]Production!AO35</f>
        <v>211354.06571</v>
      </c>
      <c r="AQ128" s="6">
        <f>[1]Production!AP29+[1]Production!AP31+[1]Production!AP33+[1]Production!AP35</f>
        <v>214194.59571000002</v>
      </c>
      <c r="AR128" s="6">
        <f>[1]Production!AQ29+[1]Production!AQ31+[1]Production!AQ33+[1]Production!AQ35</f>
        <v>217083.22785</v>
      </c>
      <c r="AS128" s="6">
        <f>[1]Production!AR29+[1]Production!AR31+[1]Production!AR33+[1]Production!AR35</f>
        <v>220024.21151999998</v>
      </c>
      <c r="AT128" s="6">
        <f>[1]Production!AS29+[1]Production!AS31+[1]Production!AS33+[1]Production!AS35</f>
        <v>223018.32163000002</v>
      </c>
      <c r="AU128" s="6">
        <f>[1]Production!AT29+[1]Production!AT31+[1]Production!AT33+[1]Production!AT35</f>
        <v>226064.82844000001</v>
      </c>
      <c r="AV128" s="6">
        <f>[1]Production!AU29+[1]Production!AU31+[1]Production!AU33+[1]Production!AU35</f>
        <v>229162.83402000001</v>
      </c>
      <c r="AW128" s="6">
        <f>[1]Production!AV29+[1]Production!AV31+[1]Production!AV33+[1]Production!AV35</f>
        <v>232319.18527000002</v>
      </c>
      <c r="AX128" s="6">
        <f>[1]Production!AW29+[1]Production!AW31+[1]Production!AW33+[1]Production!AW35</f>
        <v>235528.35492999997</v>
      </c>
      <c r="AY128" s="6">
        <f>[1]Production!AX29+[1]Production!AX31+[1]Production!AX33+[1]Production!AX35</f>
        <v>238789.83858000001</v>
      </c>
      <c r="AZ128" s="6">
        <f>[1]Production!AY29+[1]Production!AY31+[1]Production!AY33+[1]Production!AY35</f>
        <v>242103.42386000001</v>
      </c>
      <c r="BA128" s="6">
        <f>[1]Production!AZ29+[1]Production!AZ31+[1]Production!AZ33+[1]Production!AZ35</f>
        <v>245468.92958</v>
      </c>
      <c r="BB128" s="6">
        <f>[1]Production!BA29+[1]Production!BA31+[1]Production!BA33+[1]Production!BA35</f>
        <v>261541.31211</v>
      </c>
      <c r="BC128" s="6">
        <f>[1]Production!BB29+[1]Production!BB31+[1]Production!BB33+[1]Production!BB35</f>
        <v>265856.45607999997</v>
      </c>
      <c r="BD128" s="6">
        <f>[1]Production!BC29+[1]Production!BC31+[1]Production!BC33+[1]Production!BC35</f>
        <v>270249.49372000003</v>
      </c>
      <c r="BE128" s="6">
        <f>[1]Production!BD29+[1]Production!BD31+[1]Production!BD33+[1]Production!BD35</f>
        <v>274722.02743999998</v>
      </c>
      <c r="BF128" s="6">
        <f>[1]Production!BE29+[1]Production!BE31+[1]Production!BE33+[1]Production!BE35</f>
        <v>279275.68514000002</v>
      </c>
    </row>
    <row r="129" spans="1:58" x14ac:dyDescent="0.35">
      <c r="B129" t="s">
        <v>10</v>
      </c>
      <c r="C129" s="6">
        <f>[1]Production!B37+[1]Production!B39</f>
        <v>2560895.7944</v>
      </c>
      <c r="D129" s="6">
        <f>[1]Production!C37+[1]Production!C39</f>
        <v>2594069.2864000001</v>
      </c>
      <c r="E129" s="6">
        <f>[1]Production!D37+[1]Production!D39</f>
        <v>2630567.4479</v>
      </c>
      <c r="F129" s="6">
        <f>[1]Production!E37+[1]Production!E39</f>
        <v>2669633.0758999996</v>
      </c>
      <c r="G129" s="6">
        <f>[1]Production!F37+[1]Production!F39</f>
        <v>2711109.4272999996</v>
      </c>
      <c r="H129" s="6">
        <f>[1]Production!G37+[1]Production!G39</f>
        <v>2754790.9238</v>
      </c>
      <c r="I129" s="6">
        <f>[1]Production!H37+[1]Production!H39</f>
        <v>2798651.9294000003</v>
      </c>
      <c r="J129" s="6">
        <f>[1]Production!I37+[1]Production!I39</f>
        <v>2843639.1311999997</v>
      </c>
      <c r="K129" s="6">
        <f>[1]Production!J37+[1]Production!J39</f>
        <v>2889715.5285999998</v>
      </c>
      <c r="L129" s="6">
        <f>[1]Production!K37+[1]Production!K39</f>
        <v>2936802.7215999998</v>
      </c>
      <c r="M129" s="6">
        <f>[1]Production!L37+[1]Production!L39</f>
        <v>2987966.6262999997</v>
      </c>
      <c r="N129" s="6">
        <f>[1]Production!M37+[1]Production!M39</f>
        <v>3037924.7141</v>
      </c>
      <c r="O129" s="6">
        <f>[1]Production!N37+[1]Production!N39</f>
        <v>3088396.2155999998</v>
      </c>
      <c r="P129" s="6">
        <f>[1]Production!O37+[1]Production!O39</f>
        <v>3139443.6517000003</v>
      </c>
      <c r="Q129" s="6">
        <f>[1]Production!P37+[1]Production!P39</f>
        <v>3191073.4934999999</v>
      </c>
      <c r="R129" s="6">
        <f>[1]Production!Q37+[1]Production!Q39</f>
        <v>3243294.3711000001</v>
      </c>
      <c r="S129" s="6">
        <f>[1]Production!R37+[1]Production!R39</f>
        <v>3296125.8882999998</v>
      </c>
      <c r="T129" s="6">
        <f>[1]Production!S37+[1]Production!S39</f>
        <v>3349595.8896999997</v>
      </c>
      <c r="U129" s="6">
        <f>[1]Production!T37+[1]Production!T39</f>
        <v>3403736.0200999998</v>
      </c>
      <c r="V129" s="6">
        <f>[1]Production!U37+[1]Production!U39</f>
        <v>3458578.2184000001</v>
      </c>
      <c r="W129" s="6">
        <f>[1]Production!V37+[1]Production!V39</f>
        <v>3511798.7818</v>
      </c>
      <c r="X129" s="6">
        <f>[1]Production!W37+[1]Production!W39</f>
        <v>3567328.7636000002</v>
      </c>
      <c r="Y129" s="6">
        <f>[1]Production!X37+[1]Production!X39</f>
        <v>3623870.9341000002</v>
      </c>
      <c r="Z129" s="6">
        <f>[1]Production!Y37+[1]Production!Y39</f>
        <v>3681371.2017000001</v>
      </c>
      <c r="AA129" s="6">
        <f>[1]Production!Z37+[1]Production!Z39</f>
        <v>3739823.4420000003</v>
      </c>
      <c r="AB129" s="6">
        <f>[1]Production!AA37+[1]Production!AA39</f>
        <v>3792394.0408999999</v>
      </c>
      <c r="AC129" s="6">
        <f>[1]Production!AB37+[1]Production!AB39</f>
        <v>3847156.8069000002</v>
      </c>
      <c r="AD129" s="6">
        <f>[1]Production!AC37+[1]Production!AC39</f>
        <v>3902366.1760999998</v>
      </c>
      <c r="AE129" s="6">
        <f>[1]Production!AD37+[1]Production!AD39</f>
        <v>3958096.3456000001</v>
      </c>
      <c r="AF129" s="6">
        <f>[1]Production!AE37+[1]Production!AE39</f>
        <v>4014466.4153</v>
      </c>
      <c r="AG129" s="6">
        <f>[1]Production!AF37+[1]Production!AF39</f>
        <v>4071580.5051999995</v>
      </c>
      <c r="AH129" s="6">
        <f>[1]Production!AG37+[1]Production!AG39</f>
        <v>4129515.1908999998</v>
      </c>
      <c r="AI129" s="6">
        <f>[1]Production!AH37+[1]Production!AH39</f>
        <v>4188320.6022999999</v>
      </c>
      <c r="AJ129" s="6">
        <f>[1]Production!AI37+[1]Production!AI39</f>
        <v>4248025.8746999996</v>
      </c>
      <c r="AK129" s="6">
        <f>[1]Production!AJ37+[1]Production!AJ39</f>
        <v>4308645.4802999999</v>
      </c>
      <c r="AL129" s="6">
        <f>[1]Production!AK37+[1]Production!AK39</f>
        <v>4370184.9000000004</v>
      </c>
      <c r="AM129" s="6">
        <f>[1]Production!AL37+[1]Production!AL39</f>
        <v>4430976.3587999996</v>
      </c>
      <c r="AN129" s="6">
        <f>[1]Production!AM37+[1]Production!AM39</f>
        <v>4492097.0416000001</v>
      </c>
      <c r="AO129" s="6">
        <f>[1]Production!AN37+[1]Production!AN39</f>
        <v>4553697.0537</v>
      </c>
      <c r="AP129" s="6">
        <f>[1]Production!AO37+[1]Production!AO39</f>
        <v>4615875.9958999995</v>
      </c>
      <c r="AQ129" s="6">
        <f>[1]Production!AP37+[1]Production!AP39</f>
        <v>4678720.6115999995</v>
      </c>
      <c r="AR129" s="6">
        <f>[1]Production!AQ37+[1]Production!AQ39</f>
        <v>4742506.6124</v>
      </c>
      <c r="AS129" s="6">
        <f>[1]Production!AR37+[1]Production!AR39</f>
        <v>4807338.0439999998</v>
      </c>
      <c r="AT129" s="6">
        <f>[1]Production!AS37+[1]Production!AS39</f>
        <v>4873223.7680000002</v>
      </c>
      <c r="AU129" s="6">
        <f>[1]Production!AT37+[1]Production!AT39</f>
        <v>4940135.46</v>
      </c>
      <c r="AV129" s="6">
        <f>[1]Production!AU37+[1]Production!AU39</f>
        <v>5008045.3830000004</v>
      </c>
      <c r="AW129" s="6">
        <f>[1]Production!AV37+[1]Production!AV39</f>
        <v>5077093.0590000004</v>
      </c>
      <c r="AX129" s="6">
        <f>[1]Production!AW37+[1]Production!AW39</f>
        <v>5147182.125</v>
      </c>
      <c r="AY129" s="6">
        <f>[1]Production!AX37+[1]Production!AX39</f>
        <v>5218310.0659999996</v>
      </c>
      <c r="AZ129" s="6">
        <f>[1]Production!AY37+[1]Production!AY39</f>
        <v>5290483.1370000001</v>
      </c>
      <c r="BA129" s="6">
        <f>[1]Production!AZ37+[1]Production!AZ39</f>
        <v>5363709.4309999999</v>
      </c>
      <c r="BB129" s="6">
        <f>[1]Production!BA37+[1]Production!BA39</f>
        <v>5784532.0769999996</v>
      </c>
      <c r="BC129" s="6">
        <f>[1]Production!BB37+[1]Production!BB39</f>
        <v>5881432.5949999997</v>
      </c>
      <c r="BD129" s="6">
        <f>[1]Production!BC37+[1]Production!BC39</f>
        <v>5979896.9780000001</v>
      </c>
      <c r="BE129" s="6">
        <f>[1]Production!BD37+[1]Production!BD39</f>
        <v>6079956.5920000002</v>
      </c>
      <c r="BF129" s="6">
        <f>[1]Production!BE37+[1]Production!BE39</f>
        <v>6181644.392</v>
      </c>
    </row>
    <row r="130" spans="1:58" x14ac:dyDescent="0.35">
      <c r="B130" t="s">
        <v>29</v>
      </c>
      <c r="C130" s="6">
        <f>[1]Production!B43+[1]Production!B47</f>
        <v>35880.672466399999</v>
      </c>
      <c r="D130" s="6">
        <f>[1]Production!C43+[1]Production!C47</f>
        <v>36153.5239726</v>
      </c>
      <c r="E130" s="6">
        <f>[1]Production!D43+[1]Production!D47</f>
        <v>36415.404623900002</v>
      </c>
      <c r="F130" s="6">
        <f>[1]Production!E43+[1]Production!E47</f>
        <v>36708.978008600003</v>
      </c>
      <c r="G130" s="6">
        <f>[1]Production!F43+[1]Production!F47</f>
        <v>37046.216844200004</v>
      </c>
      <c r="H130" s="6">
        <f>[1]Production!G43+[1]Production!G47</f>
        <v>37424.0309194</v>
      </c>
      <c r="I130" s="6">
        <f>[1]Production!H43+[1]Production!H47</f>
        <v>37815.705680400002</v>
      </c>
      <c r="J130" s="6">
        <f>[1]Production!I43+[1]Production!I47</f>
        <v>38230.330058699998</v>
      </c>
      <c r="K130" s="6">
        <f>[1]Production!J43+[1]Production!J47</f>
        <v>38664.283643900002</v>
      </c>
      <c r="L130" s="6">
        <f>[1]Production!K43+[1]Production!K47</f>
        <v>39114.019525600001</v>
      </c>
      <c r="M130" s="6">
        <f>[1]Production!L43+[1]Production!L47</f>
        <v>39613.856481800001</v>
      </c>
      <c r="N130" s="6">
        <f>[1]Production!M43+[1]Production!M47</f>
        <v>40097.463662000002</v>
      </c>
      <c r="O130" s="6">
        <f>[1]Production!N43+[1]Production!N47</f>
        <v>40587.394687400003</v>
      </c>
      <c r="P130" s="6">
        <f>[1]Production!O43+[1]Production!O47</f>
        <v>41084.732457400001</v>
      </c>
      <c r="Q130" s="6">
        <f>[1]Production!P43+[1]Production!P47</f>
        <v>41589.273159199998</v>
      </c>
      <c r="R130" s="6">
        <f>[1]Production!Q43+[1]Production!Q47</f>
        <v>42100.792923200002</v>
      </c>
      <c r="S130" s="6">
        <f>[1]Production!R43+[1]Production!R47</f>
        <v>42619.166863999999</v>
      </c>
      <c r="T130" s="6">
        <f>[1]Production!S43+[1]Production!S47</f>
        <v>43144.340915699999</v>
      </c>
      <c r="U130" s="6">
        <f>[1]Production!T43+[1]Production!T47</f>
        <v>43676.301208999997</v>
      </c>
      <c r="V130" s="6">
        <f>[1]Production!U43+[1]Production!U47</f>
        <v>44215.056969999998</v>
      </c>
      <c r="W130" s="6">
        <f>[1]Production!V43+[1]Production!V47</f>
        <v>44733.254044699999</v>
      </c>
      <c r="X130" s="6">
        <f>[1]Production!W43+[1]Production!W47</f>
        <v>45278.656450800001</v>
      </c>
      <c r="Y130" s="6">
        <f>[1]Production!X43+[1]Production!X47</f>
        <v>45833.553630500006</v>
      </c>
      <c r="Z130" s="6">
        <f>[1]Production!Y43+[1]Production!Y47</f>
        <v>46396.536163199999</v>
      </c>
      <c r="AA130" s="6">
        <f>[1]Production!Z43+[1]Production!Z47</f>
        <v>46967.383080800006</v>
      </c>
      <c r="AB130" s="6">
        <f>[1]Production!AA43+[1]Production!AA47</f>
        <v>47467.099618100001</v>
      </c>
      <c r="AC130" s="6">
        <f>[1]Production!AB43+[1]Production!AB47</f>
        <v>47996.007585300002</v>
      </c>
      <c r="AD130" s="6">
        <f>[1]Production!AC43+[1]Production!AC47</f>
        <v>48530.200249099995</v>
      </c>
      <c r="AE130" s="6">
        <f>[1]Production!AD43+[1]Production!AD47</f>
        <v>49068.879806999998</v>
      </c>
      <c r="AF130" s="6">
        <f>[1]Production!AE43+[1]Production!AE47</f>
        <v>49612.644841100002</v>
      </c>
      <c r="AG130" s="6">
        <f>[1]Production!AF43+[1]Production!AF47</f>
        <v>50162.251661300004</v>
      </c>
      <c r="AH130" s="6">
        <f>[1]Production!AG43+[1]Production!AG47</f>
        <v>50718.3715543</v>
      </c>
      <c r="AI130" s="6">
        <f>[1]Production!AH43+[1]Production!AH47</f>
        <v>51281.545057700001</v>
      </c>
      <c r="AJ130" s="6">
        <f>[1]Production!AI43+[1]Production!AI47</f>
        <v>51852.185098800001</v>
      </c>
      <c r="AK130" s="6">
        <f>[1]Production!AJ43+[1]Production!AJ47</f>
        <v>52430.595324599999</v>
      </c>
      <c r="AL130" s="6">
        <f>[1]Production!AK43+[1]Production!AK47</f>
        <v>53016.992947999999</v>
      </c>
      <c r="AM130" s="6">
        <f>[1]Production!AL43+[1]Production!AL47</f>
        <v>53592.485915999998</v>
      </c>
      <c r="AN130" s="6">
        <f>[1]Production!AM43+[1]Production!AM47</f>
        <v>54171.218954099997</v>
      </c>
      <c r="AO130" s="6">
        <f>[1]Production!AN43+[1]Production!AN47</f>
        <v>54755.750824000002</v>
      </c>
      <c r="AP130" s="6">
        <f>[1]Production!AO43+[1]Production!AO47</f>
        <v>55347.345191300003</v>
      </c>
      <c r="AQ130" s="6">
        <f>[1]Production!AP43+[1]Production!AP47</f>
        <v>55946.515726699996</v>
      </c>
      <c r="AR130" s="6">
        <f>[1]Production!AQ43+[1]Production!AQ47</f>
        <v>56551.403030299996</v>
      </c>
      <c r="AS130" s="6">
        <f>[1]Production!AR43+[1]Production!AR47</f>
        <v>57162.236873900001</v>
      </c>
      <c r="AT130" s="6">
        <f>[1]Production!AS43+[1]Production!AS47</f>
        <v>57779.5426209</v>
      </c>
      <c r="AU130" s="6">
        <f>[1]Production!AT43+[1]Production!AT47</f>
        <v>58404.015314099997</v>
      </c>
      <c r="AV130" s="6">
        <f>[1]Production!AU43+[1]Production!AU47</f>
        <v>59036.4003295</v>
      </c>
      <c r="AW130" s="6">
        <f>[1]Production!AV43+[1]Production!AV47</f>
        <v>59679.065962200002</v>
      </c>
      <c r="AX130" s="6">
        <f>[1]Production!AW43+[1]Production!AW47</f>
        <v>60331.218491400003</v>
      </c>
      <c r="AY130" s="6">
        <f>[1]Production!AX43+[1]Production!AX47</f>
        <v>60993.013544900001</v>
      </c>
      <c r="AZ130" s="6">
        <f>[1]Production!AY43+[1]Production!AY47</f>
        <v>61664.5626949</v>
      </c>
      <c r="BA130" s="6">
        <f>[1]Production!AZ43+[1]Production!AZ47</f>
        <v>62345.901453899998</v>
      </c>
      <c r="BB130" s="6">
        <f>[1]Production!BA43+[1]Production!BA47</f>
        <v>68714.504469699998</v>
      </c>
      <c r="BC130" s="6">
        <f>[1]Production!BB43+[1]Production!BB47</f>
        <v>69710.393611000007</v>
      </c>
      <c r="BD130" s="6">
        <f>[1]Production!BC43+[1]Production!BC47</f>
        <v>70722.25903239999</v>
      </c>
      <c r="BE130" s="6">
        <f>[1]Production!BD43+[1]Production!BD47</f>
        <v>71750.496934800001</v>
      </c>
      <c r="BF130" s="6">
        <f>[1]Production!BE43+[1]Production!BE47</f>
        <v>72795.515572999997</v>
      </c>
    </row>
    <row r="131" spans="1:58" x14ac:dyDescent="0.35">
      <c r="B131" t="s">
        <v>36</v>
      </c>
      <c r="C131" s="6">
        <f>[1]Production!B45+[1]Production!B49</f>
        <v>4493.7037587000004</v>
      </c>
      <c r="D131" s="6">
        <f>[1]Production!C45+[1]Production!C49</f>
        <v>4521.2955643999994</v>
      </c>
      <c r="E131" s="6">
        <f>[1]Production!D45+[1]Production!D49</f>
        <v>4546.5356893999997</v>
      </c>
      <c r="F131" s="6">
        <f>[1]Production!E45+[1]Production!E49</f>
        <v>4576.8269852000003</v>
      </c>
      <c r="G131" s="6">
        <f>[1]Production!F45+[1]Production!F49</f>
        <v>4614.0436642000004</v>
      </c>
      <c r="H131" s="6">
        <f>[1]Production!G45+[1]Production!G49</f>
        <v>4657.6225887000001</v>
      </c>
      <c r="I131" s="6">
        <f>[1]Production!H45+[1]Production!H49</f>
        <v>4704.0865543999998</v>
      </c>
      <c r="J131" s="6">
        <f>[1]Production!I45+[1]Production!I49</f>
        <v>4754.0646294999997</v>
      </c>
      <c r="K131" s="6">
        <f>[1]Production!J45+[1]Production!J49</f>
        <v>4806.8255172999998</v>
      </c>
      <c r="L131" s="6">
        <f>[1]Production!K45+[1]Production!K49</f>
        <v>4861.7629895</v>
      </c>
      <c r="M131" s="6">
        <f>[1]Production!L45+[1]Production!L49</f>
        <v>4922.6428940999995</v>
      </c>
      <c r="N131" s="6">
        <f>[1]Production!M45+[1]Production!M49</f>
        <v>4981.8883648000001</v>
      </c>
      <c r="O131" s="6">
        <f>[1]Production!N45+[1]Production!N49</f>
        <v>5042.0306866000001</v>
      </c>
      <c r="P131" s="6">
        <f>[1]Production!O45+[1]Production!O49</f>
        <v>5103.0965765000001</v>
      </c>
      <c r="Q131" s="6">
        <f>[1]Production!P45+[1]Production!P49</f>
        <v>5165.0171587000004</v>
      </c>
      <c r="R131" s="6">
        <f>[1]Production!Q45+[1]Production!Q49</f>
        <v>5227.7344664000002</v>
      </c>
      <c r="S131" s="6">
        <f>[1]Production!R45+[1]Production!R49</f>
        <v>5291.2099117999996</v>
      </c>
      <c r="T131" s="6">
        <f>[1]Production!S45+[1]Production!S49</f>
        <v>5355.4195240999998</v>
      </c>
      <c r="U131" s="6">
        <f>[1]Production!T45+[1]Production!T49</f>
        <v>5420.3489137000006</v>
      </c>
      <c r="V131" s="6">
        <f>[1]Production!U45+[1]Production!U49</f>
        <v>5485.9897872000001</v>
      </c>
      <c r="W131" s="6">
        <f>[1]Production!V45+[1]Production!V49</f>
        <v>5549.2274078</v>
      </c>
      <c r="X131" s="6">
        <f>[1]Production!W45+[1]Production!W49</f>
        <v>5615.4559242999994</v>
      </c>
      <c r="Y131" s="6">
        <f>[1]Production!X45+[1]Production!X49</f>
        <v>5682.6385928</v>
      </c>
      <c r="Z131" s="6">
        <f>[1]Production!Y45+[1]Production!Y49</f>
        <v>5750.6536495</v>
      </c>
      <c r="AA131" s="6">
        <f>[1]Production!Z45+[1]Production!Z49</f>
        <v>5819.4837040000002</v>
      </c>
      <c r="AB131" s="6">
        <f>[1]Production!AA45+[1]Production!AA49</f>
        <v>5880.154399</v>
      </c>
      <c r="AC131" s="6">
        <f>[1]Production!AB45+[1]Production!AB49</f>
        <v>5943.9899002000002</v>
      </c>
      <c r="AD131" s="6">
        <f>[1]Production!AC45+[1]Production!AC49</f>
        <v>6008.1775901999999</v>
      </c>
      <c r="AE131" s="6">
        <f>[1]Production!AD45+[1]Production!AD49</f>
        <v>6072.6842562000002</v>
      </c>
      <c r="AF131" s="6">
        <f>[1]Production!AE45+[1]Production!AE49</f>
        <v>6137.6042973000003</v>
      </c>
      <c r="AG131" s="6">
        <f>[1]Production!AF45+[1]Production!AF49</f>
        <v>6203.0425641000002</v>
      </c>
      <c r="AH131" s="6">
        <f>[1]Production!AG45+[1]Production!AG49</f>
        <v>6269.0908321999996</v>
      </c>
      <c r="AI131" s="6">
        <f>[1]Production!AH45+[1]Production!AH49</f>
        <v>6335.8236151999999</v>
      </c>
      <c r="AJ131" s="6">
        <f>[1]Production!AI45+[1]Production!AI49</f>
        <v>6403.2990528999999</v>
      </c>
      <c r="AK131" s="6">
        <f>[1]Production!AJ45+[1]Production!AJ49</f>
        <v>6471.5614121999997</v>
      </c>
      <c r="AL131" s="6">
        <f>[1]Production!AK45+[1]Production!AK49</f>
        <v>6540.6439964000001</v>
      </c>
      <c r="AM131" s="6">
        <f>[1]Production!AL45+[1]Production!AL49</f>
        <v>6608.4103685999999</v>
      </c>
      <c r="AN131" s="6">
        <f>[1]Production!AM45+[1]Production!AM49</f>
        <v>6676.4594305999999</v>
      </c>
      <c r="AO131" s="6">
        <f>[1]Production!AN45+[1]Production!AN49</f>
        <v>6744.9797018999998</v>
      </c>
      <c r="AP131" s="6">
        <f>[1]Production!AO45+[1]Production!AO49</f>
        <v>6814.0691907999999</v>
      </c>
      <c r="AQ131" s="6">
        <f>[1]Production!AP45+[1]Production!AP49</f>
        <v>6883.8015362999995</v>
      </c>
      <c r="AR131" s="6">
        <f>[1]Production!AQ45+[1]Production!AQ49</f>
        <v>6953.9781204999999</v>
      </c>
      <c r="AS131" s="6">
        <f>[1]Production!AR45+[1]Production!AR49</f>
        <v>7024.6908656000005</v>
      </c>
      <c r="AT131" s="6">
        <f>[1]Production!AS45+[1]Production!AS49</f>
        <v>7096.0556684000003</v>
      </c>
      <c r="AU131" s="6">
        <f>[1]Production!AT45+[1]Production!AT49</f>
        <v>7168.1802067999997</v>
      </c>
      <c r="AV131" s="6">
        <f>[1]Production!AU45+[1]Production!AU49</f>
        <v>7241.1564165</v>
      </c>
      <c r="AW131" s="6">
        <f>[1]Production!AV45+[1]Production!AV49</f>
        <v>7315.2506015999998</v>
      </c>
      <c r="AX131" s="6">
        <f>[1]Production!AW45+[1]Production!AW49</f>
        <v>7390.3703839</v>
      </c>
      <c r="AY131" s="6">
        <f>[1]Production!AX45+[1]Production!AX49</f>
        <v>7466.5347913999994</v>
      </c>
      <c r="AZ131" s="6">
        <f>[1]Production!AY45+[1]Production!AY49</f>
        <v>7543.7577340999997</v>
      </c>
      <c r="BA131" s="6">
        <f>[1]Production!AZ45+[1]Production!AZ49</f>
        <v>7622.0453858999999</v>
      </c>
      <c r="BB131" s="6">
        <f>[1]Production!BA45+[1]Production!BA49</f>
        <v>8410.6024689999995</v>
      </c>
      <c r="BC131" s="6">
        <f>[1]Production!BB45+[1]Production!BB49</f>
        <v>8527.5116899999994</v>
      </c>
      <c r="BD131" s="6">
        <f>[1]Production!BC45+[1]Production!BC49</f>
        <v>8646.2339209999991</v>
      </c>
      <c r="BE131" s="6">
        <f>[1]Production!BD45+[1]Production!BD49</f>
        <v>8766.8204050000004</v>
      </c>
      <c r="BF131" s="6">
        <f>[1]Production!BE45+[1]Production!BE49</f>
        <v>8889.3251259999997</v>
      </c>
    </row>
    <row r="132" spans="1:58" x14ac:dyDescent="0.35">
      <c r="B132" t="s">
        <v>33</v>
      </c>
      <c r="C132" s="6">
        <f>[1]Production!B51+[1]Production!B53+[1]Production!B55+[1]Production!B57+[1]Production!B59+[1]Production!B61+[1]Production!B63+[1]Production!B65+[1]Production!B67</f>
        <v>67876.976123300003</v>
      </c>
      <c r="D132" s="6">
        <f>[1]Production!C51+[1]Production!C53+[1]Production!C55+[1]Production!C57+[1]Production!C59+[1]Production!C61+[1]Production!C63+[1]Production!C65+[1]Production!C67</f>
        <v>68400.322451899992</v>
      </c>
      <c r="E132" s="6">
        <f>[1]Production!D51+[1]Production!D53+[1]Production!D55+[1]Production!D57+[1]Production!D59+[1]Production!D61+[1]Production!D63+[1]Production!D65+[1]Production!D67</f>
        <v>68855.702306799998</v>
      </c>
      <c r="F132" s="6">
        <f>[1]Production!E51+[1]Production!E53+[1]Production!E55+[1]Production!E57+[1]Production!E59+[1]Production!E61+[1]Production!E63+[1]Production!E65+[1]Production!E67</f>
        <v>69317.617064700011</v>
      </c>
      <c r="G132" s="6">
        <f>[1]Production!F51+[1]Production!F53+[1]Production!F55+[1]Production!F57+[1]Production!F59+[1]Production!F61+[1]Production!F63+[1]Production!F65+[1]Production!F67</f>
        <v>69814.705142200022</v>
      </c>
      <c r="H132" s="6">
        <f>[1]Production!G51+[1]Production!G53+[1]Production!G55+[1]Production!G57+[1]Production!G59+[1]Production!G61+[1]Production!G63+[1]Production!G65+[1]Production!G67</f>
        <v>70350.093998600016</v>
      </c>
      <c r="I132" s="6">
        <f>[1]Production!H51+[1]Production!H53+[1]Production!H55+[1]Production!H57+[1]Production!H59+[1]Production!H61+[1]Production!H63+[1]Production!H65+[1]Production!H67</f>
        <v>70888.996685699996</v>
      </c>
      <c r="J132" s="6">
        <f>[1]Production!I51+[1]Production!I53+[1]Production!I55+[1]Production!I57+[1]Production!I59+[1]Production!I61+[1]Production!I63+[1]Production!I65+[1]Production!I67</f>
        <v>71449.933257600002</v>
      </c>
      <c r="K132" s="6">
        <f>[1]Production!J51+[1]Production!J53+[1]Production!J55+[1]Production!J57+[1]Production!J59+[1]Production!J61+[1]Production!J63+[1]Production!J65+[1]Production!J67</f>
        <v>72033.557214300003</v>
      </c>
      <c r="L132" s="6">
        <f>[1]Production!K51+[1]Production!K53+[1]Production!K55+[1]Production!K57+[1]Production!K59+[1]Production!K61+[1]Production!K63+[1]Production!K65+[1]Production!K67</f>
        <v>72637.322314299992</v>
      </c>
      <c r="M132" s="6">
        <f>[1]Production!L51+[1]Production!L53+[1]Production!L55+[1]Production!L57+[1]Production!L59+[1]Production!L61+[1]Production!L63+[1]Production!L65+[1]Production!L67</f>
        <v>73322.453573400009</v>
      </c>
      <c r="N132" s="6">
        <f>[1]Production!M51+[1]Production!M53+[1]Production!M55+[1]Production!M57+[1]Production!M59+[1]Production!M61+[1]Production!M63+[1]Production!M65+[1]Production!M67</f>
        <v>73983.174553899997</v>
      </c>
      <c r="O132" s="6">
        <f>[1]Production!N51+[1]Production!N53+[1]Production!N55+[1]Production!N57+[1]Production!N59+[1]Production!N61+[1]Production!N63+[1]Production!N65+[1]Production!N67</f>
        <v>74645.950029399988</v>
      </c>
      <c r="P132" s="6">
        <f>[1]Production!O51+[1]Production!O53+[1]Production!O55+[1]Production!O57+[1]Production!O59+[1]Production!O61+[1]Production!O63+[1]Production!O65+[1]Production!O67</f>
        <v>75315.876473700002</v>
      </c>
      <c r="Q132" s="6">
        <f>[1]Production!P51+[1]Production!P53+[1]Production!P55+[1]Production!P57+[1]Production!P59+[1]Production!P61+[1]Production!P63+[1]Production!P65+[1]Production!P67</f>
        <v>75994.412638600013</v>
      </c>
      <c r="R132" s="6">
        <f>[1]Production!Q51+[1]Production!Q53+[1]Production!Q55+[1]Production!Q57+[1]Production!Q59+[1]Production!Q61+[1]Production!Q63+[1]Production!Q65+[1]Production!Q67</f>
        <v>76682.404034199993</v>
      </c>
      <c r="S132" s="6">
        <f>[1]Production!R51+[1]Production!R53+[1]Production!R55+[1]Production!R57+[1]Production!R59+[1]Production!R61+[1]Production!R63+[1]Production!R65+[1]Production!R67</f>
        <v>77380.441606699998</v>
      </c>
      <c r="T132" s="6">
        <f>[1]Production!S51+[1]Production!S53+[1]Production!S55+[1]Production!S57+[1]Production!S59+[1]Production!S61+[1]Production!S63+[1]Production!S65+[1]Production!S67</f>
        <v>78088.936732600007</v>
      </c>
      <c r="U132" s="6">
        <f>[1]Production!T51+[1]Production!T53+[1]Production!T55+[1]Production!T57+[1]Production!T59+[1]Production!T61+[1]Production!T63+[1]Production!T65+[1]Production!T67</f>
        <v>78808.184462599995</v>
      </c>
      <c r="V132" s="6">
        <f>[1]Production!U51+[1]Production!U53+[1]Production!U55+[1]Production!U57+[1]Production!U59+[1]Production!U61+[1]Production!U63+[1]Production!U65+[1]Production!U67</f>
        <v>79538.428971899993</v>
      </c>
      <c r="W132" s="6">
        <f>[1]Production!V51+[1]Production!V53+[1]Production!V55+[1]Production!V57+[1]Production!V59+[1]Production!V61+[1]Production!V63+[1]Production!V65+[1]Production!V67</f>
        <v>80233.414363500007</v>
      </c>
      <c r="X132" s="6">
        <f>[1]Production!W51+[1]Production!W53+[1]Production!W55+[1]Production!W57+[1]Production!W59+[1]Production!W61+[1]Production!W63+[1]Production!W65+[1]Production!W67</f>
        <v>80968.737171200002</v>
      </c>
      <c r="Y132" s="6">
        <f>[1]Production!X51+[1]Production!X53+[1]Production!X55+[1]Production!X57+[1]Production!X59+[1]Production!X61+[1]Production!X63+[1]Production!X65+[1]Production!X67</f>
        <v>81724.128677699991</v>
      </c>
      <c r="Z132" s="6">
        <f>[1]Production!Y51+[1]Production!Y53+[1]Production!Y55+[1]Production!Y57+[1]Production!Y59+[1]Production!Y61+[1]Production!Y63+[1]Production!Y65+[1]Production!Y67</f>
        <v>82495.546854900007</v>
      </c>
      <c r="AA132" s="6">
        <f>[1]Production!Z51+[1]Production!Z53+[1]Production!Z55+[1]Production!Z57+[1]Production!Z59+[1]Production!Z61+[1]Production!Z63+[1]Production!Z65+[1]Production!Z67</f>
        <v>83281.995397399995</v>
      </c>
      <c r="AB132" s="6">
        <f>[1]Production!AA51+[1]Production!AA53+[1]Production!AA55+[1]Production!AA57+[1]Production!AA59+[1]Production!AA61+[1]Production!AA63+[1]Production!AA65+[1]Production!AA67</f>
        <v>83950.399378400005</v>
      </c>
      <c r="AC132" s="6">
        <f>[1]Production!AB51+[1]Production!AB53+[1]Production!AB55+[1]Production!AB57+[1]Production!AB59+[1]Production!AB61+[1]Production!AB63+[1]Production!AB65+[1]Production!AB67</f>
        <v>84653.305277200008</v>
      </c>
      <c r="AD132" s="6">
        <f>[1]Production!AC51+[1]Production!AC53+[1]Production!AC55+[1]Production!AC57+[1]Production!AC59+[1]Production!AC61+[1]Production!AC63+[1]Production!AC65+[1]Production!AC67</f>
        <v>85370.229185100005</v>
      </c>
      <c r="AE132" s="6">
        <f>[1]Production!AD51+[1]Production!AD53+[1]Production!AD55+[1]Production!AD57+[1]Production!AD59+[1]Production!AD61+[1]Production!AD63+[1]Production!AD65+[1]Production!AD67</f>
        <v>86099.679037400012</v>
      </c>
      <c r="AF132" s="6">
        <f>[1]Production!AE51+[1]Production!AE53+[1]Production!AE55+[1]Production!AE57+[1]Production!AE59+[1]Production!AE61+[1]Production!AE63+[1]Production!AE65+[1]Production!AE67</f>
        <v>86842.77925539999</v>
      </c>
      <c r="AG132" s="6">
        <f>[1]Production!AF51+[1]Production!AF53+[1]Production!AF55+[1]Production!AF57+[1]Production!AF59+[1]Production!AF61+[1]Production!AF63+[1]Production!AF65+[1]Production!AF67</f>
        <v>87601.055374200005</v>
      </c>
      <c r="AH132" s="6">
        <f>[1]Production!AG51+[1]Production!AG53+[1]Production!AG55+[1]Production!AG57+[1]Production!AG59+[1]Production!AG61+[1]Production!AG63+[1]Production!AG65+[1]Production!AG67</f>
        <v>88375.893335100001</v>
      </c>
      <c r="AI132" s="6">
        <f>[1]Production!AH51+[1]Production!AH53+[1]Production!AH55+[1]Production!AH57+[1]Production!AH59+[1]Production!AH61+[1]Production!AH63+[1]Production!AH65+[1]Production!AH67</f>
        <v>89168.401089199993</v>
      </c>
      <c r="AJ132" s="6">
        <f>[1]Production!AI51+[1]Production!AI53+[1]Production!AI55+[1]Production!AI57+[1]Production!AI59+[1]Production!AI61+[1]Production!AI63+[1]Production!AI65+[1]Production!AI67</f>
        <v>89979.388540799977</v>
      </c>
      <c r="AK132" s="6">
        <f>[1]Production!AJ51+[1]Production!AJ53+[1]Production!AJ55+[1]Production!AJ57+[1]Production!AJ59+[1]Production!AJ61+[1]Production!AJ63+[1]Production!AJ65+[1]Production!AJ67</f>
        <v>90809.394414499984</v>
      </c>
      <c r="AL132" s="6">
        <f>[1]Production!AK51+[1]Production!AK53+[1]Production!AK55+[1]Production!AK57+[1]Production!AK59+[1]Production!AK61+[1]Production!AK63+[1]Production!AK65+[1]Production!AK67</f>
        <v>91658.734708499978</v>
      </c>
      <c r="AM132" s="6">
        <f>[1]Production!AL51+[1]Production!AL53+[1]Production!AL55+[1]Production!AL57+[1]Production!AL59+[1]Production!AL61+[1]Production!AL63+[1]Production!AL65+[1]Production!AL67</f>
        <v>92496.0447632</v>
      </c>
      <c r="AN132" s="6">
        <f>[1]Production!AM51+[1]Production!AM53+[1]Production!AM55+[1]Production!AM57+[1]Production!AM59+[1]Production!AM61+[1]Production!AM63+[1]Production!AM65+[1]Production!AM67</f>
        <v>93340.620099300024</v>
      </c>
      <c r="AO132" s="6">
        <f>[1]Production!AN51+[1]Production!AN53+[1]Production!AN55+[1]Production!AN57+[1]Production!AN59+[1]Production!AN61+[1]Production!AN63+[1]Production!AN65+[1]Production!AN67</f>
        <v>94199.836109399999</v>
      </c>
      <c r="AP132" s="6">
        <f>[1]Production!AO51+[1]Production!AO53+[1]Production!AO55+[1]Production!AO57+[1]Production!AO59+[1]Production!AO61+[1]Production!AO63+[1]Production!AO65+[1]Production!AO67</f>
        <v>95077.941336799995</v>
      </c>
      <c r="AQ132" s="6">
        <f>[1]Production!AP51+[1]Production!AP53+[1]Production!AP55+[1]Production!AP57+[1]Production!AP59+[1]Production!AP61+[1]Production!AP63+[1]Production!AP65+[1]Production!AP67</f>
        <v>95976.9543233</v>
      </c>
      <c r="AR132" s="6">
        <f>[1]Production!AQ51+[1]Production!AQ53+[1]Production!AQ55+[1]Production!AQ57+[1]Production!AQ59+[1]Production!AQ61+[1]Production!AQ63+[1]Production!AQ65+[1]Production!AQ67</f>
        <v>96891.088528699998</v>
      </c>
      <c r="AS132" s="6">
        <f>[1]Production!AR51+[1]Production!AR53+[1]Production!AR55+[1]Production!AR57+[1]Production!AR59+[1]Production!AR61+[1]Production!AR63+[1]Production!AR65+[1]Production!AR67</f>
        <v>97816.873754199987</v>
      </c>
      <c r="AT132" s="6">
        <f>[1]Production!AS51+[1]Production!AS53+[1]Production!AS55+[1]Production!AS57+[1]Production!AS59+[1]Production!AS61+[1]Production!AS63+[1]Production!AS65+[1]Production!AS67</f>
        <v>98753.696509000001</v>
      </c>
      <c r="AU132" s="6">
        <f>[1]Production!AT51+[1]Production!AT53+[1]Production!AT55+[1]Production!AT57+[1]Production!AT59+[1]Production!AT61+[1]Production!AT63+[1]Production!AT65+[1]Production!AT67</f>
        <v>99703.730755000011</v>
      </c>
      <c r="AV132" s="6">
        <f>[1]Production!AU51+[1]Production!AU53+[1]Production!AU55+[1]Production!AU57+[1]Production!AU59+[1]Production!AU61+[1]Production!AU63+[1]Production!AU65+[1]Production!AU67</f>
        <v>100670.42001999999</v>
      </c>
      <c r="AW132" s="6">
        <f>[1]Production!AV51+[1]Production!AV53+[1]Production!AV55+[1]Production!AV57+[1]Production!AV59+[1]Production!AV61+[1]Production!AV63+[1]Production!AV65+[1]Production!AV67</f>
        <v>101659.77964899999</v>
      </c>
      <c r="AX132" s="6">
        <f>[1]Production!AW51+[1]Production!AW53+[1]Production!AW55+[1]Production!AW57+[1]Production!AW59+[1]Production!AW61+[1]Production!AW63+[1]Production!AW65+[1]Production!AW67</f>
        <v>102672.31152910001</v>
      </c>
      <c r="AY132" s="6">
        <f>[1]Production!AX51+[1]Production!AX53+[1]Production!AX55+[1]Production!AX57+[1]Production!AX59+[1]Production!AX61+[1]Production!AX63+[1]Production!AX65+[1]Production!AX67</f>
        <v>103708.7378155</v>
      </c>
      <c r="AZ132" s="6">
        <f>[1]Production!AY51+[1]Production!AY53+[1]Production!AY55+[1]Production!AY57+[1]Production!AY59+[1]Production!AY61+[1]Production!AY63+[1]Production!AY65+[1]Production!AY67</f>
        <v>104769.2470721</v>
      </c>
      <c r="BA132" s="6">
        <f>[1]Production!AZ51+[1]Production!AZ53+[1]Production!AZ55+[1]Production!AZ57+[1]Production!AZ59+[1]Production!AZ61+[1]Production!AZ63+[1]Production!AZ65+[1]Production!AZ67</f>
        <v>105853.62044490001</v>
      </c>
      <c r="BB132" s="6">
        <f>[1]Production!BA51+[1]Production!BA53+[1]Production!BA55+[1]Production!BA57+[1]Production!BA59+[1]Production!BA61+[1]Production!BA63+[1]Production!BA65+[1]Production!BA67</f>
        <v>111520.97725159999</v>
      </c>
      <c r="BC132" s="6">
        <f>[1]Production!BB51+[1]Production!BB53+[1]Production!BB55+[1]Production!BB57+[1]Production!BB59+[1]Production!BB61+[1]Production!BB63+[1]Production!BB65+[1]Production!BB67</f>
        <v>112942.6055565</v>
      </c>
      <c r="BD132" s="6">
        <f>[1]Production!BC51+[1]Production!BC53+[1]Production!BC55+[1]Production!BC57+[1]Production!BC59+[1]Production!BC61+[1]Production!BC63+[1]Production!BC65+[1]Production!BC67</f>
        <v>114389.35199920001</v>
      </c>
      <c r="BE132" s="6">
        <f>[1]Production!BD51+[1]Production!BD53+[1]Production!BD55+[1]Production!BD57+[1]Production!BD59+[1]Production!BD61+[1]Production!BD63+[1]Production!BD65+[1]Production!BD67</f>
        <v>115861.71159410001</v>
      </c>
      <c r="BF132" s="6">
        <f>[1]Production!BE51+[1]Production!BE53+[1]Production!BE55+[1]Production!BE57+[1]Production!BE59+[1]Production!BE61+[1]Production!BE63+[1]Production!BE65+[1]Production!BE67</f>
        <v>117360.09855449999</v>
      </c>
    </row>
    <row r="133" spans="1:58" x14ac:dyDescent="0.35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</row>
    <row r="134" spans="1:58" x14ac:dyDescent="0.35">
      <c r="C134" s="2"/>
    </row>
    <row r="135" spans="1:58" x14ac:dyDescent="0.35">
      <c r="A135" s="12" t="s">
        <v>82</v>
      </c>
      <c r="B135" t="s">
        <v>24</v>
      </c>
      <c r="C135" s="2">
        <v>42005</v>
      </c>
      <c r="D135" s="2">
        <v>42370</v>
      </c>
      <c r="E135" s="2">
        <v>42736</v>
      </c>
      <c r="F135" s="2">
        <v>43101</v>
      </c>
      <c r="G135" s="2">
        <v>43466</v>
      </c>
      <c r="H135" s="2">
        <v>43831</v>
      </c>
      <c r="I135" s="2">
        <v>44197</v>
      </c>
      <c r="J135" s="2">
        <v>44562</v>
      </c>
      <c r="K135" s="2">
        <v>44927</v>
      </c>
      <c r="L135" s="2">
        <v>45292</v>
      </c>
      <c r="M135" s="2">
        <v>45658</v>
      </c>
      <c r="N135" s="2">
        <v>46023</v>
      </c>
      <c r="O135" s="2">
        <v>46388</v>
      </c>
      <c r="P135" s="2">
        <v>46753</v>
      </c>
      <c r="Q135" s="2">
        <v>47119</v>
      </c>
      <c r="R135" s="2">
        <v>47484</v>
      </c>
      <c r="S135" s="2">
        <v>47849</v>
      </c>
      <c r="T135" s="2">
        <v>48214</v>
      </c>
      <c r="U135" s="2">
        <v>48580</v>
      </c>
      <c r="V135" s="2">
        <v>48945</v>
      </c>
      <c r="W135" s="2">
        <v>49310</v>
      </c>
      <c r="X135" s="2">
        <v>49675</v>
      </c>
      <c r="Y135" s="2">
        <v>50041</v>
      </c>
      <c r="Z135" s="2">
        <v>50406</v>
      </c>
      <c r="AA135" s="2">
        <v>50771</v>
      </c>
      <c r="AB135" s="2">
        <v>51136</v>
      </c>
      <c r="AC135" s="2">
        <v>51502</v>
      </c>
      <c r="AD135" s="2">
        <v>51867</v>
      </c>
      <c r="AE135" s="2">
        <v>52232</v>
      </c>
      <c r="AF135" s="2">
        <v>52597</v>
      </c>
      <c r="AG135" s="2">
        <v>52963</v>
      </c>
      <c r="AH135" s="2">
        <v>53328</v>
      </c>
      <c r="AI135" s="2">
        <v>53693</v>
      </c>
      <c r="AJ135" s="2">
        <v>54058</v>
      </c>
      <c r="AK135" s="2">
        <v>54424</v>
      </c>
      <c r="AL135" s="2">
        <v>54789</v>
      </c>
      <c r="AM135" s="2">
        <v>54790</v>
      </c>
      <c r="AN135" s="2">
        <v>54791</v>
      </c>
      <c r="AO135" s="2">
        <v>54792</v>
      </c>
      <c r="AP135" s="2">
        <v>54793</v>
      </c>
      <c r="AQ135" s="2">
        <v>54794</v>
      </c>
      <c r="AR135" s="2">
        <v>54795</v>
      </c>
      <c r="AS135" s="2">
        <v>54796</v>
      </c>
      <c r="AT135" s="2">
        <v>54797</v>
      </c>
      <c r="AU135" s="2">
        <v>54798</v>
      </c>
      <c r="AV135" s="2">
        <v>54799</v>
      </c>
      <c r="AW135" s="2">
        <v>54800</v>
      </c>
      <c r="AX135" s="2">
        <v>54801</v>
      </c>
      <c r="AY135" s="2">
        <v>54802</v>
      </c>
      <c r="AZ135" s="2">
        <v>54803</v>
      </c>
      <c r="BA135" s="2">
        <v>54804</v>
      </c>
      <c r="BB135" s="2">
        <v>54805</v>
      </c>
      <c r="BC135" s="2">
        <v>54806</v>
      </c>
      <c r="BD135" s="2">
        <v>54807</v>
      </c>
      <c r="BE135" s="2">
        <v>54808</v>
      </c>
      <c r="BF135" s="2">
        <v>54809</v>
      </c>
    </row>
    <row r="136" spans="1:58" x14ac:dyDescent="0.35">
      <c r="A136" t="s">
        <v>39</v>
      </c>
      <c r="B136" t="s">
        <v>27</v>
      </c>
      <c r="C136" s="6">
        <f>[1]Production!B2</f>
        <v>3859138.9210000001</v>
      </c>
      <c r="D136" s="6">
        <f>[1]Production!C2</f>
        <v>3908385.1749999998</v>
      </c>
      <c r="E136" s="6">
        <f>[1]Production!D2</f>
        <v>3962581.04</v>
      </c>
      <c r="F136" s="6">
        <f>[1]Production!E2</f>
        <v>4020437.2089999998</v>
      </c>
      <c r="G136" s="6">
        <f>[1]Production!F2</f>
        <v>4081700.26</v>
      </c>
      <c r="H136" s="6">
        <f>[1]Production!G2</f>
        <v>4146088.4679999999</v>
      </c>
      <c r="I136" s="6">
        <f>[1]Production!H2</f>
        <v>4210651.1859999998</v>
      </c>
      <c r="J136" s="6">
        <f>[1]Production!I2</f>
        <v>4276896.6370000001</v>
      </c>
      <c r="K136" s="6">
        <f>[1]Production!J2</f>
        <v>4344808.807</v>
      </c>
      <c r="L136" s="6">
        <f>[1]Production!K2</f>
        <v>4414294.5020000003</v>
      </c>
      <c r="M136" s="6">
        <f>[1]Production!L2</f>
        <v>4489925.7390000001</v>
      </c>
      <c r="N136" s="6">
        <f>[1]Production!M2</f>
        <v>4563771.1409999998</v>
      </c>
      <c r="O136" s="6">
        <f>[1]Production!N2</f>
        <v>4638470.2489999998</v>
      </c>
      <c r="P136" s="6">
        <f>[1]Production!O2</f>
        <v>4714109.6440000003</v>
      </c>
      <c r="Q136" s="6">
        <f>[1]Production!P2</f>
        <v>4790691.2189999996</v>
      </c>
      <c r="R136" s="6">
        <f>[1]Production!Q2</f>
        <v>4868219.1059999997</v>
      </c>
      <c r="S136" s="6">
        <f>[1]Production!R2</f>
        <v>4946706.5369999995</v>
      </c>
      <c r="T136" s="6">
        <f>[1]Production!S2</f>
        <v>5026195.4419999998</v>
      </c>
      <c r="U136" s="6">
        <f>[1]Production!T2</f>
        <v>5106727.0820000004</v>
      </c>
      <c r="V136" s="6">
        <f>[1]Production!U2</f>
        <v>5188345.2819999997</v>
      </c>
      <c r="W136" s="6">
        <f>[1]Production!V2</f>
        <v>5267596.108</v>
      </c>
      <c r="X136" s="6">
        <f>[1]Production!W2</f>
        <v>5350366.4519999996</v>
      </c>
      <c r="Y136" s="6">
        <f>[1]Production!X2</f>
        <v>5434670.7869999995</v>
      </c>
      <c r="Z136" s="6">
        <f>[1]Production!Y2</f>
        <v>5520429.443</v>
      </c>
      <c r="AA136" s="6">
        <f>[1]Production!Z2</f>
        <v>5607634.6370000001</v>
      </c>
      <c r="AB136" s="6">
        <f>[1]Production!AA2</f>
        <v>5686145.1179999998</v>
      </c>
      <c r="AC136" s="6">
        <f>[1]Production!AB2</f>
        <v>5768084.2039999999</v>
      </c>
      <c r="AD136" s="6">
        <f>[1]Production!AC2</f>
        <v>5850750.4929999998</v>
      </c>
      <c r="AE136" s="6">
        <f>[1]Production!AD2</f>
        <v>5934234.9349999996</v>
      </c>
      <c r="AF136" s="6">
        <f>[1]Production!AE2</f>
        <v>6018693.4189999998</v>
      </c>
      <c r="AG136" s="6">
        <f>[1]Production!AF2</f>
        <v>6104262.8779999996</v>
      </c>
      <c r="AH136" s="6">
        <f>[1]Production!AG2</f>
        <v>6191045.3030000003</v>
      </c>
      <c r="AI136" s="6">
        <f>[1]Production!AH2</f>
        <v>6279101.3300000001</v>
      </c>
      <c r="AJ136" s="6">
        <f>[1]Production!AI2</f>
        <v>6368464.1969999997</v>
      </c>
      <c r="AK136" s="6">
        <f>[1]Production!AJ2</f>
        <v>6459145.7510000002</v>
      </c>
      <c r="AL136" s="6">
        <f>[1]Production!AK2</f>
        <v>6551144.3289999999</v>
      </c>
      <c r="AM136" s="6">
        <f>[1]Production!AL2</f>
        <v>6641999.2970000003</v>
      </c>
      <c r="AN136" s="6">
        <f>[1]Production!AM2</f>
        <v>6733306.5120000001</v>
      </c>
      <c r="AO136" s="6">
        <f>[1]Production!AN2</f>
        <v>6825279.3109999998</v>
      </c>
      <c r="AP136" s="6">
        <f>[1]Production!AO2</f>
        <v>6918055.4620000003</v>
      </c>
      <c r="AQ136" s="6">
        <f>[1]Production!AP2</f>
        <v>7011748.3399999999</v>
      </c>
      <c r="AR136" s="6">
        <f>[1]Production!AQ2</f>
        <v>7106457.9069999997</v>
      </c>
      <c r="AS136" s="6">
        <f>[1]Production!AR2</f>
        <v>7202258.9270000001</v>
      </c>
      <c r="AT136" s="6">
        <f>[1]Production!AS2</f>
        <v>7299212.6189999999</v>
      </c>
      <c r="AU136" s="6">
        <f>[1]Production!AT2</f>
        <v>7397364.5109999999</v>
      </c>
      <c r="AV136" s="6">
        <f>[1]Production!AU2</f>
        <v>7496747.4630000005</v>
      </c>
      <c r="AW136" s="6">
        <f>[1]Production!AV2</f>
        <v>7598157.233</v>
      </c>
      <c r="AX136" s="6">
        <f>[1]Production!AW2</f>
        <v>7701580.5820000004</v>
      </c>
      <c r="AY136" s="6">
        <f>[1]Production!AX2</f>
        <v>7806936.1749999998</v>
      </c>
      <c r="AZ136" s="6">
        <f>[1]Production!AY2</f>
        <v>7914074.9560000002</v>
      </c>
      <c r="BA136" s="6">
        <f>[1]Production!AZ2</f>
        <v>8022864.8059999999</v>
      </c>
      <c r="BB136" s="6">
        <f>[1]Production!BA2</f>
        <v>8694272.4759999998</v>
      </c>
      <c r="BC136" s="6">
        <f>[1]Production!BB2</f>
        <v>8840634.7420000006</v>
      </c>
      <c r="BD136" s="6">
        <f>[1]Production!BC2</f>
        <v>8989308.7599999998</v>
      </c>
      <c r="BE136" s="6">
        <f>[1]Production!BD2</f>
        <v>9140327.6300000008</v>
      </c>
      <c r="BF136" s="6">
        <f>[1]Production!BE2</f>
        <v>9293727.1170000006</v>
      </c>
    </row>
    <row r="137" spans="1:58" x14ac:dyDescent="0.35">
      <c r="B137" t="s">
        <v>7</v>
      </c>
      <c r="C137" s="6">
        <f>[1]Production!B4+[1]Production!B6</f>
        <v>88308.227958000003</v>
      </c>
      <c r="D137" s="6">
        <f>[1]Production!C4+[1]Production!C6</f>
        <v>89090.63384200001</v>
      </c>
      <c r="E137" s="6">
        <f>[1]Production!D4+[1]Production!D6</f>
        <v>89924.484515000004</v>
      </c>
      <c r="F137" s="6">
        <f>[1]Production!E4+[1]Production!E6</f>
        <v>90795.802422000008</v>
      </c>
      <c r="G137" s="6">
        <f>[1]Production!F4+[1]Production!F6</f>
        <v>91718.988798999999</v>
      </c>
      <c r="H137" s="6">
        <f>[1]Production!G4+[1]Production!G6</f>
        <v>92697.733437000003</v>
      </c>
      <c r="I137" s="6">
        <f>[1]Production!H4+[1]Production!H6</f>
        <v>93652.885957999999</v>
      </c>
      <c r="J137" s="6">
        <f>[1]Production!I4+[1]Production!I6</f>
        <v>94646.264565000005</v>
      </c>
      <c r="K137" s="6">
        <f>[1]Production!J4+[1]Production!J6</f>
        <v>95676.652042000002</v>
      </c>
      <c r="L137" s="6">
        <f>[1]Production!K4+[1]Production!K6</f>
        <v>96740.839689</v>
      </c>
      <c r="M137" s="6">
        <f>[1]Production!L4+[1]Production!L6</f>
        <v>97966.014316000001</v>
      </c>
      <c r="N137" s="6">
        <f>[1]Production!M4+[1]Production!M6</f>
        <v>99098.376265999992</v>
      </c>
      <c r="O137" s="6">
        <f>[1]Production!N4+[1]Production!N6</f>
        <v>100246.255976</v>
      </c>
      <c r="P137" s="6">
        <f>[1]Production!O4+[1]Production!O6</f>
        <v>101409.260612</v>
      </c>
      <c r="Q137" s="6">
        <f>[1]Production!P4+[1]Production!P6</f>
        <v>102585.97760499999</v>
      </c>
      <c r="R137" s="6">
        <f>[1]Production!Q4+[1]Production!Q6</f>
        <v>103775.03052300001</v>
      </c>
      <c r="S137" s="6">
        <f>[1]Production!R4+[1]Production!R6</f>
        <v>104969.93979400001</v>
      </c>
      <c r="T137" s="6">
        <f>[1]Production!S4+[1]Production!S6</f>
        <v>106175.859354</v>
      </c>
      <c r="U137" s="6">
        <f>[1]Production!T4+[1]Production!T6</f>
        <v>107392.78602299999</v>
      </c>
      <c r="V137" s="6">
        <f>[1]Production!U4+[1]Production!U6</f>
        <v>108621.18107399999</v>
      </c>
      <c r="W137" s="6">
        <f>[1]Production!V4+[1]Production!V6</f>
        <v>109767.12552999999</v>
      </c>
      <c r="X137" s="6">
        <f>[1]Production!W4+[1]Production!W6</f>
        <v>111009.36658199999</v>
      </c>
      <c r="Y137" s="6">
        <f>[1]Production!X4+[1]Production!X6</f>
        <v>112270.849651</v>
      </c>
      <c r="Z137" s="6">
        <f>[1]Production!Y4+[1]Production!Y6</f>
        <v>113550.960175</v>
      </c>
      <c r="AA137" s="6">
        <f>[1]Production!Z4+[1]Production!Z6</f>
        <v>114850.162457</v>
      </c>
      <c r="AB137" s="6">
        <f>[1]Production!AA4+[1]Production!AA6</f>
        <v>115899.28628799999</v>
      </c>
      <c r="AC137" s="6">
        <f>[1]Production!AB4+[1]Production!AB6</f>
        <v>117080.692555</v>
      </c>
      <c r="AD137" s="6">
        <f>[1]Production!AC4+[1]Production!AC6</f>
        <v>118279.05332400001</v>
      </c>
      <c r="AE137" s="6">
        <f>[1]Production!AD4+[1]Production!AD6</f>
        <v>119495.68390800001</v>
      </c>
      <c r="AF137" s="6">
        <f>[1]Production!AE4+[1]Production!AE6</f>
        <v>120732.196363</v>
      </c>
      <c r="AG137" s="6">
        <f>[1]Production!AF4+[1]Production!AF6</f>
        <v>121989.99054300001</v>
      </c>
      <c r="AH137" s="6">
        <f>[1]Production!AG4+[1]Production!AG6</f>
        <v>123271.71491900001</v>
      </c>
      <c r="AI137" s="6">
        <f>[1]Production!AH4+[1]Production!AH6</f>
        <v>124576.38932799999</v>
      </c>
      <c r="AJ137" s="6">
        <f>[1]Production!AI4+[1]Production!AI6</f>
        <v>125904.34887</v>
      </c>
      <c r="AK137" s="6">
        <f>[1]Production!AJ4+[1]Production!AJ6</f>
        <v>127255.64515499999</v>
      </c>
      <c r="AL137" s="6">
        <f>[1]Production!AK4+[1]Production!AK6</f>
        <v>128630.124033</v>
      </c>
      <c r="AM137" s="6">
        <f>[1]Production!AL4+[1]Production!AL6</f>
        <v>129979.059182</v>
      </c>
      <c r="AN137" s="6">
        <f>[1]Production!AM4+[1]Production!AM6</f>
        <v>131342.03225000002</v>
      </c>
      <c r="AO137" s="6">
        <f>[1]Production!AN4+[1]Production!AN6</f>
        <v>132721.70071800001</v>
      </c>
      <c r="AP137" s="6">
        <f>[1]Production!AO4+[1]Production!AO6</f>
        <v>134119.521893</v>
      </c>
      <c r="AQ137" s="6">
        <f>[1]Production!AP4+[1]Production!AP6</f>
        <v>135536.445419</v>
      </c>
      <c r="AR137" s="6">
        <f>[1]Production!AQ4+[1]Production!AQ6</f>
        <v>136975.71473199999</v>
      </c>
      <c r="AS137" s="6">
        <f>[1]Production!AR4+[1]Production!AR6</f>
        <v>138435.229914</v>
      </c>
      <c r="AT137" s="6">
        <f>[1]Production!AS4+[1]Production!AS6</f>
        <v>139915.38189300001</v>
      </c>
      <c r="AU137" s="6">
        <f>[1]Production!AT4+[1]Production!AT6</f>
        <v>141416.437339</v>
      </c>
      <c r="AV137" s="6">
        <f>[1]Production!AU4+[1]Production!AU6</f>
        <v>142938.57462600002</v>
      </c>
      <c r="AW137" s="6">
        <f>[1]Production!AV4+[1]Production!AV6</f>
        <v>144578.356138</v>
      </c>
      <c r="AX137" s="6">
        <f>[1]Production!AW4+[1]Production!AW6</f>
        <v>146307.50966499999</v>
      </c>
      <c r="AY137" s="6">
        <f>[1]Production!AX4+[1]Production!AX6</f>
        <v>148112.26238200002</v>
      </c>
      <c r="AZ137" s="6">
        <f>[1]Production!AY4+[1]Production!AY6</f>
        <v>149981.443814</v>
      </c>
      <c r="BA137" s="6">
        <f>[1]Production!AZ4+[1]Production!AZ6</f>
        <v>151906.92258700001</v>
      </c>
      <c r="BB137" s="6">
        <f>[1]Production!BA4+[1]Production!BA6</f>
        <v>186397.20084100001</v>
      </c>
      <c r="BC137" s="6">
        <f>[1]Production!BB4+[1]Production!BB6</f>
        <v>189372.32744200001</v>
      </c>
      <c r="BD137" s="6">
        <f>[1]Production!BC4+[1]Production!BC6</f>
        <v>192397.54094400001</v>
      </c>
      <c r="BE137" s="6">
        <f>[1]Production!BD4+[1]Production!BD6</f>
        <v>195473.85499699999</v>
      </c>
      <c r="BF137" s="6">
        <f>[1]Production!BE4+[1]Production!BE6</f>
        <v>198602.34797600002</v>
      </c>
    </row>
    <row r="138" spans="1:58" x14ac:dyDescent="0.35">
      <c r="B138" t="s">
        <v>30</v>
      </c>
      <c r="C138" s="6">
        <f>[1]Production!B8+[1]Production!B10+[1]Production!B12+[1]Production!B14+[1]Production!B16+[1]Production!B18+[1]Production!B20+[1]Production!B22+[1]Production!B24+[1]Production!B26+[1]Production!B40</f>
        <v>980667.472847</v>
      </c>
      <c r="D138" s="6">
        <f>[1]Production!C8+[1]Production!C10+[1]Production!C12+[1]Production!C14+[1]Production!C16+[1]Production!C18+[1]Production!C20+[1]Production!C22+[1]Production!C24+[1]Production!C26+[1]Production!C40</f>
        <v>993727.90061599994</v>
      </c>
      <c r="E138" s="6">
        <f>[1]Production!D8+[1]Production!D10+[1]Production!D12+[1]Production!D14+[1]Production!D16+[1]Production!D18+[1]Production!D20+[1]Production!D22+[1]Production!D24+[1]Production!D26+[1]Production!D40</f>
        <v>1008295.1413540001</v>
      </c>
      <c r="F138" s="6">
        <f>[1]Production!E8+[1]Production!E10+[1]Production!E12+[1]Production!E14+[1]Production!E16+[1]Production!E18+[1]Production!E20+[1]Production!E22+[1]Production!E24+[1]Production!E26+[1]Production!E40</f>
        <v>1023767.116478</v>
      </c>
      <c r="G138" s="6">
        <f>[1]Production!F8+[1]Production!F10+[1]Production!F12+[1]Production!F14+[1]Production!F16+[1]Production!F18+[1]Production!F20+[1]Production!F22+[1]Production!F24+[1]Production!F26+[1]Production!F40</f>
        <v>1040015.5497679999</v>
      </c>
      <c r="H138" s="6">
        <f>[1]Production!G8+[1]Production!G10+[1]Production!G12+[1]Production!G14+[1]Production!G16+[1]Production!G18+[1]Production!G20+[1]Production!G22+[1]Production!G24+[1]Production!G26+[1]Production!G40</f>
        <v>1056987.255816</v>
      </c>
      <c r="I138" s="6">
        <f>[1]Production!H8+[1]Production!H10+[1]Production!H12+[1]Production!H14+[1]Production!H16+[1]Production!H18+[1]Production!H20+[1]Production!H22+[1]Production!H24+[1]Production!H26+[1]Production!H40</f>
        <v>1073998.669098</v>
      </c>
      <c r="J138" s="6">
        <f>[1]Production!I8+[1]Production!I10+[1]Production!I12+[1]Production!I14+[1]Production!I16+[1]Production!I18+[1]Production!I20+[1]Production!I22+[1]Production!I24+[1]Production!I26+[1]Production!I40</f>
        <v>1091461.937381</v>
      </c>
      <c r="K138" s="6">
        <f>[1]Production!J8+[1]Production!J10+[1]Production!J12+[1]Production!J14+[1]Production!J16+[1]Production!J18+[1]Production!J20+[1]Production!J22+[1]Production!J24+[1]Production!J26+[1]Production!J40</f>
        <v>1109396.866073</v>
      </c>
      <c r="L138" s="6">
        <f>[1]Production!K8+[1]Production!K10+[1]Production!K12+[1]Production!K14+[1]Production!K16+[1]Production!K18+[1]Production!K20+[1]Production!K22+[1]Production!K24+[1]Production!K26+[1]Production!K40</f>
        <v>1127794.9938409999</v>
      </c>
      <c r="M138" s="6">
        <f>[1]Production!L8+[1]Production!L10+[1]Production!L12+[1]Production!L14+[1]Production!L16+[1]Production!L18+[1]Production!L20+[1]Production!L22+[1]Production!L24+[1]Production!L26+[1]Production!L40</f>
        <v>1147785.6311139998</v>
      </c>
      <c r="N138" s="6">
        <f>[1]Production!M8+[1]Production!M10+[1]Production!M12+[1]Production!M14+[1]Production!M16+[1]Production!M18+[1]Production!M20+[1]Production!M22+[1]Production!M24+[1]Production!M26+[1]Production!M40</f>
        <v>1167415.4784190001</v>
      </c>
      <c r="O138" s="6">
        <f>[1]Production!N8+[1]Production!N10+[1]Production!N12+[1]Production!N14+[1]Production!N16+[1]Production!N18+[1]Production!N20+[1]Production!N22+[1]Production!N24+[1]Production!N26+[1]Production!N40</f>
        <v>1187345.9107049999</v>
      </c>
      <c r="P138" s="6">
        <f>[1]Production!O8+[1]Production!O10+[1]Production!O12+[1]Production!O14+[1]Production!O16+[1]Production!O18+[1]Production!O20+[1]Production!O22+[1]Production!O24+[1]Production!O26+[1]Production!O40</f>
        <v>1207592.9821289999</v>
      </c>
      <c r="Q138" s="6">
        <f>[1]Production!P8+[1]Production!P10+[1]Production!P12+[1]Production!P14+[1]Production!P16+[1]Production!P18+[1]Production!P20+[1]Production!P22+[1]Production!P24+[1]Production!P26+[1]Production!P40</f>
        <v>1228153.3126080001</v>
      </c>
      <c r="R138" s="6">
        <f>[1]Production!Q8+[1]Production!Q10+[1]Production!Q12+[1]Production!Q14+[1]Production!Q16+[1]Production!Q18+[1]Production!Q20+[1]Production!Q22+[1]Production!Q24+[1]Production!Q26+[1]Production!Q40</f>
        <v>1249023.8100939998</v>
      </c>
      <c r="S138" s="6">
        <f>[1]Production!R8+[1]Production!R10+[1]Production!R12+[1]Production!R14+[1]Production!R16+[1]Production!R18+[1]Production!R20+[1]Production!R22+[1]Production!R24+[1]Production!R26+[1]Production!R40</f>
        <v>1270206.7589999998</v>
      </c>
      <c r="T138" s="6">
        <f>[1]Production!S8+[1]Production!S10+[1]Production!S12+[1]Production!S14+[1]Production!S16+[1]Production!S18+[1]Production!S20+[1]Production!S22+[1]Production!S24+[1]Production!S26+[1]Production!S40</f>
        <v>1291707.3297519998</v>
      </c>
      <c r="U138" s="6">
        <f>[1]Production!T8+[1]Production!T10+[1]Production!T12+[1]Production!T14+[1]Production!T16+[1]Production!T18+[1]Production!T20+[1]Production!T22+[1]Production!T24+[1]Production!T26+[1]Production!T40</f>
        <v>1313533.9015680002</v>
      </c>
      <c r="V138" s="6">
        <f>[1]Production!U8+[1]Production!U10+[1]Production!U12+[1]Production!U14+[1]Production!U16+[1]Production!U18+[1]Production!U20+[1]Production!U22+[1]Production!U24+[1]Production!U26+[1]Production!U40</f>
        <v>1335696.5559030001</v>
      </c>
      <c r="W138" s="6">
        <f>[1]Production!V8+[1]Production!V10+[1]Production!V12+[1]Production!V14+[1]Production!V16+[1]Production!V18+[1]Production!V20+[1]Production!V22+[1]Production!V24+[1]Production!V26+[1]Production!V40</f>
        <v>1357343.8086400002</v>
      </c>
      <c r="X138" s="6">
        <f>[1]Production!W8+[1]Production!W10+[1]Production!W12+[1]Production!W14+[1]Production!W16+[1]Production!W18+[1]Production!W20+[1]Production!W22+[1]Production!W24+[1]Production!W26+[1]Production!W40</f>
        <v>1379932.067856</v>
      </c>
      <c r="Y138" s="6">
        <f>[1]Production!X8+[1]Production!X10+[1]Production!X12+[1]Production!X14+[1]Production!X16+[1]Production!X18+[1]Production!X20+[1]Production!X22+[1]Production!X24+[1]Production!X26+[1]Production!X40</f>
        <v>1402960.847904</v>
      </c>
      <c r="Z138" s="6">
        <f>[1]Production!Y8+[1]Production!Y10+[1]Production!Y12+[1]Production!Y14+[1]Production!Y16+[1]Production!Y18+[1]Production!Y20+[1]Production!Y22+[1]Production!Y24+[1]Production!Y26+[1]Production!Y40</f>
        <v>1426412.6294270002</v>
      </c>
      <c r="AA138" s="6">
        <f>[1]Production!Z8+[1]Production!Z10+[1]Production!Z12+[1]Production!Z14+[1]Production!Z16+[1]Production!Z18+[1]Production!Z20+[1]Production!Z22+[1]Production!Z24+[1]Production!Z26+[1]Production!Z40</f>
        <v>1450286.146161</v>
      </c>
      <c r="AB138" s="6">
        <f>[1]Production!AA8+[1]Production!AA10+[1]Production!AA12+[1]Production!AA14+[1]Production!AA16+[1]Production!AA18+[1]Production!AA20+[1]Production!AA22+[1]Production!AA24+[1]Production!AA26+[1]Production!AA40</f>
        <v>1472077.3498840001</v>
      </c>
      <c r="AC138" s="6">
        <f>[1]Production!AB8+[1]Production!AB10+[1]Production!AB12+[1]Production!AB14+[1]Production!AB16+[1]Production!AB18+[1]Production!AB20+[1]Production!AB22+[1]Production!AB24+[1]Production!AB26+[1]Production!AB40</f>
        <v>1494789.1694209999</v>
      </c>
      <c r="AD138" s="6">
        <f>[1]Production!AC8+[1]Production!AC10+[1]Production!AC12+[1]Production!AC14+[1]Production!AC16+[1]Production!AC18+[1]Production!AC20+[1]Production!AC22+[1]Production!AC24+[1]Production!AC26+[1]Production!AC40</f>
        <v>1517727.6393829999</v>
      </c>
      <c r="AE138" s="6">
        <f>[1]Production!AD8+[1]Production!AD10+[1]Production!AD12+[1]Production!AD14+[1]Production!AD16+[1]Production!AD18+[1]Production!AD20+[1]Production!AD22+[1]Production!AD24+[1]Production!AD26+[1]Production!AD40</f>
        <v>1540907.5951919998</v>
      </c>
      <c r="AF138" s="6">
        <f>[1]Production!AE8+[1]Production!AE10+[1]Production!AE12+[1]Production!AE14+[1]Production!AE16+[1]Production!AE18+[1]Production!AE20+[1]Production!AE22+[1]Production!AE24+[1]Production!AE26+[1]Production!AE40</f>
        <v>1564357.371818</v>
      </c>
      <c r="AG138" s="6">
        <f>[1]Production!AF8+[1]Production!AF10+[1]Production!AF12+[1]Production!AF14+[1]Production!AF16+[1]Production!AF18+[1]Production!AF20+[1]Production!AF22+[1]Production!AF24+[1]Production!AF26+[1]Production!AF40</f>
        <v>1588101.7387909999</v>
      </c>
      <c r="AH138" s="6">
        <f>[1]Production!AG8+[1]Production!AG10+[1]Production!AG12+[1]Production!AG14+[1]Production!AG16+[1]Production!AG18+[1]Production!AG20+[1]Production!AG22+[1]Production!AG24+[1]Production!AG26+[1]Production!AG40</f>
        <v>1612157.4015300001</v>
      </c>
      <c r="AI138" s="6">
        <f>[1]Production!AH8+[1]Production!AH10+[1]Production!AH12+[1]Production!AH14+[1]Production!AH16+[1]Production!AH18+[1]Production!AH20+[1]Production!AH22+[1]Production!AH24+[1]Production!AH26+[1]Production!AH40</f>
        <v>1636533.1788100002</v>
      </c>
      <c r="AJ138" s="6">
        <f>[1]Production!AI8+[1]Production!AI10+[1]Production!AI12+[1]Production!AI14+[1]Production!AI16+[1]Production!AI18+[1]Production!AI20+[1]Production!AI22+[1]Production!AI24+[1]Production!AI26+[1]Production!AI40</f>
        <v>1661230.6863779998</v>
      </c>
      <c r="AK138" s="6">
        <f>[1]Production!AJ8+[1]Production!AJ10+[1]Production!AJ12+[1]Production!AJ14+[1]Production!AJ16+[1]Production!AJ18+[1]Production!AJ20+[1]Production!AJ22+[1]Production!AJ24+[1]Production!AJ26+[1]Production!AJ40</f>
        <v>1686246.1555299999</v>
      </c>
      <c r="AL138" s="6">
        <f>[1]Production!AK8+[1]Production!AK10+[1]Production!AK12+[1]Production!AK14+[1]Production!AK16+[1]Production!AK18+[1]Production!AK20+[1]Production!AK22+[1]Production!AK24+[1]Production!AK26+[1]Production!AK40</f>
        <v>1711572.2918990003</v>
      </c>
      <c r="AM138" s="6">
        <f>[1]Production!AL8+[1]Production!AL10+[1]Production!AL12+[1]Production!AL14+[1]Production!AL16+[1]Production!AL18+[1]Production!AL20+[1]Production!AL22+[1]Production!AL24+[1]Production!AL26+[1]Production!AL40</f>
        <v>1736583.4807870002</v>
      </c>
      <c r="AN138" s="6">
        <f>[1]Production!AM8+[1]Production!AM10+[1]Production!AM12+[1]Production!AM14+[1]Production!AM16+[1]Production!AM18+[1]Production!AM20+[1]Production!AM22+[1]Production!AM24+[1]Production!AM26+[1]Production!AM40</f>
        <v>1761677.1951230001</v>
      </c>
      <c r="AO138" s="6">
        <f>[1]Production!AN8+[1]Production!AN10+[1]Production!AN12+[1]Production!AN14+[1]Production!AN16+[1]Production!AN18+[1]Production!AN20+[1]Production!AN22+[1]Production!AN24+[1]Production!AN26+[1]Production!AN40</f>
        <v>1786894.9176319998</v>
      </c>
      <c r="AP138" s="6">
        <f>[1]Production!AO8+[1]Production!AO10+[1]Production!AO12+[1]Production!AO14+[1]Production!AO16+[1]Production!AO18+[1]Production!AO20+[1]Production!AO22+[1]Production!AO24+[1]Production!AO26+[1]Production!AO40</f>
        <v>1812261.1698909998</v>
      </c>
      <c r="AQ138" s="6">
        <f>[1]Production!AP8+[1]Production!AP10+[1]Production!AP12+[1]Production!AP14+[1]Production!AP16+[1]Production!AP18+[1]Production!AP20+[1]Production!AP22+[1]Production!AP24+[1]Production!AP26+[1]Production!AP40</f>
        <v>1837795.2792649998</v>
      </c>
      <c r="AR138" s="6">
        <f>[1]Production!AQ8+[1]Production!AQ10+[1]Production!AQ12+[1]Production!AQ14+[1]Production!AQ16+[1]Production!AQ18+[1]Production!AQ20+[1]Production!AQ22+[1]Production!AQ24+[1]Production!AQ26+[1]Production!AQ40</f>
        <v>1863513.1981549999</v>
      </c>
      <c r="AS138" s="6">
        <f>[1]Production!AR8+[1]Production!AR10+[1]Production!AR12+[1]Production!AR14+[1]Production!AR16+[1]Production!AR18+[1]Production!AR20+[1]Production!AR22+[1]Production!AR24+[1]Production!AR26+[1]Production!AR40</f>
        <v>1889428.6787779999</v>
      </c>
      <c r="AT138" s="6">
        <f>[1]Production!AS8+[1]Production!AS10+[1]Production!AS12+[1]Production!AS14+[1]Production!AS16+[1]Production!AS18+[1]Production!AS20+[1]Production!AS22+[1]Production!AS24+[1]Production!AS26+[1]Production!AS40</f>
        <v>1915552.6189589996</v>
      </c>
      <c r="AU138" s="6">
        <f>[1]Production!AT8+[1]Production!AT10+[1]Production!AT12+[1]Production!AT14+[1]Production!AT16+[1]Production!AT18+[1]Production!AT20+[1]Production!AT22+[1]Production!AT24+[1]Production!AT26+[1]Production!AT40</f>
        <v>1941893.4225499998</v>
      </c>
      <c r="AV138" s="6">
        <f>[1]Production!AU8+[1]Production!AU10+[1]Production!AU12+[1]Production!AU14+[1]Production!AU16+[1]Production!AU18+[1]Production!AU20+[1]Production!AU22+[1]Production!AU24+[1]Production!AU26+[1]Production!AU40</f>
        <v>1968457.5201610003</v>
      </c>
      <c r="AW138" s="6">
        <f>[1]Production!AV8+[1]Production!AV10+[1]Production!AV12+[1]Production!AV14+[1]Production!AV16+[1]Production!AV18+[1]Production!AV20+[1]Production!AV22+[1]Production!AV24+[1]Production!AV26+[1]Production!AV40</f>
        <v>1995472.8040580002</v>
      </c>
      <c r="AX138" s="6">
        <f>[1]Production!AW8+[1]Production!AW10+[1]Production!AW12+[1]Production!AW14+[1]Production!AW16+[1]Production!AW18+[1]Production!AW20+[1]Production!AW22+[1]Production!AW24+[1]Production!AW26+[1]Production!AW40</f>
        <v>2022997.5387640002</v>
      </c>
      <c r="AY138" s="6">
        <f>[1]Production!AX8+[1]Production!AX10+[1]Production!AX12+[1]Production!AX14+[1]Production!AX16+[1]Production!AX18+[1]Production!AX20+[1]Production!AX22+[1]Production!AX24+[1]Production!AX26+[1]Production!AX40</f>
        <v>2051034.56195</v>
      </c>
      <c r="AZ138" s="6">
        <f>[1]Production!AY8+[1]Production!AY10+[1]Production!AY12+[1]Production!AY14+[1]Production!AY16+[1]Production!AY18+[1]Production!AY20+[1]Production!AY22+[1]Production!AY24+[1]Production!AY26+[1]Production!AY40</f>
        <v>2079543.536784</v>
      </c>
      <c r="BA138" s="6">
        <f>[1]Production!AZ8+[1]Production!AZ10+[1]Production!AZ12+[1]Production!AZ14+[1]Production!AZ16+[1]Production!AZ18+[1]Production!AZ20+[1]Production!AZ22+[1]Production!AZ24+[1]Production!AZ26+[1]Production!AZ40</f>
        <v>2108475.1164689995</v>
      </c>
      <c r="BB138" s="6">
        <f>[1]Production!BA8+[1]Production!BA10+[1]Production!BA12+[1]Production!BA14+[1]Production!BA16+[1]Production!BA18+[1]Production!BA20+[1]Production!BA22+[1]Production!BA24+[1]Production!BA26+[1]Production!BA40</f>
        <v>2284220.9772020001</v>
      </c>
      <c r="BC138" s="6">
        <f>[1]Production!BB8+[1]Production!BB10+[1]Production!BB12+[1]Production!BB14+[1]Production!BB16+[1]Production!BB18+[1]Production!BB20+[1]Production!BB22+[1]Production!BB24+[1]Production!BB26+[1]Production!BB40</f>
        <v>2324292.3855250003</v>
      </c>
      <c r="BD138" s="6">
        <f>[1]Production!BC8+[1]Production!BC10+[1]Production!BC12+[1]Production!BC14+[1]Production!BC16+[1]Production!BC18+[1]Production!BC20+[1]Production!BC22+[1]Production!BC24+[1]Production!BC26+[1]Production!BC40</f>
        <v>2364941.92075</v>
      </c>
      <c r="BE138" s="6">
        <f>[1]Production!BD8+[1]Production!BD10+[1]Production!BD12+[1]Production!BD14+[1]Production!BD16+[1]Production!BD18+[1]Production!BD20+[1]Production!BD22+[1]Production!BD24+[1]Production!BD26+[1]Production!BD40</f>
        <v>2406171.2773370002</v>
      </c>
      <c r="BF138" s="6">
        <f>[1]Production!BE8+[1]Production!BE10+[1]Production!BE12+[1]Production!BE14+[1]Production!BE16+[1]Production!BE18+[1]Production!BE20+[1]Production!BE22+[1]Production!BE24+[1]Production!BE26+[1]Production!BE40</f>
        <v>2447982.850503</v>
      </c>
    </row>
    <row r="139" spans="1:58" x14ac:dyDescent="0.35">
      <c r="B139" t="s">
        <v>9</v>
      </c>
      <c r="C139" s="6">
        <f>[1]Production!B28+[1]Production!B30+[1]Production!B32+[1]Production!B34</f>
        <v>121160.667279</v>
      </c>
      <c r="D139" s="6">
        <f>[1]Production!C28+[1]Production!C30+[1]Production!C32+[1]Production!C34</f>
        <v>122675.44639900001</v>
      </c>
      <c r="E139" s="6">
        <f>[1]Production!D28+[1]Production!D30+[1]Production!D32+[1]Production!D34</f>
        <v>124325.231673</v>
      </c>
      <c r="F139" s="6">
        <f>[1]Production!E28+[1]Production!E30+[1]Production!E32+[1]Production!E34</f>
        <v>126072.46626199999</v>
      </c>
      <c r="G139" s="6">
        <f>[1]Production!F28+[1]Production!F30+[1]Production!F32+[1]Production!F34</f>
        <v>127912.804346</v>
      </c>
      <c r="H139" s="6">
        <f>[1]Production!G28+[1]Production!G30+[1]Production!G32+[1]Production!G34</f>
        <v>129837.958573</v>
      </c>
      <c r="I139" s="6">
        <f>[1]Production!H28+[1]Production!H30+[1]Production!H32+[1]Production!H34</f>
        <v>131752.607418</v>
      </c>
      <c r="J139" s="6">
        <f>[1]Production!I28+[1]Production!I30+[1]Production!I32+[1]Production!I34</f>
        <v>133711.073172</v>
      </c>
      <c r="K139" s="6">
        <f>[1]Production!J28+[1]Production!J30+[1]Production!J32+[1]Production!J34</f>
        <v>135712.239214</v>
      </c>
      <c r="L139" s="6">
        <f>[1]Production!K28+[1]Production!K30+[1]Production!K32+[1]Production!K34</f>
        <v>137753.03611399999</v>
      </c>
      <c r="M139" s="6">
        <f>[1]Production!L28+[1]Production!L30+[1]Production!L32+[1]Production!L34</f>
        <v>139981.37693599999</v>
      </c>
      <c r="N139" s="6">
        <f>[1]Production!M28+[1]Production!M30+[1]Production!M32+[1]Production!M34</f>
        <v>142131.50919499999</v>
      </c>
      <c r="O139" s="6">
        <f>[1]Production!N28+[1]Production!N30+[1]Production!N32+[1]Production!N34</f>
        <v>144301.287958</v>
      </c>
      <c r="P139" s="6">
        <f>[1]Production!O28+[1]Production!O30+[1]Production!O32+[1]Production!O34</f>
        <v>146494.122477</v>
      </c>
      <c r="Q139" s="6">
        <f>[1]Production!P28+[1]Production!P30+[1]Production!P32+[1]Production!P34</f>
        <v>148710.592619</v>
      </c>
      <c r="R139" s="6">
        <f>[1]Production!Q28+[1]Production!Q30+[1]Production!Q32+[1]Production!Q34</f>
        <v>150951.300621</v>
      </c>
      <c r="S139" s="6">
        <f>[1]Production!R28+[1]Production!R30+[1]Production!R32+[1]Production!R34</f>
        <v>153217.11816100002</v>
      </c>
      <c r="T139" s="6">
        <f>[1]Production!S28+[1]Production!S30+[1]Production!S32+[1]Production!S34</f>
        <v>155509.62240999998</v>
      </c>
      <c r="U139" s="6">
        <f>[1]Production!T28+[1]Production!T30+[1]Production!T32+[1]Production!T34</f>
        <v>157830.39090100001</v>
      </c>
      <c r="V139" s="6">
        <f>[1]Production!U28+[1]Production!U30+[1]Production!U32+[1]Production!U34</f>
        <v>160181.04457500001</v>
      </c>
      <c r="W139" s="6">
        <f>[1]Production!V28+[1]Production!V30+[1]Production!V32+[1]Production!V34</f>
        <v>162450.273415</v>
      </c>
      <c r="X139" s="6">
        <f>[1]Production!W28+[1]Production!W30+[1]Production!W32+[1]Production!W34</f>
        <v>164836.27572400001</v>
      </c>
      <c r="Y139" s="6">
        <f>[1]Production!X28+[1]Production!X30+[1]Production!X32+[1]Production!X34</f>
        <v>167266.17437699999</v>
      </c>
      <c r="Z139" s="6">
        <f>[1]Production!Y28+[1]Production!Y30+[1]Production!Y32+[1]Production!Y34</f>
        <v>169737.763603</v>
      </c>
      <c r="AA139" s="6">
        <f>[1]Production!Z28+[1]Production!Z30+[1]Production!Z32+[1]Production!Z34</f>
        <v>172251.231141</v>
      </c>
      <c r="AB139" s="6">
        <f>[1]Production!AA28+[1]Production!AA30+[1]Production!AA32+[1]Production!AA34</f>
        <v>174479.54334099998</v>
      </c>
      <c r="AC139" s="6">
        <f>[1]Production!AB28+[1]Production!AB30+[1]Production!AB32+[1]Production!AB34</f>
        <v>176837.69536400001</v>
      </c>
      <c r="AD139" s="6">
        <f>[1]Production!AC28+[1]Production!AC30+[1]Production!AC32+[1]Production!AC34</f>
        <v>179223.79892999999</v>
      </c>
      <c r="AE139" s="6">
        <f>[1]Production!AD28+[1]Production!AD30+[1]Production!AD32+[1]Production!AD34</f>
        <v>181640.26524800001</v>
      </c>
      <c r="AF139" s="6">
        <f>[1]Production!AE28+[1]Production!AE30+[1]Production!AE32+[1]Production!AE34</f>
        <v>184091.84828999999</v>
      </c>
      <c r="AG139" s="6">
        <f>[1]Production!AF28+[1]Production!AF30+[1]Production!AF32+[1]Production!AF34</f>
        <v>186582.78216</v>
      </c>
      <c r="AH139" s="6">
        <f>[1]Production!AG28+[1]Production!AG30+[1]Production!AG32+[1]Production!AG34</f>
        <v>189116.24874000001</v>
      </c>
      <c r="AI139" s="6">
        <f>[1]Production!AH28+[1]Production!AH30+[1]Production!AH32+[1]Production!AH34</f>
        <v>191694.22409</v>
      </c>
      <c r="AJ139" s="6">
        <f>[1]Production!AI28+[1]Production!AI30+[1]Production!AI32+[1]Production!AI34</f>
        <v>194317.84966000001</v>
      </c>
      <c r="AK139" s="6">
        <f>[1]Production!AJ28+[1]Production!AJ30+[1]Production!AJ32+[1]Production!AJ34</f>
        <v>196987.62302999999</v>
      </c>
      <c r="AL139" s="6">
        <f>[1]Production!AK28+[1]Production!AK30+[1]Production!AK32+[1]Production!AK34</f>
        <v>199703.62133999998</v>
      </c>
      <c r="AM139" s="6">
        <f>[1]Production!AL28+[1]Production!AL30+[1]Production!AL32+[1]Production!AL34</f>
        <v>202386.14681999999</v>
      </c>
      <c r="AN139" s="6">
        <f>[1]Production!AM28+[1]Production!AM30+[1]Production!AM32+[1]Production!AM34</f>
        <v>205092.74452000001</v>
      </c>
      <c r="AO139" s="6">
        <f>[1]Production!AN28+[1]Production!AN30+[1]Production!AN32+[1]Production!AN34</f>
        <v>207829.62781999999</v>
      </c>
      <c r="AP139" s="6">
        <f>[1]Production!AO28+[1]Production!AO30+[1]Production!AO32+[1]Production!AO34</f>
        <v>210600.59207999997</v>
      </c>
      <c r="AQ139" s="6">
        <f>[1]Production!AP28+[1]Production!AP30+[1]Production!AP32+[1]Production!AP34</f>
        <v>213408.70077</v>
      </c>
      <c r="AR139" s="6">
        <f>[1]Production!AQ28+[1]Production!AQ30+[1]Production!AQ32+[1]Production!AQ34</f>
        <v>216256.60096000001</v>
      </c>
      <c r="AS139" s="6">
        <f>[1]Production!AR28+[1]Production!AR30+[1]Production!AR32+[1]Production!AR34</f>
        <v>219146.21961999999</v>
      </c>
      <c r="AT139" s="6">
        <f>[1]Production!AS28+[1]Production!AS30+[1]Production!AS32+[1]Production!AS34</f>
        <v>222079.04661999998</v>
      </c>
      <c r="AU139" s="6">
        <f>[1]Production!AT28+[1]Production!AT30+[1]Production!AT32+[1]Production!AT34</f>
        <v>225056.10119000002</v>
      </c>
      <c r="AV139" s="6">
        <f>[1]Production!AU28+[1]Production!AU30+[1]Production!AU32+[1]Production!AU34</f>
        <v>228078.02364000003</v>
      </c>
      <c r="AW139" s="6">
        <f>[1]Production!AV28+[1]Production!AV30+[1]Production!AV32+[1]Production!AV34</f>
        <v>231164.05572999999</v>
      </c>
      <c r="AX139" s="6">
        <f>[1]Production!AW28+[1]Production!AW30+[1]Production!AW32+[1]Production!AW34</f>
        <v>234311.82243</v>
      </c>
      <c r="AY139" s="6">
        <f>[1]Production!AX28+[1]Production!AX30+[1]Production!AX32+[1]Production!AX34</f>
        <v>237519.53941</v>
      </c>
      <c r="AZ139" s="6">
        <f>[1]Production!AY28+[1]Production!AY30+[1]Production!AY32+[1]Production!AY34</f>
        <v>240784.21327000001</v>
      </c>
      <c r="BA139" s="6">
        <f>[1]Production!AZ28+[1]Production!AZ30+[1]Production!AZ32+[1]Production!AZ34</f>
        <v>244103.39444</v>
      </c>
      <c r="BB139" s="6">
        <f>[1]Production!BA28+[1]Production!BA30+[1]Production!BA32+[1]Production!BA34</f>
        <v>260759.47897</v>
      </c>
      <c r="BC139" s="6">
        <f>[1]Production!BB28+[1]Production!BB30+[1]Production!BB32+[1]Production!BB34</f>
        <v>265033.33299999998</v>
      </c>
      <c r="BD139" s="6">
        <f>[1]Production!BC28+[1]Production!BC30+[1]Production!BC32+[1]Production!BC34</f>
        <v>269384.19571</v>
      </c>
      <c r="BE139" s="6">
        <f>[1]Production!BD28+[1]Production!BD30+[1]Production!BD32+[1]Production!BD34</f>
        <v>273813.54222999996</v>
      </c>
      <c r="BF139" s="6">
        <f>[1]Production!BE28+[1]Production!BE30+[1]Production!BE32+[1]Production!BE34</f>
        <v>278322.87751999998</v>
      </c>
    </row>
    <row r="140" spans="1:58" x14ac:dyDescent="0.35">
      <c r="B140" t="s">
        <v>10</v>
      </c>
      <c r="C140" s="6">
        <f>[1]Production!B36+[1]Production!B38</f>
        <v>2560737.7482000003</v>
      </c>
      <c r="D140" s="6">
        <f>[1]Production!C36+[1]Production!C38</f>
        <v>2593705.5504999999</v>
      </c>
      <c r="E140" s="6">
        <f>[1]Production!D36+[1]Production!D38</f>
        <v>2630048.7439000001</v>
      </c>
      <c r="F140" s="6">
        <f>[1]Production!E36+[1]Production!E38</f>
        <v>2668989.7885999996</v>
      </c>
      <c r="G140" s="6">
        <f>[1]Production!F36+[1]Production!F38</f>
        <v>2710334.3365000002</v>
      </c>
      <c r="H140" s="6">
        <f>[1]Production!G36+[1]Production!G38</f>
        <v>2753846.8021</v>
      </c>
      <c r="I140" s="6">
        <f>[1]Production!H36+[1]Production!H38</f>
        <v>2797503.3291000002</v>
      </c>
      <c r="J140" s="6">
        <f>[1]Production!I36+[1]Production!I38</f>
        <v>2842258.9027</v>
      </c>
      <c r="K140" s="6">
        <f>[1]Production!J36+[1]Production!J38</f>
        <v>2888085.4454000001</v>
      </c>
      <c r="L140" s="6">
        <f>[1]Production!K36+[1]Production!K38</f>
        <v>2934911.8341000001</v>
      </c>
      <c r="M140" s="6">
        <f>[1]Production!L36+[1]Production!L38</f>
        <v>2985806.2826999999</v>
      </c>
      <c r="N140" s="6">
        <f>[1]Production!M36+[1]Production!M38</f>
        <v>3035489.2693000003</v>
      </c>
      <c r="O140" s="6">
        <f>[1]Production!N36+[1]Production!N38</f>
        <v>3085680.9712999999</v>
      </c>
      <c r="P140" s="6">
        <f>[1]Production!O36+[1]Production!O38</f>
        <v>3136442.4097999996</v>
      </c>
      <c r="Q140" s="6">
        <f>[1]Production!P36+[1]Production!P38</f>
        <v>3187778.4818000002</v>
      </c>
      <c r="R140" s="6">
        <f>[1]Production!Q36+[1]Production!Q38</f>
        <v>3239697.0888</v>
      </c>
      <c r="S140" s="6">
        <f>[1]Production!R36+[1]Production!R38</f>
        <v>3292214.2856999999</v>
      </c>
      <c r="T140" s="6">
        <f>[1]Production!S36+[1]Production!S38</f>
        <v>3345360.2620999999</v>
      </c>
      <c r="U140" s="6">
        <f>[1]Production!T36+[1]Production!T38</f>
        <v>3399166.2234999998</v>
      </c>
      <c r="V140" s="6">
        <f>[1]Production!U36+[1]Production!U38</f>
        <v>3453663.5169000002</v>
      </c>
      <c r="W140" s="6">
        <f>[1]Production!V36+[1]Production!V38</f>
        <v>3506531.5251000002</v>
      </c>
      <c r="X140" s="6">
        <f>[1]Production!W36+[1]Production!W38</f>
        <v>3561694.6501000002</v>
      </c>
      <c r="Y140" s="6">
        <f>[1]Production!X36+[1]Production!X38</f>
        <v>3617857.5728000002</v>
      </c>
      <c r="Z140" s="6">
        <f>[1]Production!Y36+[1]Production!Y38</f>
        <v>3674966.398</v>
      </c>
      <c r="AA140" s="6">
        <f>[1]Production!Z36+[1]Production!Z38</f>
        <v>3733015.1491999999</v>
      </c>
      <c r="AB140" s="6">
        <f>[1]Production!AA36+[1]Production!AA38</f>
        <v>3785184.1780000003</v>
      </c>
      <c r="AC140" s="6">
        <f>[1]Production!AB36+[1]Production!AB38</f>
        <v>3839532.3926999997</v>
      </c>
      <c r="AD140" s="6">
        <f>[1]Production!AC36+[1]Production!AC38</f>
        <v>3894316.7139000003</v>
      </c>
      <c r="AE140" s="6">
        <f>[1]Production!AD36+[1]Production!AD38</f>
        <v>3949611.9040000001</v>
      </c>
      <c r="AF140" s="6">
        <f>[1]Production!AE36+[1]Production!AE38</f>
        <v>4005537.4431000003</v>
      </c>
      <c r="AG140" s="6">
        <f>[1]Production!AF36+[1]Production!AF38</f>
        <v>4062197.6219000001</v>
      </c>
      <c r="AH140" s="6">
        <f>[1]Production!AG36+[1]Production!AG38</f>
        <v>4119670.0627000001</v>
      </c>
      <c r="AI140" s="6">
        <f>[1]Production!AH36+[1]Production!AH38</f>
        <v>4178003.9473999999</v>
      </c>
      <c r="AJ140" s="6">
        <f>[1]Production!AI36+[1]Production!AI38</f>
        <v>4237228.2358999997</v>
      </c>
      <c r="AK140" s="6">
        <f>[1]Production!AJ36+[1]Production!AJ38</f>
        <v>4297357.2018999998</v>
      </c>
      <c r="AL140" s="6">
        <f>[1]Production!AK36+[1]Production!AK38</f>
        <v>4358396.0865000002</v>
      </c>
      <c r="AM140" s="6">
        <f>[1]Production!AL36+[1]Production!AL38</f>
        <v>4418692.2773000002</v>
      </c>
      <c r="AN140" s="6">
        <f>[1]Production!AM36+[1]Production!AM38</f>
        <v>4479311.4187000003</v>
      </c>
      <c r="AO140" s="6">
        <f>[1]Production!AN36+[1]Production!AN38</f>
        <v>4540408.9078000002</v>
      </c>
      <c r="AP140" s="6">
        <f>[1]Production!AO36+[1]Production!AO38</f>
        <v>4602089.3937999997</v>
      </c>
      <c r="AQ140" s="6">
        <f>[1]Production!AP36+[1]Production!AP38</f>
        <v>4664440.9036999997</v>
      </c>
      <c r="AR140" s="6">
        <f>[1]Production!AQ36+[1]Production!AQ38</f>
        <v>4727540.3885000004</v>
      </c>
      <c r="AS140" s="6">
        <f>[1]Production!AR36+[1]Production!AR38</f>
        <v>4791447.8940000003</v>
      </c>
      <c r="AT140" s="6">
        <f>[1]Production!AS36+[1]Production!AS38</f>
        <v>4856211.0389999999</v>
      </c>
      <c r="AU140" s="6">
        <f>[1]Production!AT36+[1]Production!AT38</f>
        <v>4921865.0939999996</v>
      </c>
      <c r="AV140" s="6">
        <f>[1]Production!AU36+[1]Production!AU38</f>
        <v>4988435.3090000004</v>
      </c>
      <c r="AW140" s="6">
        <f>[1]Production!AV36+[1]Production!AV38</f>
        <v>5056379.5189999994</v>
      </c>
      <c r="AX140" s="6">
        <f>[1]Production!AW36+[1]Production!AW38</f>
        <v>5125656.3640000001</v>
      </c>
      <c r="AY140" s="6">
        <f>[1]Production!AX36+[1]Production!AX38</f>
        <v>5196191.8479999993</v>
      </c>
      <c r="AZ140" s="6">
        <f>[1]Production!AY36+[1]Production!AY38</f>
        <v>5267886.648</v>
      </c>
      <c r="BA140" s="6">
        <f>[1]Production!AZ36+[1]Production!AZ38</f>
        <v>5340665.4409999996</v>
      </c>
      <c r="BB140" s="6">
        <f>[1]Production!BA36+[1]Production!BA38</f>
        <v>5776445.5920000002</v>
      </c>
      <c r="BC140" s="6">
        <f>[1]Production!BB36+[1]Production!BB38</f>
        <v>5873018.5240000002</v>
      </c>
      <c r="BD140" s="6">
        <f>[1]Production!BC36+[1]Production!BC38</f>
        <v>5971154.8660000004</v>
      </c>
      <c r="BE140" s="6">
        <f>[1]Production!BD36+[1]Production!BD38</f>
        <v>6070882.9589999998</v>
      </c>
      <c r="BF140" s="6">
        <f>[1]Production!BE36+[1]Production!BE38</f>
        <v>6172232.9479999999</v>
      </c>
    </row>
    <row r="141" spans="1:58" x14ac:dyDescent="0.35">
      <c r="B141" t="s">
        <v>29</v>
      </c>
      <c r="C141" s="6">
        <f>[1]Production!B42+[1]Production!B46</f>
        <v>35887.182534300002</v>
      </c>
      <c r="D141" s="6">
        <f>[1]Production!C42+[1]Production!C46</f>
        <v>36173.510210799999</v>
      </c>
      <c r="E141" s="6">
        <f>[1]Production!D42+[1]Production!D46</f>
        <v>36444.716049899995</v>
      </c>
      <c r="F141" s="6">
        <f>[1]Production!E42+[1]Production!E46</f>
        <v>36745.820367399996</v>
      </c>
      <c r="G141" s="6">
        <f>[1]Production!F42+[1]Production!F46</f>
        <v>37090.620987999995</v>
      </c>
      <c r="H141" s="6">
        <f>[1]Production!G42+[1]Production!G46</f>
        <v>37477.371855899997</v>
      </c>
      <c r="I141" s="6">
        <f>[1]Production!H42+[1]Production!H46</f>
        <v>37878.388620400001</v>
      </c>
      <c r="J141" s="6">
        <f>[1]Production!I42+[1]Production!I46</f>
        <v>38302.347705699998</v>
      </c>
      <c r="K141" s="6">
        <f>[1]Production!J42+[1]Production!J46</f>
        <v>38745.514593799999</v>
      </c>
      <c r="L141" s="6">
        <f>[1]Production!K42+[1]Production!K46</f>
        <v>39204.322172700005</v>
      </c>
      <c r="M141" s="6">
        <f>[1]Production!L42+[1]Production!L46</f>
        <v>39713.144105300002</v>
      </c>
      <c r="N141" s="6">
        <f>[1]Production!M42+[1]Production!M46</f>
        <v>40205.771324300003</v>
      </c>
      <c r="O141" s="6">
        <f>[1]Production!N42+[1]Production!N46</f>
        <v>40704.754459000003</v>
      </c>
      <c r="P141" s="6">
        <f>[1]Production!O42+[1]Production!O46</f>
        <v>41211.212091300004</v>
      </c>
      <c r="Q141" s="6">
        <f>[1]Production!P42+[1]Production!P46</f>
        <v>41724.941035199998</v>
      </c>
      <c r="R141" s="6">
        <f>[1]Production!Q42+[1]Production!Q46</f>
        <v>42245.644403999999</v>
      </c>
      <c r="S141" s="6">
        <f>[1]Production!R42+[1]Production!R46</f>
        <v>42773.258440500002</v>
      </c>
      <c r="T141" s="6">
        <f>[1]Production!S42+[1]Production!S46</f>
        <v>43307.604620799997</v>
      </c>
      <c r="U141" s="6">
        <f>[1]Production!T42+[1]Production!T46</f>
        <v>43848.638666000006</v>
      </c>
      <c r="V141" s="6">
        <f>[1]Production!U42+[1]Production!U46</f>
        <v>44396.3816305</v>
      </c>
      <c r="W141" s="6">
        <f>[1]Production!V42+[1]Production!V46</f>
        <v>44923.474997499994</v>
      </c>
      <c r="X141" s="6">
        <f>[1]Production!W42+[1]Production!W46</f>
        <v>45477.785000700002</v>
      </c>
      <c r="Y141" s="6">
        <f>[1]Production!X42+[1]Production!X46</f>
        <v>46041.634071399996</v>
      </c>
      <c r="Z141" s="6">
        <f>[1]Production!Y42+[1]Production!Y46</f>
        <v>46613.640373099995</v>
      </c>
      <c r="AA141" s="6">
        <f>[1]Production!Z42+[1]Production!Z46</f>
        <v>47193.598998699999</v>
      </c>
      <c r="AB141" s="6">
        <f>[1]Production!AA42+[1]Production!AA46</f>
        <v>47702.386582499996</v>
      </c>
      <c r="AC141" s="6">
        <f>[1]Production!AB42+[1]Production!AB46</f>
        <v>48240.397950799997</v>
      </c>
      <c r="AD141" s="6">
        <f>[1]Production!AC42+[1]Production!AC46</f>
        <v>48783.758715099997</v>
      </c>
      <c r="AE141" s="6">
        <f>[1]Production!AD42+[1]Production!AD46</f>
        <v>49331.674625699998</v>
      </c>
      <c r="AF141" s="6">
        <f>[1]Production!AE42+[1]Production!AE46</f>
        <v>49884.7365603</v>
      </c>
      <c r="AG141" s="6">
        <f>[1]Production!AF42+[1]Production!AF46</f>
        <v>50443.687279100006</v>
      </c>
      <c r="AH141" s="6">
        <f>[1]Production!AG42+[1]Production!AG46</f>
        <v>51009.142691399997</v>
      </c>
      <c r="AI141" s="6">
        <f>[1]Production!AH42+[1]Production!AH46</f>
        <v>51581.652005999997</v>
      </c>
      <c r="AJ141" s="6">
        <f>[1]Production!AI42+[1]Production!AI46</f>
        <v>52161.623021599997</v>
      </c>
      <c r="AK141" s="6">
        <f>[1]Production!AJ42+[1]Production!AJ46</f>
        <v>52749.353542299999</v>
      </c>
      <c r="AL141" s="6">
        <f>[1]Production!AK42+[1]Production!AK46</f>
        <v>53345.056083900003</v>
      </c>
      <c r="AM141" s="6">
        <f>[1]Production!AL42+[1]Production!AL46</f>
        <v>53929.417359300001</v>
      </c>
      <c r="AN141" s="6">
        <f>[1]Production!AM42+[1]Production!AM46</f>
        <v>54516.828374600002</v>
      </c>
      <c r="AO141" s="6">
        <f>[1]Production!AN42+[1]Production!AN46</f>
        <v>55109.171846199999</v>
      </c>
      <c r="AP141" s="6">
        <f>[1]Production!AO42+[1]Production!AO46</f>
        <v>55707.265535600003</v>
      </c>
      <c r="AQ141" s="6">
        <f>[1]Production!AP42+[1]Production!AP46</f>
        <v>56311.688251500003</v>
      </c>
      <c r="AR141" s="6">
        <f>[1]Production!AQ42+[1]Production!AQ46</f>
        <v>56922.8582847</v>
      </c>
      <c r="AS141" s="6">
        <f>[1]Production!AR42+[1]Production!AR46</f>
        <v>57541.217164000002</v>
      </c>
      <c r="AT141" s="6">
        <f>[1]Production!AS42+[1]Production!AS46</f>
        <v>58167.1062342</v>
      </c>
      <c r="AU141" s="6">
        <f>[1]Production!AT42+[1]Production!AT46</f>
        <v>58800.791236899997</v>
      </c>
      <c r="AV141" s="6">
        <f>[1]Production!AU42+[1]Production!AU46</f>
        <v>59442.474110199997</v>
      </c>
      <c r="AW141" s="6">
        <f>[1]Production!AV42+[1]Production!AV46</f>
        <v>60091.319912300001</v>
      </c>
      <c r="AX141" s="6">
        <f>[1]Production!AW42+[1]Production!AW46</f>
        <v>60747.373042300002</v>
      </c>
      <c r="AY141" s="6">
        <f>[1]Production!AX42+[1]Production!AX46</f>
        <v>61411.844288300003</v>
      </c>
      <c r="AZ141" s="6">
        <f>[1]Production!AY42+[1]Production!AY46</f>
        <v>62085.619594699994</v>
      </c>
      <c r="BA141" s="6">
        <f>[1]Production!AZ42+[1]Production!AZ46</f>
        <v>62769.235024599999</v>
      </c>
      <c r="BB141" s="6">
        <f>[1]Production!BA42+[1]Production!BA46</f>
        <v>68692.123913799995</v>
      </c>
      <c r="BC141" s="6">
        <f>[1]Production!BB42+[1]Production!BB46</f>
        <v>69691.991126299996</v>
      </c>
      <c r="BD141" s="6">
        <f>[1]Production!BC42+[1]Production!BC46</f>
        <v>70708.185975899993</v>
      </c>
      <c r="BE141" s="6">
        <f>[1]Production!BD42+[1]Production!BD46</f>
        <v>71741.107410299999</v>
      </c>
      <c r="BF141" s="6">
        <f>[1]Production!BE42+[1]Production!BE46</f>
        <v>72791.177043200005</v>
      </c>
    </row>
    <row r="142" spans="1:58" x14ac:dyDescent="0.35">
      <c r="B142" t="s">
        <v>36</v>
      </c>
      <c r="C142" s="6">
        <f>+[1]Production!B44+[1]Production!B48</f>
        <v>4494.5425691999999</v>
      </c>
      <c r="D142" s="6">
        <f>+[1]Production!C44+[1]Production!C48</f>
        <v>4522.9492951000002</v>
      </c>
      <c r="E142" s="6">
        <f>+[1]Production!D44+[1]Production!D48</f>
        <v>4548.7743806999997</v>
      </c>
      <c r="F142" s="6">
        <f>+[1]Production!E44+[1]Production!E48</f>
        <v>4579.5537486000003</v>
      </c>
      <c r="G142" s="6">
        <f>+[1]Production!F44+[1]Production!F48</f>
        <v>4617.2552513000001</v>
      </c>
      <c r="H142" s="6">
        <f>+[1]Production!G44+[1]Production!G48</f>
        <v>4661.3891909000004</v>
      </c>
      <c r="I142" s="6">
        <f>+[1]Production!H44+[1]Production!H48</f>
        <v>4708.3978180000004</v>
      </c>
      <c r="J142" s="6">
        <f>+[1]Production!I44+[1]Production!I48</f>
        <v>4758.8853952999998</v>
      </c>
      <c r="K142" s="6">
        <f>+[1]Production!J44+[1]Production!J48</f>
        <v>4812.1244089000002</v>
      </c>
      <c r="L142" s="6">
        <f>+[1]Production!K44+[1]Production!K48</f>
        <v>4867.5187437000004</v>
      </c>
      <c r="M142" s="6">
        <f>+[1]Production!L44+[1]Production!L48</f>
        <v>4928.8475402000004</v>
      </c>
      <c r="N142" s="6">
        <f>+[1]Production!M44+[1]Production!M48</f>
        <v>4988.5474481000001</v>
      </c>
      <c r="O142" s="6">
        <f>+[1]Production!N44+[1]Production!N48</f>
        <v>5049.1474613999999</v>
      </c>
      <c r="P142" s="6">
        <f>+[1]Production!O44+[1]Production!O48</f>
        <v>5110.6760434999997</v>
      </c>
      <c r="Q142" s="6">
        <f>+[1]Production!P44+[1]Production!P48</f>
        <v>5173.0643662000002</v>
      </c>
      <c r="R142" s="6">
        <f>+[1]Production!Q44+[1]Production!Q48</f>
        <v>5236.2516089999999</v>
      </c>
      <c r="S142" s="6">
        <f>+[1]Production!R44+[1]Production!R48</f>
        <v>5300.2107529000004</v>
      </c>
      <c r="T142" s="6">
        <f>+[1]Production!S44+[1]Production!S48</f>
        <v>5364.9078568000004</v>
      </c>
      <c r="U142" s="6">
        <f>+[1]Production!T44+[1]Production!T48</f>
        <v>5430.3281146999998</v>
      </c>
      <c r="V142" s="6">
        <f>+[1]Production!U44+[1]Production!U48</f>
        <v>5496.4654484000002</v>
      </c>
      <c r="W142" s="6">
        <f>+[1]Production!V44+[1]Production!V48</f>
        <v>5560.2035754999997</v>
      </c>
      <c r="X142" s="6">
        <f>+[1]Production!W44+[1]Production!W48</f>
        <v>5626.9475342000005</v>
      </c>
      <c r="Y142" s="6">
        <f>+[1]Production!X44+[1]Production!X48</f>
        <v>5694.6623153999999</v>
      </c>
      <c r="Z142" s="6">
        <f>+[1]Production!Y44+[1]Production!Y48</f>
        <v>5763.2281590000002</v>
      </c>
      <c r="AA142" s="6">
        <f>+[1]Production!Z44+[1]Production!Z48</f>
        <v>5832.6291154</v>
      </c>
      <c r="AB142" s="6">
        <f>+[1]Production!AA44+[1]Production!AA48</f>
        <v>5893.8748344999995</v>
      </c>
      <c r="AC142" s="6">
        <f>+[1]Production!AB44+[1]Production!AB48</f>
        <v>5958.3012576000001</v>
      </c>
      <c r="AD142" s="6">
        <f>+[1]Production!AC44+[1]Production!AC48</f>
        <v>6023.0990559000002</v>
      </c>
      <c r="AE142" s="6">
        <f>+[1]Production!AD44+[1]Production!AD48</f>
        <v>6088.2352390999995</v>
      </c>
      <c r="AF142" s="6">
        <f>+[1]Production!AE44+[1]Production!AE48</f>
        <v>6153.8036790999995</v>
      </c>
      <c r="AG142" s="6">
        <f>+[1]Production!AF44+[1]Production!AF48</f>
        <v>6219.9084710999996</v>
      </c>
      <c r="AH142" s="6">
        <f>+[1]Production!AG44+[1]Production!AG48</f>
        <v>6286.6365407999992</v>
      </c>
      <c r="AI142" s="6">
        <f>+[1]Production!AH44+[1]Production!AH48</f>
        <v>6354.0645645000004</v>
      </c>
      <c r="AJ142" s="6">
        <f>+[1]Production!AI44+[1]Production!AI48</f>
        <v>6422.2508458000002</v>
      </c>
      <c r="AK142" s="6">
        <f>+[1]Production!AJ44+[1]Production!AJ48</f>
        <v>6491.2396903999997</v>
      </c>
      <c r="AL142" s="6">
        <f>+[1]Production!AK44+[1]Production!AK48</f>
        <v>6561.0645880000002</v>
      </c>
      <c r="AM142" s="6">
        <f>+[1]Production!AL44+[1]Production!AL48</f>
        <v>6629.5449779999999</v>
      </c>
      <c r="AN142" s="6">
        <f>+[1]Production!AM44+[1]Production!AM48</f>
        <v>6698.3100406000003</v>
      </c>
      <c r="AO142" s="6">
        <f>+[1]Production!AN44+[1]Production!AN48</f>
        <v>6767.5469691999997</v>
      </c>
      <c r="AP142" s="6">
        <f>+[1]Production!AO44+[1]Production!AO48</f>
        <v>6837.3502657999998</v>
      </c>
      <c r="AQ142" s="6">
        <f>+[1]Production!AP44+[1]Production!AP48</f>
        <v>6907.7952275999996</v>
      </c>
      <c r="AR142" s="6">
        <f>+[1]Production!AQ44+[1]Production!AQ48</f>
        <v>6978.9416987999994</v>
      </c>
      <c r="AS142" s="6">
        <f>+[1]Production!AR44+[1]Production!AR48</f>
        <v>7050.8516233</v>
      </c>
      <c r="AT142" s="6">
        <f>+[1]Production!AS44+[1]Production!AS48</f>
        <v>7123.5737902000001</v>
      </c>
      <c r="AU142" s="6">
        <f>+[1]Production!AT44+[1]Production!AT48</f>
        <v>7197.1468753999998</v>
      </c>
      <c r="AV142" s="6">
        <f>+[1]Production!AU44+[1]Production!AU48</f>
        <v>7271.6007758999995</v>
      </c>
      <c r="AW142" s="6">
        <f>+[1]Production!AV44+[1]Production!AV48</f>
        <v>7346.7928505999998</v>
      </c>
      <c r="AX142" s="6">
        <f>+[1]Production!AW44+[1]Production!AW48</f>
        <v>7422.7225097</v>
      </c>
      <c r="AY142" s="6">
        <f>+[1]Production!AX44+[1]Production!AX48</f>
        <v>7499.5307559000003</v>
      </c>
      <c r="AZ142" s="6">
        <f>+[1]Production!AY44+[1]Production!AY48</f>
        <v>7577.3223191999996</v>
      </c>
      <c r="BA142" s="6">
        <f>+[1]Production!AZ44+[1]Production!AZ48</f>
        <v>7656.1624089999996</v>
      </c>
      <c r="BB142" s="6">
        <f>+[1]Production!BA44+[1]Production!BA48</f>
        <v>8422.0498750000006</v>
      </c>
      <c r="BC142" s="6">
        <f>+[1]Production!BB44+[1]Production!BB48</f>
        <v>8540.0032289999999</v>
      </c>
      <c r="BD142" s="6">
        <f>+[1]Production!BC44+[1]Production!BC48</f>
        <v>8659.8261920000004</v>
      </c>
      <c r="BE142" s="6">
        <f>+[1]Production!BD44+[1]Production!BD48</f>
        <v>8781.5734149999989</v>
      </c>
      <c r="BF142" s="6">
        <f>+[1]Production!BE44+[1]Production!BE48</f>
        <v>8905.3025539999999</v>
      </c>
    </row>
    <row r="143" spans="1:58" x14ac:dyDescent="0.35">
      <c r="B143" t="s">
        <v>33</v>
      </c>
      <c r="C143" s="6">
        <f>[1]Production!B50+[1]Production!B52+[1]Production!B54+[1]Production!B56+[1]Production!B58+[1]Production!B60+[1]Production!B62+[1]Production!B64+[1]Production!B66</f>
        <v>67883.079156500011</v>
      </c>
      <c r="D143" s="6">
        <f>[1]Production!C50+[1]Production!C52+[1]Production!C54+[1]Production!C56+[1]Production!C58+[1]Production!C60+[1]Production!C62+[1]Production!C64+[1]Production!C66</f>
        <v>68489.183499000006</v>
      </c>
      <c r="E143" s="6">
        <f>[1]Production!D50+[1]Production!D52+[1]Production!D54+[1]Production!D56+[1]Production!D58+[1]Production!D60+[1]Production!D62+[1]Production!D64+[1]Production!D66</f>
        <v>68993.948294700007</v>
      </c>
      <c r="F143" s="6">
        <f>[1]Production!E50+[1]Production!E52+[1]Production!E54+[1]Production!E56+[1]Production!E58+[1]Production!E60+[1]Production!E62+[1]Production!E64+[1]Production!E66</f>
        <v>69486.662030799998</v>
      </c>
      <c r="G143" s="6">
        <f>[1]Production!F50+[1]Production!F52+[1]Production!F54+[1]Production!F56+[1]Production!F58+[1]Production!F60+[1]Production!F62+[1]Production!F64+[1]Production!F66</f>
        <v>70010.704573200012</v>
      </c>
      <c r="H143" s="6">
        <f>[1]Production!G50+[1]Production!G52+[1]Production!G54+[1]Production!G56+[1]Production!G58+[1]Production!G60+[1]Production!G62+[1]Production!G64+[1]Production!G66</f>
        <v>70579.956932500005</v>
      </c>
      <c r="I143" s="6">
        <f>[1]Production!H50+[1]Production!H52+[1]Production!H54+[1]Production!H56+[1]Production!H58+[1]Production!H60+[1]Production!H62+[1]Production!H64+[1]Production!H66</f>
        <v>71156.908495700001</v>
      </c>
      <c r="J143" s="6">
        <f>[1]Production!I50+[1]Production!I52+[1]Production!I54+[1]Production!I56+[1]Production!I58+[1]Production!I60+[1]Production!I62+[1]Production!I64+[1]Production!I66</f>
        <v>71757.226555400004</v>
      </c>
      <c r="K143" s="6">
        <f>[1]Production!J50+[1]Production!J52+[1]Production!J54+[1]Production!J56+[1]Production!J58+[1]Production!J60+[1]Production!J62+[1]Production!J64+[1]Production!J66</f>
        <v>72379.965195500001</v>
      </c>
      <c r="L143" s="6">
        <f>[1]Production!K50+[1]Production!K52+[1]Production!K54+[1]Production!K56+[1]Production!K58+[1]Production!K60+[1]Production!K62+[1]Production!K64+[1]Production!K66</f>
        <v>73021.95709489999</v>
      </c>
      <c r="M143" s="6">
        <f>[1]Production!L50+[1]Production!L52+[1]Production!L54+[1]Production!L56+[1]Production!L58+[1]Production!L60+[1]Production!L62+[1]Production!L64+[1]Production!L66</f>
        <v>73744.442658699991</v>
      </c>
      <c r="N143" s="6">
        <f>[1]Production!M50+[1]Production!M52+[1]Production!M54+[1]Production!M56+[1]Production!M58+[1]Production!M60+[1]Production!M62+[1]Production!M64+[1]Production!M66</f>
        <v>74442.188737500008</v>
      </c>
      <c r="O143" s="6">
        <f>[1]Production!N50+[1]Production!N52+[1]Production!N54+[1]Production!N56+[1]Production!N58+[1]Production!N60+[1]Production!N62+[1]Production!N64+[1]Production!N66</f>
        <v>75141.921444899999</v>
      </c>
      <c r="P143" s="6">
        <f>[1]Production!O50+[1]Production!O52+[1]Production!O54+[1]Production!O56+[1]Production!O58+[1]Production!O60+[1]Production!O62+[1]Production!O64+[1]Production!O66</f>
        <v>75848.981438999996</v>
      </c>
      <c r="Q143" s="6">
        <f>[1]Production!P50+[1]Production!P52+[1]Production!P54+[1]Production!P56+[1]Production!P58+[1]Production!P60+[1]Production!P62+[1]Production!P64+[1]Production!P66</f>
        <v>76564.848727000019</v>
      </c>
      <c r="R143" s="6">
        <f>[1]Production!Q50+[1]Production!Q52+[1]Production!Q54+[1]Production!Q56+[1]Production!Q58+[1]Production!Q60+[1]Production!Q62+[1]Production!Q64+[1]Production!Q66</f>
        <v>77289.980238199991</v>
      </c>
      <c r="S143" s="6">
        <f>[1]Production!R50+[1]Production!R52+[1]Production!R54+[1]Production!R56+[1]Production!R58+[1]Production!R60+[1]Production!R62+[1]Production!R64+[1]Production!R66</f>
        <v>78024.964862399996</v>
      </c>
      <c r="T143" s="6">
        <f>[1]Production!S50+[1]Production!S52+[1]Production!S54+[1]Production!S56+[1]Production!S58+[1]Production!S60+[1]Production!S62+[1]Production!S64+[1]Production!S66</f>
        <v>78769.856031499992</v>
      </c>
      <c r="U143" s="6">
        <f>[1]Production!T50+[1]Production!T52+[1]Production!T54+[1]Production!T56+[1]Production!T58+[1]Production!T60+[1]Production!T62+[1]Production!T64+[1]Production!T66</f>
        <v>79524.8129586</v>
      </c>
      <c r="V143" s="6">
        <f>[1]Production!U50+[1]Production!U52+[1]Production!U54+[1]Production!U56+[1]Production!U58+[1]Production!U60+[1]Production!U62+[1]Production!U64+[1]Production!U66</f>
        <v>80290.136157600005</v>
      </c>
      <c r="W143" s="6">
        <f>[1]Production!V50+[1]Production!V52+[1]Production!V54+[1]Production!V56+[1]Production!V58+[1]Production!V60+[1]Production!V62+[1]Production!V64+[1]Production!V66</f>
        <v>81019.69695160001</v>
      </c>
      <c r="X143" s="6">
        <f>[1]Production!W50+[1]Production!W52+[1]Production!W54+[1]Production!W56+[1]Production!W58+[1]Production!W60+[1]Production!W62+[1]Production!W64+[1]Production!W66</f>
        <v>81789.359358899994</v>
      </c>
      <c r="Y143" s="6">
        <f>[1]Production!X50+[1]Production!X52+[1]Production!X54+[1]Production!X56+[1]Production!X58+[1]Production!X60+[1]Production!X62+[1]Production!X64+[1]Production!X66</f>
        <v>82579.0461412</v>
      </c>
      <c r="Z143" s="6">
        <f>[1]Production!Y50+[1]Production!Y52+[1]Production!Y54+[1]Production!Y56+[1]Production!Y58+[1]Production!Y60+[1]Production!Y62+[1]Production!Y64+[1]Production!Y66</f>
        <v>83384.8225408</v>
      </c>
      <c r="AA143" s="6">
        <f>[1]Production!Z50+[1]Production!Z52+[1]Production!Z54+[1]Production!Z56+[1]Production!Z58+[1]Production!Z60+[1]Production!Z62+[1]Production!Z64+[1]Production!Z66</f>
        <v>84205.720006999982</v>
      </c>
      <c r="AB143" s="6">
        <f>[1]Production!AA50+[1]Production!AA52+[1]Production!AA54+[1]Production!AA56+[1]Production!AA58+[1]Production!AA60+[1]Production!AA62+[1]Production!AA64+[1]Production!AA66</f>
        <v>84908.499131000004</v>
      </c>
      <c r="AC143" s="6">
        <f>[1]Production!AB50+[1]Production!AB52+[1]Production!AB54+[1]Production!AB56+[1]Production!AB58+[1]Production!AB60+[1]Production!AB62+[1]Production!AB64+[1]Production!AB66</f>
        <v>85645.555555000014</v>
      </c>
      <c r="AD143" s="6">
        <f>[1]Production!AC50+[1]Production!AC52+[1]Production!AC54+[1]Production!AC56+[1]Production!AC58+[1]Production!AC60+[1]Production!AC62+[1]Production!AC64+[1]Production!AC66</f>
        <v>86396.429267600004</v>
      </c>
      <c r="AE143" s="6">
        <f>[1]Production!AD50+[1]Production!AD52+[1]Production!AD54+[1]Production!AD56+[1]Production!AD58+[1]Production!AD60+[1]Production!AD62+[1]Production!AD64+[1]Production!AD66</f>
        <v>87159.576503700009</v>
      </c>
      <c r="AF143" s="6">
        <f>[1]Production!AE50+[1]Production!AE52+[1]Production!AE54+[1]Production!AE56+[1]Production!AE58+[1]Production!AE60+[1]Production!AE62+[1]Production!AE64+[1]Production!AE66</f>
        <v>87936.019343499996</v>
      </c>
      <c r="AG143" s="6">
        <f>[1]Production!AF50+[1]Production!AF52+[1]Production!AF54+[1]Production!AF56+[1]Production!AF58+[1]Production!AF60+[1]Production!AF62+[1]Production!AF64+[1]Production!AF66</f>
        <v>88727.148146699998</v>
      </c>
      <c r="AH143" s="6">
        <f>[1]Production!AG50+[1]Production!AG52+[1]Production!AG54+[1]Production!AG56+[1]Production!AG58+[1]Production!AG60+[1]Production!AG62+[1]Production!AG64+[1]Production!AG66</f>
        <v>89534.09594460002</v>
      </c>
      <c r="AI143" s="6">
        <f>[1]Production!AH50+[1]Production!AH52+[1]Production!AH54+[1]Production!AH56+[1]Production!AH58+[1]Production!AH60+[1]Production!AH62+[1]Production!AH64+[1]Production!AH66</f>
        <v>90357.873944499996</v>
      </c>
      <c r="AJ143" s="6">
        <f>[1]Production!AI50+[1]Production!AI52+[1]Production!AI54+[1]Production!AI56+[1]Production!AI58+[1]Production!AI60+[1]Production!AI62+[1]Production!AI64+[1]Production!AI66</f>
        <v>91199.202818099962</v>
      </c>
      <c r="AK143" s="6">
        <f>[1]Production!AJ50+[1]Production!AJ52+[1]Production!AJ54+[1]Production!AJ56+[1]Production!AJ58+[1]Production!AJ60+[1]Production!AJ62+[1]Production!AJ64+[1]Production!AJ66</f>
        <v>92058.531904100004</v>
      </c>
      <c r="AL143" s="6">
        <f>[1]Production!AK50+[1]Production!AK52+[1]Production!AK54+[1]Production!AK56+[1]Production!AK58+[1]Production!AK60+[1]Production!AK62+[1]Production!AK64+[1]Production!AK66</f>
        <v>92936.084275900008</v>
      </c>
      <c r="AM143" s="6">
        <f>[1]Production!AL50+[1]Production!AL52+[1]Production!AL54+[1]Production!AL56+[1]Production!AL58+[1]Production!AL60+[1]Production!AL62+[1]Production!AL64+[1]Production!AL66</f>
        <v>93799.369609099987</v>
      </c>
      <c r="AN143" s="6">
        <f>[1]Production!AM50+[1]Production!AM52+[1]Production!AM54+[1]Production!AM56+[1]Production!AM58+[1]Production!AM60+[1]Production!AM62+[1]Production!AM64+[1]Production!AM66</f>
        <v>94667.982950200007</v>
      </c>
      <c r="AO143" s="6">
        <f>[1]Production!AN50+[1]Production!AN52+[1]Production!AN54+[1]Production!AN56+[1]Production!AN58+[1]Production!AN60+[1]Production!AN62+[1]Production!AN64+[1]Production!AN66</f>
        <v>95547.437626400002</v>
      </c>
      <c r="AP143" s="6">
        <f>[1]Production!AO50+[1]Production!AO52+[1]Production!AO54+[1]Production!AO56+[1]Production!AO58+[1]Production!AO60+[1]Production!AO62+[1]Production!AO64+[1]Production!AO66</f>
        <v>96440.168586899992</v>
      </c>
      <c r="AQ143" s="6">
        <f>[1]Production!AP50+[1]Production!AP52+[1]Production!AP54+[1]Production!AP56+[1]Production!AP58+[1]Production!AP60+[1]Production!AP62+[1]Production!AP64+[1]Production!AP66</f>
        <v>97347.527568699996</v>
      </c>
      <c r="AR143" s="6">
        <f>[1]Production!AQ50+[1]Production!AQ52+[1]Production!AQ54+[1]Production!AQ56+[1]Production!AQ58+[1]Production!AQ60+[1]Production!AQ62+[1]Production!AQ64+[1]Production!AQ66</f>
        <v>98270.204603499995</v>
      </c>
      <c r="AS143" s="6">
        <f>[1]Production!AR50+[1]Production!AR52+[1]Production!AR54+[1]Production!AR56+[1]Production!AR58+[1]Production!AR60+[1]Production!AR62+[1]Production!AR64+[1]Production!AR66</f>
        <v>99208.836081699992</v>
      </c>
      <c r="AT143" s="6">
        <f>[1]Production!AS50+[1]Production!AS52+[1]Production!AS54+[1]Production!AS56+[1]Production!AS58+[1]Production!AS60+[1]Production!AS62+[1]Production!AS64+[1]Production!AS66</f>
        <v>100163.85266189999</v>
      </c>
      <c r="AU143" s="6">
        <f>[1]Production!AT50+[1]Production!AT52+[1]Production!AT54+[1]Production!AT56+[1]Production!AT58+[1]Production!AT60+[1]Production!AT62+[1]Production!AT64+[1]Production!AT66</f>
        <v>101135.51702929998</v>
      </c>
      <c r="AV143" s="6">
        <f>[1]Production!AU50+[1]Production!AU52+[1]Production!AU54+[1]Production!AU56+[1]Production!AU58+[1]Production!AU60+[1]Production!AU62+[1]Production!AU64+[1]Production!AU66</f>
        <v>102123.9603395</v>
      </c>
      <c r="AW143" s="6">
        <f>[1]Production!AV50+[1]Production!AV52+[1]Production!AV54+[1]Production!AV56+[1]Production!AV58+[1]Production!AV60+[1]Production!AV62+[1]Production!AV64+[1]Production!AV66</f>
        <v>103124.38548580001</v>
      </c>
      <c r="AX143" s="6">
        <f>[1]Production!AW50+[1]Production!AW52+[1]Production!AW54+[1]Production!AW56+[1]Production!AW58+[1]Production!AW60+[1]Production!AW62+[1]Production!AW64+[1]Production!AW66</f>
        <v>104137.25111769998</v>
      </c>
      <c r="AY143" s="6">
        <f>[1]Production!AX50+[1]Production!AX52+[1]Production!AX54+[1]Production!AX56+[1]Production!AX58+[1]Production!AX60+[1]Production!AX62+[1]Production!AX64+[1]Production!AX66</f>
        <v>105166.588945</v>
      </c>
      <c r="AZ143" s="6">
        <f>[1]Production!AY50+[1]Production!AY52+[1]Production!AY54+[1]Production!AY56+[1]Production!AY58+[1]Production!AY60+[1]Production!AY62+[1]Production!AY64+[1]Production!AY66</f>
        <v>106216.1719298</v>
      </c>
      <c r="BA143" s="6">
        <f>[1]Production!AZ50+[1]Production!AZ52+[1]Production!AZ54+[1]Production!AZ56+[1]Production!AZ58+[1]Production!AZ60+[1]Production!AZ62+[1]Production!AZ64+[1]Production!AZ66</f>
        <v>107288.533756</v>
      </c>
      <c r="BB143" s="6">
        <f>[1]Production!BA50+[1]Production!BA52+[1]Production!BA54+[1]Production!BA56+[1]Production!BA58+[1]Production!BA60+[1]Production!BA62+[1]Production!BA64+[1]Production!BA66</f>
        <v>109335.0533368</v>
      </c>
      <c r="BC143" s="6">
        <f>[1]Production!BB50+[1]Production!BB52+[1]Production!BB54+[1]Production!BB56+[1]Production!BB58+[1]Production!BB60+[1]Production!BB62+[1]Production!BB64+[1]Production!BB66</f>
        <v>110686.17812879999</v>
      </c>
      <c r="BD143" s="6">
        <f>[1]Production!BC50+[1]Production!BC52+[1]Production!BC54+[1]Production!BC56+[1]Production!BC58+[1]Production!BC60+[1]Production!BC62+[1]Production!BC64+[1]Production!BC66</f>
        <v>112062.22437210001</v>
      </c>
      <c r="BE143" s="6">
        <f>[1]Production!BD50+[1]Production!BD52+[1]Production!BD54+[1]Production!BD56+[1]Production!BD58+[1]Production!BD60+[1]Production!BD62+[1]Production!BD64+[1]Production!BD66</f>
        <v>113463.31569790001</v>
      </c>
      <c r="BF143" s="6">
        <f>[1]Production!BE50+[1]Production!BE52+[1]Production!BE54+[1]Production!BE56+[1]Production!BE58+[1]Production!BE60+[1]Production!BE62+[1]Production!BE64+[1]Production!BE66</f>
        <v>114889.6136365</v>
      </c>
    </row>
    <row r="145" spans="1:5" x14ac:dyDescent="0.35">
      <c r="A145" s="12" t="s">
        <v>83</v>
      </c>
      <c r="B145" t="s">
        <v>14</v>
      </c>
      <c r="C145" s="7" t="s">
        <v>15</v>
      </c>
      <c r="D145" s="7" t="s">
        <v>16</v>
      </c>
      <c r="E145" s="7" t="s">
        <v>17</v>
      </c>
    </row>
    <row r="146" spans="1:5" x14ac:dyDescent="0.35">
      <c r="A146" t="s">
        <v>80</v>
      </c>
      <c r="B146" t="s">
        <v>40</v>
      </c>
      <c r="C146" s="4">
        <f t="shared" ref="C146:C153" si="65">(R136-R125)/R125</f>
        <v>-1.1362960533994339E-3</v>
      </c>
      <c r="D146" s="4">
        <f t="shared" ref="D146:D153" si="66">(S135-S124)/S124</f>
        <v>0</v>
      </c>
      <c r="E146" s="4">
        <f t="shared" ref="E146:E153" si="67">(AL136-AL125)/AL125</f>
        <v>-2.9327586790319233E-3</v>
      </c>
    </row>
    <row r="147" spans="1:5" x14ac:dyDescent="0.35">
      <c r="B147" t="s">
        <v>7</v>
      </c>
      <c r="C147" s="4">
        <f t="shared" si="65"/>
        <v>-1.1340099485631319E-2</v>
      </c>
      <c r="D147" s="4">
        <f t="shared" si="66"/>
        <v>-1.222673897231432E-3</v>
      </c>
      <c r="E147" s="4">
        <f t="shared" si="67"/>
        <v>-2.6452096374505702E-2</v>
      </c>
    </row>
    <row r="148" spans="1:5" x14ac:dyDescent="0.35">
      <c r="B148" t="s">
        <v>30</v>
      </c>
      <c r="C148" s="4">
        <f t="shared" si="65"/>
        <v>-1.0759415912861624E-3</v>
      </c>
      <c r="D148" s="4">
        <f t="shared" si="66"/>
        <v>-1.2055611778212051E-2</v>
      </c>
      <c r="E148" s="4">
        <f t="shared" si="67"/>
        <v>-2.9023236624378117E-3</v>
      </c>
    </row>
    <row r="149" spans="1:5" x14ac:dyDescent="0.35">
      <c r="B149" t="s">
        <v>9</v>
      </c>
      <c r="C149" s="4">
        <f t="shared" si="65"/>
        <v>-1.0988213547185922E-3</v>
      </c>
      <c r="D149" s="4">
        <f t="shared" si="66"/>
        <v>-1.1698138432313509E-3</v>
      </c>
      <c r="E149" s="4">
        <f t="shared" si="67"/>
        <v>-3.1421473436615993E-3</v>
      </c>
    </row>
    <row r="150" spans="1:5" x14ac:dyDescent="0.35">
      <c r="B150" t="s">
        <v>10</v>
      </c>
      <c r="C150" s="4">
        <f t="shared" si="65"/>
        <v>-1.1091445574766066E-3</v>
      </c>
      <c r="D150" s="4">
        <f t="shared" si="66"/>
        <v>-1.1933615134075849E-3</v>
      </c>
      <c r="E150" s="4">
        <f t="shared" si="67"/>
        <v>-2.697554856317444E-3</v>
      </c>
    </row>
    <row r="151" spans="1:5" x14ac:dyDescent="0.35">
      <c r="B151" t="s">
        <v>29</v>
      </c>
      <c r="C151" s="4">
        <f t="shared" si="65"/>
        <v>3.4405879495959493E-3</v>
      </c>
      <c r="D151" s="4">
        <f t="shared" si="66"/>
        <v>-1.1867273073169254E-3</v>
      </c>
      <c r="E151" s="4">
        <f t="shared" si="67"/>
        <v>6.1878865182296112E-3</v>
      </c>
    </row>
    <row r="152" spans="1:5" x14ac:dyDescent="0.35">
      <c r="B152" t="s">
        <v>36</v>
      </c>
      <c r="C152" s="4">
        <f t="shared" si="65"/>
        <v>1.6292224968084341E-3</v>
      </c>
      <c r="D152" s="4">
        <f t="shared" si="66"/>
        <v>3.6155464275431995E-3</v>
      </c>
      <c r="E152" s="4">
        <f t="shared" si="67"/>
        <v>3.1221071826015396E-3</v>
      </c>
    </row>
    <row r="153" spans="1:5" x14ac:dyDescent="0.35">
      <c r="B153" t="s">
        <v>33</v>
      </c>
      <c r="C153" s="4">
        <f t="shared" si="65"/>
        <v>7.923280596797944E-3</v>
      </c>
      <c r="D153" s="4">
        <f t="shared" si="66"/>
        <v>1.7010931809618626E-3</v>
      </c>
      <c r="E153" s="4">
        <f t="shared" si="67"/>
        <v>1.3935928435651584E-2</v>
      </c>
    </row>
    <row r="154" spans="1:5" x14ac:dyDescent="0.35">
      <c r="C154" s="5"/>
      <c r="D154" s="5"/>
      <c r="E154" s="5"/>
    </row>
    <row r="155" spans="1:5" x14ac:dyDescent="0.35">
      <c r="A155" s="12" t="s">
        <v>83</v>
      </c>
      <c r="B155" t="s">
        <v>14</v>
      </c>
      <c r="C155" s="7" t="s">
        <v>15</v>
      </c>
      <c r="D155" s="7" t="s">
        <v>16</v>
      </c>
      <c r="E155" s="7" t="s">
        <v>17</v>
      </c>
    </row>
    <row r="156" spans="1:5" x14ac:dyDescent="0.35">
      <c r="A156" t="s">
        <v>84</v>
      </c>
      <c r="B156" t="s">
        <v>7</v>
      </c>
      <c r="C156" s="4">
        <f>R137/R126-1</f>
        <v>-1.1340099485631305E-2</v>
      </c>
      <c r="D156" s="4">
        <f>AB137/AB126-1</f>
        <v>-1.8685016102263252E-2</v>
      </c>
      <c r="E156" s="4">
        <f>AL137/AL126-1</f>
        <v>-2.645209637450574E-2</v>
      </c>
    </row>
    <row r="157" spans="1:5" x14ac:dyDescent="0.35">
      <c r="B157" t="s">
        <v>8</v>
      </c>
      <c r="C157" s="4">
        <f>R138/R127-1</f>
        <v>-1.0759415912862114E-3</v>
      </c>
      <c r="D157" s="4">
        <f>AB138/AB127-1</f>
        <v>-1.9872876805839823E-3</v>
      </c>
      <c r="E157" s="4">
        <f>AL138/AL127-1</f>
        <v>-2.9023236624378113E-3</v>
      </c>
    </row>
    <row r="158" spans="1:5" x14ac:dyDescent="0.35">
      <c r="B158" t="s">
        <v>9</v>
      </c>
      <c r="C158" s="4">
        <f>R139/R128-1</f>
        <v>-1.0988213547186154E-3</v>
      </c>
      <c r="D158" s="4">
        <f>AB139/AB128-1</f>
        <v>-2.0859845895575546E-3</v>
      </c>
      <c r="E158" s="4">
        <f>AL139/AL128-1</f>
        <v>-3.1421473436615832E-3</v>
      </c>
    </row>
    <row r="159" spans="1:5" x14ac:dyDescent="0.35">
      <c r="B159" t="s">
        <v>10</v>
      </c>
      <c r="C159" s="4">
        <f>R140/R129-1</f>
        <v>-1.1091445574765713E-3</v>
      </c>
      <c r="D159" s="4">
        <f>AB140/AB129-1</f>
        <v>-1.9011375986364154E-3</v>
      </c>
      <c r="E159" s="4">
        <f>AL140/AL129-1</f>
        <v>-2.6975548563173968E-3</v>
      </c>
    </row>
    <row r="160" spans="1:5" x14ac:dyDescent="0.35">
      <c r="B160" t="s">
        <v>12</v>
      </c>
      <c r="C160" s="4">
        <f>R141/R130-1</f>
        <v>3.4405879495960079E-3</v>
      </c>
      <c r="D160" s="4">
        <f>AB141/AB130-1</f>
        <v>4.9568430827460208E-3</v>
      </c>
      <c r="E160" s="4">
        <f>AL141/AL130-1</f>
        <v>6.1878865182296572E-3</v>
      </c>
    </row>
    <row r="161" spans="1:58" x14ac:dyDescent="0.35">
      <c r="B161" t="s">
        <v>11</v>
      </c>
      <c r="C161" s="4">
        <f>R143/R132-1</f>
        <v>7.9232805967979214E-3</v>
      </c>
      <c r="D161" s="4">
        <f>AB143/AB132-1</f>
        <v>1.1412688440961771E-2</v>
      </c>
      <c r="E161" s="4">
        <f>AL143/AL132-1</f>
        <v>1.3935928435651501E-2</v>
      </c>
    </row>
    <row r="162" spans="1:58" x14ac:dyDescent="0.35">
      <c r="C162" s="4"/>
      <c r="D162" s="4"/>
      <c r="E162" s="4"/>
    </row>
    <row r="163" spans="1:58" x14ac:dyDescent="0.35">
      <c r="A163" s="12" t="s">
        <v>41</v>
      </c>
      <c r="C163" s="4"/>
      <c r="D163" s="4"/>
      <c r="E163" s="4"/>
    </row>
    <row r="164" spans="1:58" x14ac:dyDescent="0.35">
      <c r="A164" t="s">
        <v>38</v>
      </c>
      <c r="B164" t="s">
        <v>40</v>
      </c>
      <c r="C164" s="6">
        <f>[1]Capital!B3</f>
        <v>5224351.1569999997</v>
      </c>
      <c r="D164" s="6">
        <f>[1]Capital!C3</f>
        <v>5285971.6619999995</v>
      </c>
      <c r="E164" s="6">
        <f>[1]Capital!D3</f>
        <v>5349591.148</v>
      </c>
      <c r="F164" s="6">
        <f>[1]Capital!E3</f>
        <v>5415567.3099999996</v>
      </c>
      <c r="G164" s="6">
        <f>[1]Capital!F3</f>
        <v>5484180.9560000002</v>
      </c>
      <c r="H164" s="6">
        <f>[1]Capital!G3</f>
        <v>5555664.2070000004</v>
      </c>
      <c r="I164" s="6">
        <f>[1]Capital!H3</f>
        <v>5630013.8260000004</v>
      </c>
      <c r="J164" s="6">
        <f>[1]Capital!I3</f>
        <v>5707261.9639999997</v>
      </c>
      <c r="K164" s="6">
        <f>[1]Capital!J3</f>
        <v>5787457.3289999999</v>
      </c>
      <c r="L164" s="6">
        <f>[1]Capital!K3</f>
        <v>5870648.1239999998</v>
      </c>
      <c r="M164" s="6">
        <f>[1]Capital!L3</f>
        <v>5957228.5939999996</v>
      </c>
      <c r="N164" s="6">
        <f>[1]Capital!M3</f>
        <v>6047111.3969999999</v>
      </c>
      <c r="O164" s="6">
        <f>[1]Capital!N3</f>
        <v>6140232.2580000004</v>
      </c>
      <c r="P164" s="6">
        <f>[1]Capital!O3</f>
        <v>6236544.2149999999</v>
      </c>
      <c r="Q164" s="6">
        <f>[1]Capital!P3</f>
        <v>6336005.2659999998</v>
      </c>
      <c r="R164" s="6">
        <f>[1]Capital!Q3</f>
        <v>6438574.4809999997</v>
      </c>
      <c r="S164" s="6">
        <f>[1]Capital!R3</f>
        <v>6544212.1799999997</v>
      </c>
      <c r="T164" s="6">
        <f>[1]Capital!S3</f>
        <v>6652881.2139999997</v>
      </c>
      <c r="U164" s="6">
        <f>[1]Capital!T3</f>
        <v>6764548.0269999998</v>
      </c>
      <c r="V164" s="6">
        <f>[1]Capital!U3</f>
        <v>6879183.0870000003</v>
      </c>
      <c r="W164" s="6">
        <f>[1]Capital!V3</f>
        <v>6996490.676</v>
      </c>
      <c r="X164" s="6">
        <f>[1]Capital!W3</f>
        <v>7116534.2429999998</v>
      </c>
      <c r="Y164" s="6">
        <f>[1]Capital!X3</f>
        <v>7239353.5920000002</v>
      </c>
      <c r="Z164" s="6">
        <f>[1]Capital!Y3</f>
        <v>7364968.9349999996</v>
      </c>
      <c r="AA164" s="6">
        <f>[1]Capital!Z3</f>
        <v>7493390.5810000002</v>
      </c>
      <c r="AB164" s="6">
        <f>[1]Capital!AA3</f>
        <v>7623832.4800000004</v>
      </c>
      <c r="AC164" s="6">
        <f>[1]Capital!AB3</f>
        <v>7756166.3080000002</v>
      </c>
      <c r="AD164" s="6">
        <f>[1]Capital!AC3</f>
        <v>7890295.6770000001</v>
      </c>
      <c r="AE164" s="6">
        <f>[1]Capital!AD3</f>
        <v>8026135.8629999999</v>
      </c>
      <c r="AF164" s="6">
        <f>[1]Capital!AE3</f>
        <v>8163616.4450000003</v>
      </c>
      <c r="AG164" s="6">
        <f>[1]Capital!AF3</f>
        <v>8302680.7110000001</v>
      </c>
      <c r="AH164" s="6">
        <f>[1]Capital!AG3</f>
        <v>8443282.4159999993</v>
      </c>
      <c r="AI164" s="6">
        <f>[1]Capital!AH3</f>
        <v>8585381.6970000006</v>
      </c>
      <c r="AJ164" s="6">
        <f>[1]Capital!AI3</f>
        <v>8728941.3479999993</v>
      </c>
      <c r="AK164" s="6">
        <f>[1]Capital!AJ3</f>
        <v>8873924.0299999993</v>
      </c>
      <c r="AL164" s="6">
        <f>[1]Capital!AK3</f>
        <v>9020290.5969999991</v>
      </c>
      <c r="AM164" s="6">
        <f>[1]Capital!AL3</f>
        <v>9167804.1109999996</v>
      </c>
      <c r="AN164" s="6">
        <f>[1]Capital!AM3</f>
        <v>9316284.3230000008</v>
      </c>
      <c r="AO164" s="6">
        <f>[1]Capital!AN3</f>
        <v>9465590.5960000008</v>
      </c>
      <c r="AP164" s="6">
        <f>[1]Capital!AO3</f>
        <v>9615608.3609999996</v>
      </c>
      <c r="AQ164" s="6">
        <f>[1]Capital!AP3</f>
        <v>9766243.2589999996</v>
      </c>
      <c r="AR164" s="6">
        <f>[1]Capital!AQ3</f>
        <v>9917479.7489999998</v>
      </c>
      <c r="AS164" s="6">
        <f>[1]Capital!AR3</f>
        <v>10069342.869999999</v>
      </c>
      <c r="AT164" s="6">
        <f>[1]Capital!AS3</f>
        <v>10221864.869999999</v>
      </c>
      <c r="AU164" s="6">
        <f>[1]Capital!AT3</f>
        <v>10375067.039999999</v>
      </c>
      <c r="AV164" s="6">
        <f>[1]Capital!AU3</f>
        <v>10528955.130000001</v>
      </c>
      <c r="AW164" s="6">
        <f>[1]Capital!AV3</f>
        <v>10683540.449999999</v>
      </c>
      <c r="AX164" s="6">
        <f>[1]Capital!AW3</f>
        <v>10838822.52</v>
      </c>
      <c r="AY164" s="6">
        <f>[1]Capital!AX3</f>
        <v>10994796.279999999</v>
      </c>
      <c r="AZ164" s="6">
        <f>[1]Capital!AY3</f>
        <v>11151457.609999999</v>
      </c>
      <c r="BA164" s="6">
        <f>[1]Capital!AZ3</f>
        <v>11308806.43</v>
      </c>
      <c r="BB164" s="6">
        <f>[1]Capital!BA3</f>
        <v>12048683.140000001</v>
      </c>
      <c r="BC164" s="6">
        <f>[1]Capital!BB3</f>
        <v>12276883.67</v>
      </c>
      <c r="BD164" s="6">
        <f>[1]Capital!BC3</f>
        <v>12508283.220000001</v>
      </c>
      <c r="BE164" s="6">
        <f>[1]Capital!BD3</f>
        <v>12742824.369999999</v>
      </c>
      <c r="BF164" s="6">
        <f>[1]Capital!BE3</f>
        <v>12980451.76</v>
      </c>
    </row>
    <row r="165" spans="1:58" x14ac:dyDescent="0.35">
      <c r="B165" t="s">
        <v>7</v>
      </c>
      <c r="C165" s="5">
        <f>[1]Capital!B5+[1]Capital!B7</f>
        <v>49064.954424000003</v>
      </c>
      <c r="D165" s="5">
        <f>[1]Capital!C5+[1]Capital!C7</f>
        <v>49637.950758000006</v>
      </c>
      <c r="E165" s="5">
        <f>[1]Capital!D5+[1]Capital!D7</f>
        <v>50215.335948</v>
      </c>
      <c r="F165" s="5">
        <f>[1]Capital!E5+[1]Capital!E7</f>
        <v>50796.965261999998</v>
      </c>
      <c r="G165" s="5">
        <f>[1]Capital!F5+[1]Capital!F7</f>
        <v>51383.571992999998</v>
      </c>
      <c r="H165" s="5">
        <f>[1]Capital!G5+[1]Capital!G7</f>
        <v>51976.288885000002</v>
      </c>
      <c r="I165" s="5">
        <f>[1]Capital!H5+[1]Capital!H7</f>
        <v>52573.627691000002</v>
      </c>
      <c r="J165" s="5">
        <f>[1]Capital!I5+[1]Capital!I7</f>
        <v>53175.571794000003</v>
      </c>
      <c r="K165" s="5">
        <f>[1]Capital!J5+[1]Capital!J7</f>
        <v>53782.567456000004</v>
      </c>
      <c r="L165" s="5">
        <f>[1]Capital!K5+[1]Capital!K7</f>
        <v>54395.073715999999</v>
      </c>
      <c r="M165" s="5">
        <f>[1]Capital!L5+[1]Capital!L7</f>
        <v>55018.053676000003</v>
      </c>
      <c r="N165" s="5">
        <f>[1]Capital!M5+[1]Capital!M7</f>
        <v>55648.821994999998</v>
      </c>
      <c r="O165" s="5">
        <f>[1]Capital!N5+[1]Capital!N7</f>
        <v>56286.091467999999</v>
      </c>
      <c r="P165" s="5">
        <f>[1]Capital!O5+[1]Capital!O7</f>
        <v>56929.097390999996</v>
      </c>
      <c r="Q165" s="5">
        <f>[1]Capital!P5+[1]Capital!P7</f>
        <v>57577.215322999997</v>
      </c>
      <c r="R165" s="5">
        <f>[1]Capital!Q5+[1]Capital!Q7</f>
        <v>58229.858993999995</v>
      </c>
      <c r="S165" s="5">
        <f>[1]Capital!R5+[1]Capital!R7</f>
        <v>58886.472463999999</v>
      </c>
      <c r="T165" s="5">
        <f>[1]Capital!S5+[1]Capital!S7</f>
        <v>59546.549037000004</v>
      </c>
      <c r="U165" s="5">
        <f>[1]Capital!T5+[1]Capital!T7</f>
        <v>60209.653027999993</v>
      </c>
      <c r="V165" s="5">
        <f>[1]Capital!U5+[1]Capital!U7</f>
        <v>60875.436559000002</v>
      </c>
      <c r="W165" s="5">
        <f>[1]Capital!V5+[1]Capital!V7</f>
        <v>61540.306163000001</v>
      </c>
      <c r="X165" s="5">
        <f>[1]Capital!W5+[1]Capital!W7</f>
        <v>62206.140461000003</v>
      </c>
      <c r="Y165" s="5">
        <f>[1]Capital!X5+[1]Capital!X7</f>
        <v>62873.742786000003</v>
      </c>
      <c r="Z165" s="5">
        <f>[1]Capital!Y5+[1]Capital!Y7</f>
        <v>63543.512462999999</v>
      </c>
      <c r="AA165" s="5">
        <f>[1]Capital!Z5+[1]Capital!Z7</f>
        <v>64215.745143</v>
      </c>
      <c r="AB165" s="5">
        <f>[1]Capital!AA5+[1]Capital!AA7</f>
        <v>64881.268649000005</v>
      </c>
      <c r="AC165" s="5">
        <f>[1]Capital!AB5+[1]Capital!AB7</f>
        <v>65541.680684999999</v>
      </c>
      <c r="AD165" s="5">
        <f>[1]Capital!AC5+[1]Capital!AC7</f>
        <v>66197.925911999992</v>
      </c>
      <c r="AE165" s="5">
        <f>[1]Capital!AD5+[1]Capital!AD7</f>
        <v>66850.677632999999</v>
      </c>
      <c r="AF165" s="5">
        <f>[1]Capital!AE5+[1]Capital!AE7</f>
        <v>67500.55960600001</v>
      </c>
      <c r="AG165" s="5">
        <f>[1]Capital!AF5+[1]Capital!AF7</f>
        <v>68148.200863999999</v>
      </c>
      <c r="AH165" s="5">
        <f>[1]Capital!AG5+[1]Capital!AG7</f>
        <v>68794.234961000009</v>
      </c>
      <c r="AI165" s="5">
        <f>[1]Capital!AH5+[1]Capital!AH7</f>
        <v>69439.283703999987</v>
      </c>
      <c r="AJ165" s="5">
        <f>[1]Capital!AI5+[1]Capital!AI7</f>
        <v>70083.940346999996</v>
      </c>
      <c r="AK165" s="5">
        <f>[1]Capital!AJ5+[1]Capital!AJ7</f>
        <v>70728.757322000005</v>
      </c>
      <c r="AL165" s="5">
        <f>[1]Capital!AK5+[1]Capital!AK7</f>
        <v>71374.239455999996</v>
      </c>
      <c r="AM165" s="5">
        <f>[1]Capital!AL5+[1]Capital!AL7</f>
        <v>72018.665940999999</v>
      </c>
      <c r="AN165" s="5">
        <f>[1]Capital!AM5+[1]Capital!AM7</f>
        <v>72661.594649000006</v>
      </c>
      <c r="AO165" s="5">
        <f>[1]Capital!AN5+[1]Capital!AN7</f>
        <v>73303.111521999992</v>
      </c>
      <c r="AP165" s="5">
        <f>[1]Capital!AO5+[1]Capital!AO7</f>
        <v>73943.513944999999</v>
      </c>
      <c r="AQ165" s="5">
        <f>[1]Capital!AP5+[1]Capital!AP7</f>
        <v>74583.183793999997</v>
      </c>
      <c r="AR165" s="5">
        <f>[1]Capital!AQ5+[1]Capital!AQ7</f>
        <v>75224.931624999997</v>
      </c>
      <c r="AS165" s="5">
        <f>[1]Capital!AR5+[1]Capital!AR7</f>
        <v>75871.428620000006</v>
      </c>
      <c r="AT165" s="5">
        <f>[1]Capital!AS5+[1]Capital!AS7</f>
        <v>76524.684001000001</v>
      </c>
      <c r="AU165" s="5">
        <f>[1]Capital!AT5+[1]Capital!AT7</f>
        <v>77186.04789799999</v>
      </c>
      <c r="AV165" s="5">
        <f>[1]Capital!AU5+[1]Capital!AU7</f>
        <v>77856.366052000012</v>
      </c>
      <c r="AW165" s="5">
        <f>[1]Capital!AV5+[1]Capital!AV7</f>
        <v>78536.334602000003</v>
      </c>
      <c r="AX165" s="5">
        <f>[1]Capital!AW5+[1]Capital!AW7</f>
        <v>79226.329071</v>
      </c>
      <c r="AY165" s="5">
        <f>[1]Capital!AX5+[1]Capital!AX7</f>
        <v>79926.563343999995</v>
      </c>
      <c r="AZ165" s="5">
        <f>[1]Capital!AY5+[1]Capital!AY7</f>
        <v>80637.173188000001</v>
      </c>
      <c r="BA165" s="5">
        <f>[1]Capital!AZ5+[1]Capital!AZ7</f>
        <v>81358.257309000008</v>
      </c>
      <c r="BB165" s="5">
        <f>[1]Capital!BA5+[1]Capital!BA7</f>
        <v>105778.84574</v>
      </c>
      <c r="BC165" s="5">
        <f>[1]Capital!BB5+[1]Capital!BB7</f>
        <v>107630.562708</v>
      </c>
      <c r="BD165" s="5">
        <f>[1]Capital!BC5+[1]Capital!BC7</f>
        <v>109510.90927799999</v>
      </c>
      <c r="BE165" s="5">
        <f>[1]Capital!BD5+[1]Capital!BD7</f>
        <v>111420.20065100001</v>
      </c>
      <c r="BF165" s="5">
        <f>[1]Capital!BE5+[1]Capital!BE7</f>
        <v>113358.79536300001</v>
      </c>
    </row>
    <row r="166" spans="1:58" x14ac:dyDescent="0.35">
      <c r="B166" t="s">
        <v>30</v>
      </c>
      <c r="C166" s="5">
        <f>[1]Capital!B9+[1]Capital!B11+[1]Capital!B13+[1]Capital!B15+[1]Capital!B17+[1]Capital!B19+[1]Capital!B21+[1]Capital!B23+[1]Capital!B25+[1]Capital!B27+[1]Capital!B41</f>
        <v>2595736.2284160005</v>
      </c>
      <c r="D166" s="5">
        <f>[1]Capital!C9+[1]Capital!C11+[1]Capital!C13+[1]Capital!C15+[1]Capital!C17+[1]Capital!C19+[1]Capital!C21+[1]Capital!C23+[1]Capital!C25+[1]Capital!C27+[1]Capital!C41</f>
        <v>2626425.8441059995</v>
      </c>
      <c r="E166" s="5">
        <f>[1]Capital!D9+[1]Capital!D11+[1]Capital!D13+[1]Capital!D15+[1]Capital!D17+[1]Capital!D19+[1]Capital!D21+[1]Capital!D23+[1]Capital!D25+[1]Capital!D27+[1]Capital!D41</f>
        <v>2658253.7441639998</v>
      </c>
      <c r="F166" s="5">
        <f>[1]Capital!E9+[1]Capital!E11+[1]Capital!E13+[1]Capital!E15+[1]Capital!E17+[1]Capital!E19+[1]Capital!E21+[1]Capital!E23+[1]Capital!E25+[1]Capital!E27+[1]Capital!E41</f>
        <v>2691396.5436559999</v>
      </c>
      <c r="G166" s="5">
        <f>[1]Capital!F9+[1]Capital!F11+[1]Capital!F13+[1]Capital!F15+[1]Capital!F17+[1]Capital!F19+[1]Capital!F21+[1]Capital!F23+[1]Capital!F25+[1]Capital!F27+[1]Capital!F41</f>
        <v>2725973.5802500001</v>
      </c>
      <c r="H166" s="5">
        <f>[1]Capital!G9+[1]Capital!G11+[1]Capital!G13+[1]Capital!G15+[1]Capital!G17+[1]Capital!G19+[1]Capital!G21+[1]Capital!G23+[1]Capital!G25+[1]Capital!G27+[1]Capital!G41</f>
        <v>2762080.0829400001</v>
      </c>
      <c r="I166" s="5">
        <f>[1]Capital!H9+[1]Capital!H11+[1]Capital!H13+[1]Capital!H15+[1]Capital!H17+[1]Capital!H19+[1]Capital!H21+[1]Capital!H23+[1]Capital!H25+[1]Capital!H27+[1]Capital!H41</f>
        <v>2799714.7800389999</v>
      </c>
      <c r="J166" s="5">
        <f>[1]Capital!I9+[1]Capital!I11+[1]Capital!I13+[1]Capital!I15+[1]Capital!I17+[1]Capital!I19+[1]Capital!I21+[1]Capital!I23+[1]Capital!I25+[1]Capital!I27+[1]Capital!I41</f>
        <v>2838894.5586860003</v>
      </c>
      <c r="K166" s="5">
        <f>[1]Capital!J9+[1]Capital!J11+[1]Capital!J13+[1]Capital!J15+[1]Capital!J17+[1]Capital!J19+[1]Capital!J21+[1]Capital!J23+[1]Capital!J25+[1]Capital!J27+[1]Capital!J41</f>
        <v>2879649.522136</v>
      </c>
      <c r="L166" s="5">
        <f>[1]Capital!K9+[1]Capital!K11+[1]Capital!K13+[1]Capital!K15+[1]Capital!K17+[1]Capital!K19+[1]Capital!K21+[1]Capital!K23+[1]Capital!K25+[1]Capital!K27+[1]Capital!K41</f>
        <v>2922014.7746980004</v>
      </c>
      <c r="M166" s="5">
        <f>[1]Capital!L9+[1]Capital!L11+[1]Capital!L13+[1]Capital!L15+[1]Capital!L17+[1]Capital!L19+[1]Capital!L21+[1]Capital!L23+[1]Capital!L25+[1]Capital!L27+[1]Capital!L41</f>
        <v>2966180.670465</v>
      </c>
      <c r="N166" s="5">
        <f>[1]Capital!M9+[1]Capital!M11+[1]Capital!M13+[1]Capital!M15+[1]Capital!M17+[1]Capital!M19+[1]Capital!M21+[1]Capital!M23+[1]Capital!M25+[1]Capital!M27+[1]Capital!M41</f>
        <v>3012138.3712419998</v>
      </c>
      <c r="O166" s="5">
        <f>[1]Capital!N9+[1]Capital!N11+[1]Capital!N13+[1]Capital!N15+[1]Capital!N17+[1]Capital!N19+[1]Capital!N21+[1]Capital!N23+[1]Capital!N25+[1]Capital!N27+[1]Capital!N41</f>
        <v>3059881.2296370002</v>
      </c>
      <c r="P166" s="5">
        <f>[1]Capital!O9+[1]Capital!O11+[1]Capital!O13+[1]Capital!O15+[1]Capital!O17+[1]Capital!O19+[1]Capital!O21+[1]Capital!O23+[1]Capital!O25+[1]Capital!O27+[1]Capital!O41</f>
        <v>3109406.4926959993</v>
      </c>
      <c r="Q166" s="5">
        <f>[1]Capital!P9+[1]Capital!P11+[1]Capital!P13+[1]Capital!P15+[1]Capital!P17+[1]Capital!P19+[1]Capital!P21+[1]Capital!P23+[1]Capital!P25+[1]Capital!P27+[1]Capital!P41</f>
        <v>3160711.6566090002</v>
      </c>
      <c r="R166" s="5">
        <f>[1]Capital!Q9+[1]Capital!Q11+[1]Capital!Q13+[1]Capital!Q15+[1]Capital!Q17+[1]Capital!Q19+[1]Capital!Q21+[1]Capital!Q23+[1]Capital!Q25+[1]Capital!Q27+[1]Capital!Q41</f>
        <v>3213792.9859640002</v>
      </c>
      <c r="S166" s="5">
        <f>[1]Capital!R9+[1]Capital!R11+[1]Capital!R13+[1]Capital!R15+[1]Capital!R17+[1]Capital!R19+[1]Capital!R21+[1]Capital!R23+[1]Capital!R25+[1]Capital!R27+[1]Capital!R41</f>
        <v>3268645.4766800003</v>
      </c>
      <c r="T166" s="5">
        <f>[1]Capital!S9+[1]Capital!S11+[1]Capital!S13+[1]Capital!S15+[1]Capital!S17+[1]Capital!S19+[1]Capital!S21+[1]Capital!S23+[1]Capital!S25+[1]Capital!S27+[1]Capital!S41</f>
        <v>3325263.3884649999</v>
      </c>
      <c r="U166" s="5">
        <f>[1]Capital!T9+[1]Capital!T11+[1]Capital!T13+[1]Capital!T15+[1]Capital!T17+[1]Capital!T19+[1]Capital!T21+[1]Capital!T23+[1]Capital!T25+[1]Capital!T27+[1]Capital!T41</f>
        <v>3383640.7803790001</v>
      </c>
      <c r="V166" s="5">
        <f>[1]Capital!U9+[1]Capital!U11+[1]Capital!U13+[1]Capital!U15+[1]Capital!U17+[1]Capital!U19+[1]Capital!U21+[1]Capital!U23+[1]Capital!U25+[1]Capital!U27+[1]Capital!U41</f>
        <v>3443771.8230360001</v>
      </c>
      <c r="W166" s="5">
        <f>[1]Capital!V9+[1]Capital!V11+[1]Capital!V13+[1]Capital!V15+[1]Capital!V17+[1]Capital!V19+[1]Capital!V21+[1]Capital!V23+[1]Capital!V25+[1]Capital!V27+[1]Capital!V41</f>
        <v>3505531.5031249998</v>
      </c>
      <c r="X166" s="5">
        <f>[1]Capital!W9+[1]Capital!W11+[1]Capital!W13+[1]Capital!W15+[1]Capital!W17+[1]Capital!W19+[1]Capital!W21+[1]Capital!W23+[1]Capital!W25+[1]Capital!W27+[1]Capital!W41</f>
        <v>3568943.0476950002</v>
      </c>
      <c r="Y166" s="5">
        <f>[1]Capital!X9+[1]Capital!X11+[1]Capital!X13+[1]Capital!X15+[1]Capital!X17+[1]Capital!X19+[1]Capital!X21+[1]Capital!X23+[1]Capital!X25+[1]Capital!X27+[1]Capital!X41</f>
        <v>3634023.9472429994</v>
      </c>
      <c r="Z166" s="5">
        <f>[1]Capital!Y9+[1]Capital!Y11+[1]Capital!Y13+[1]Capital!Y15+[1]Capital!Y17+[1]Capital!Y19+[1]Capital!Y21+[1]Capital!Y23+[1]Capital!Y25+[1]Capital!Y27+[1]Capital!Y41</f>
        <v>3700783.8358059996</v>
      </c>
      <c r="AA166" s="5">
        <f>[1]Capital!Z9+[1]Capital!Z11+[1]Capital!Z13+[1]Capital!Z15+[1]Capital!Z17+[1]Capital!Z19+[1]Capital!Z21+[1]Capital!Z23+[1]Capital!Z25+[1]Capital!Z27+[1]Capital!Z41</f>
        <v>3769226.9523280007</v>
      </c>
      <c r="AB166" s="5">
        <f>[1]Capital!AA9+[1]Capital!AA11+[1]Capital!AA13+[1]Capital!AA15+[1]Capital!AA17+[1]Capital!AA19+[1]Capital!AA21+[1]Capital!AA23+[1]Capital!AA25+[1]Capital!AA27+[1]Capital!AA41</f>
        <v>3839002.9739800002</v>
      </c>
      <c r="AC166" s="5">
        <f>[1]Capital!AB9+[1]Capital!AB11+[1]Capital!AB13+[1]Capital!AB15+[1]Capital!AB17+[1]Capital!AB19+[1]Capital!AB21+[1]Capital!AB23+[1]Capital!AB25+[1]Capital!AB27+[1]Capital!AB41</f>
        <v>3910024.3665530002</v>
      </c>
      <c r="AD166" s="5">
        <f>[1]Capital!AC9+[1]Capital!AC11+[1]Capital!AC13+[1]Capital!AC15+[1]Capital!AC17+[1]Capital!AC19+[1]Capital!AC21+[1]Capital!AC23+[1]Capital!AC25+[1]Capital!AC27+[1]Capital!AC41</f>
        <v>3982221.5622860002</v>
      </c>
      <c r="AE166" s="5">
        <f>[1]Capital!AD9+[1]Capital!AD11+[1]Capital!AD13+[1]Capital!AD15+[1]Capital!AD17+[1]Capital!AD19+[1]Capital!AD21+[1]Capital!AD23+[1]Capital!AD25+[1]Capital!AD27+[1]Capital!AD41</f>
        <v>4055530.9183979998</v>
      </c>
      <c r="AF166" s="5">
        <f>[1]Capital!AE9+[1]Capital!AE11+[1]Capital!AE13+[1]Capital!AE15+[1]Capital!AE17+[1]Capital!AE19+[1]Capital!AE21+[1]Capital!AE23+[1]Capital!AE25+[1]Capital!AE27+[1]Capital!AE41</f>
        <v>4129893.7536190003</v>
      </c>
      <c r="AG166" s="5">
        <f>[1]Capital!AF9+[1]Capital!AF11+[1]Capital!AF13+[1]Capital!AF15+[1]Capital!AF17+[1]Capital!AF19+[1]Capital!AF21+[1]Capital!AF23+[1]Capital!AF25+[1]Capital!AF27+[1]Capital!AF41</f>
        <v>4205255.6367660007</v>
      </c>
      <c r="AH166" s="5">
        <f>[1]Capital!AG9+[1]Capital!AG11+[1]Capital!AG13+[1]Capital!AG15+[1]Capital!AG17+[1]Capital!AG19+[1]Capital!AG21+[1]Capital!AG23+[1]Capital!AG25+[1]Capital!AG27+[1]Capital!AG41</f>
        <v>4281565.1695539998</v>
      </c>
      <c r="AI166" s="5">
        <f>[1]Capital!AH9+[1]Capital!AH11+[1]Capital!AH13+[1]Capital!AH15+[1]Capital!AH17+[1]Capital!AH19+[1]Capital!AH21+[1]Capital!AH23+[1]Capital!AH25+[1]Capital!AH27+[1]Capital!AH41</f>
        <v>4358772.4734789999</v>
      </c>
      <c r="AJ166" s="5">
        <f>[1]Capital!AI9+[1]Capital!AI11+[1]Capital!AI13+[1]Capital!AI15+[1]Capital!AI17+[1]Capital!AI19+[1]Capital!AI21+[1]Capital!AI23+[1]Capital!AI25+[1]Capital!AI27+[1]Capital!AI41</f>
        <v>4436827.7667760001</v>
      </c>
      <c r="AK166" s="5">
        <f>[1]Capital!AJ9+[1]Capital!AJ11+[1]Capital!AJ13+[1]Capital!AJ15+[1]Capital!AJ17+[1]Capital!AJ19+[1]Capital!AJ21+[1]Capital!AJ23+[1]Capital!AJ25+[1]Capital!AJ27+[1]Capital!AJ41</f>
        <v>4515680.2793280007</v>
      </c>
      <c r="AL166" s="5">
        <f>[1]Capital!AK9+[1]Capital!AK11+[1]Capital!AK13+[1]Capital!AK15+[1]Capital!AK17+[1]Capital!AK19+[1]Capital!AK21+[1]Capital!AK23+[1]Capital!AK25+[1]Capital!AK27+[1]Capital!AK41</f>
        <v>4595277.6201579999</v>
      </c>
      <c r="AM166" s="5">
        <f>[1]Capital!AL9+[1]Capital!AL11+[1]Capital!AL13+[1]Capital!AL15+[1]Capital!AL17+[1]Capital!AL19+[1]Capital!AL21+[1]Capital!AL23+[1]Capital!AL25+[1]Capital!AL27+[1]Capital!AL41</f>
        <v>4675478.4239259996</v>
      </c>
      <c r="AN166" s="5">
        <f>[1]Capital!AM9+[1]Capital!AM11+[1]Capital!AM13+[1]Capital!AM15+[1]Capital!AM17+[1]Capital!AM19+[1]Capital!AM21+[1]Capital!AM23+[1]Capital!AM25+[1]Capital!AM27+[1]Capital!AM41</f>
        <v>4756159.115119</v>
      </c>
      <c r="AO166" s="5">
        <f>[1]Capital!AN9+[1]Capital!AN11+[1]Capital!AN13+[1]Capital!AN15+[1]Capital!AN17+[1]Capital!AN19+[1]Capital!AN21+[1]Capital!AN23+[1]Capital!AN25+[1]Capital!AN27+[1]Capital!AN41</f>
        <v>4837211.2715249993</v>
      </c>
      <c r="AP166" s="5">
        <f>[1]Capital!AO9+[1]Capital!AO11+[1]Capital!AO13+[1]Capital!AO15+[1]Capital!AO17+[1]Capital!AO19+[1]Capital!AO21+[1]Capital!AO23+[1]Capital!AO25+[1]Capital!AO27+[1]Capital!AO41</f>
        <v>4918537.6956949998</v>
      </c>
      <c r="AQ166" s="5">
        <f>[1]Capital!AP9+[1]Capital!AP11+[1]Capital!AP13+[1]Capital!AP15+[1]Capital!AP17+[1]Capital!AP19+[1]Capital!AP21+[1]Capital!AP23+[1]Capital!AP25+[1]Capital!AP27+[1]Capital!AP41</f>
        <v>5000050.5760399997</v>
      </c>
      <c r="AR166" s="5">
        <f>[1]Capital!AQ9+[1]Capital!AQ11+[1]Capital!AQ13+[1]Capital!AQ15+[1]Capital!AQ17+[1]Capital!AQ19+[1]Capital!AQ21+[1]Capital!AQ23+[1]Capital!AQ25+[1]Capital!AQ27+[1]Capital!AQ41</f>
        <v>5081700.3903799998</v>
      </c>
      <c r="AS166" s="5">
        <f>[1]Capital!AR9+[1]Capital!AR11+[1]Capital!AR13+[1]Capital!AR15+[1]Capital!AR17+[1]Capital!AR19+[1]Capital!AR21+[1]Capital!AR23+[1]Capital!AR25+[1]Capital!AR27+[1]Capital!AR41</f>
        <v>5163463.1628300007</v>
      </c>
      <c r="AT166" s="5">
        <f>[1]Capital!AS9+[1]Capital!AS11+[1]Capital!AS13+[1]Capital!AS15+[1]Capital!AS17+[1]Capital!AS19+[1]Capital!AS21+[1]Capital!AS23+[1]Capital!AS25+[1]Capital!AS27+[1]Capital!AS41</f>
        <v>5245323.9832600001</v>
      </c>
      <c r="AU166" s="5">
        <f>[1]Capital!AT9+[1]Capital!AT11+[1]Capital!AT13+[1]Capital!AT15+[1]Capital!AT17+[1]Capital!AT19+[1]Capital!AT21+[1]Capital!AT23+[1]Capital!AT25+[1]Capital!AT27+[1]Capital!AT41</f>
        <v>5327265.9447000008</v>
      </c>
      <c r="AV166" s="5">
        <f>[1]Capital!AU9+[1]Capital!AU11+[1]Capital!AU13+[1]Capital!AU15+[1]Capital!AU17+[1]Capital!AU19+[1]Capital!AU21+[1]Capital!AU23+[1]Capital!AU25+[1]Capital!AU27+[1]Capital!AU41</f>
        <v>5409265.90417</v>
      </c>
      <c r="AW166" s="5">
        <f>[1]Capital!AV9+[1]Capital!AV11+[1]Capital!AV13+[1]Capital!AV15+[1]Capital!AV17+[1]Capital!AV19+[1]Capital!AV21+[1]Capital!AV23+[1]Capital!AV25+[1]Capital!AV27+[1]Capital!AV41</f>
        <v>5491303.0188499996</v>
      </c>
      <c r="AX166" s="5">
        <f>[1]Capital!AW9+[1]Capital!AW11+[1]Capital!AW13+[1]Capital!AW15+[1]Capital!AW17+[1]Capital!AW19+[1]Capital!AW21+[1]Capital!AW23+[1]Capital!AW25+[1]Capital!AW27+[1]Capital!AW41</f>
        <v>5573351.7394599998</v>
      </c>
      <c r="AY166" s="5">
        <f>[1]Capital!AX9+[1]Capital!AX11+[1]Capital!AX13+[1]Capital!AX15+[1]Capital!AX17+[1]Capital!AX19+[1]Capital!AX21+[1]Capital!AX23+[1]Capital!AX25+[1]Capital!AX27+[1]Capital!AX41</f>
        <v>5655385.3041199995</v>
      </c>
      <c r="AZ166" s="5">
        <f>[1]Capital!AY9+[1]Capital!AY11+[1]Capital!AY13+[1]Capital!AY15+[1]Capital!AY17+[1]Capital!AY19+[1]Capital!AY21+[1]Capital!AY23+[1]Capital!AY25+[1]Capital!AY27+[1]Capital!AY41</f>
        <v>5737378.8279700009</v>
      </c>
      <c r="BA166" s="5">
        <f>[1]Capital!AZ9+[1]Capital!AZ11+[1]Capital!AZ13+[1]Capital!AZ15+[1]Capital!AZ17+[1]Capital!AZ19+[1]Capital!AZ21+[1]Capital!AZ23+[1]Capital!AZ25+[1]Capital!AZ27+[1]Capital!AZ41</f>
        <v>5819311.4098300003</v>
      </c>
      <c r="BB166" s="5">
        <f>[1]Capital!BA9+[1]Capital!BA11+[1]Capital!BA13+[1]Capital!BA15+[1]Capital!BA17+[1]Capital!BA19+[1]Capital!BA21+[1]Capital!BA23+[1]Capital!BA25+[1]Capital!BA27+[1]Capital!BA41</f>
        <v>6246370.856639999</v>
      </c>
      <c r="BC166" s="5">
        <f>[1]Capital!BB9+[1]Capital!BB11+[1]Capital!BB13+[1]Capital!BB15+[1]Capital!BB17+[1]Capital!BB19+[1]Capital!BB21+[1]Capital!BB23+[1]Capital!BB25+[1]Capital!BB27+[1]Capital!BB41</f>
        <v>6372193.4947399991</v>
      </c>
      <c r="BD166" s="5">
        <f>[1]Capital!BC9+[1]Capital!BC11+[1]Capital!BC13+[1]Capital!BC15+[1]Capital!BC17+[1]Capital!BC19+[1]Capital!BC21+[1]Capital!BC23+[1]Capital!BC25+[1]Capital!BC27+[1]Capital!BC41</f>
        <v>6499612.5427000001</v>
      </c>
      <c r="BE166" s="5">
        <f>[1]Capital!BD9+[1]Capital!BD11+[1]Capital!BD13+[1]Capital!BD15+[1]Capital!BD17+[1]Capital!BD19+[1]Capital!BD21+[1]Capital!BD23+[1]Capital!BD25+[1]Capital!BD27+[1]Capital!BD41</f>
        <v>6628559.49125</v>
      </c>
      <c r="BF166" s="5">
        <f>[1]Capital!BE9+[1]Capital!BE11+[1]Capital!BE13+[1]Capital!BE15+[1]Capital!BE17+[1]Capital!BE19+[1]Capital!BE21+[1]Capital!BE23+[1]Capital!BE25+[1]Capital!BE27+[1]Capital!BE41</f>
        <v>6758966.3143799994</v>
      </c>
    </row>
    <row r="167" spans="1:58" x14ac:dyDescent="0.35">
      <c r="B167" t="s">
        <v>9</v>
      </c>
      <c r="C167" s="5">
        <f>[1]Capital!B29+[1]Capital!B31+[1]Capital!B33+[1]Capital!B35</f>
        <v>88561.458820999993</v>
      </c>
      <c r="D167" s="5">
        <f>[1]Capital!C29+[1]Capital!C31+[1]Capital!C33+[1]Capital!C35</f>
        <v>89608.973731999999</v>
      </c>
      <c r="E167" s="5">
        <f>[1]Capital!D29+[1]Capital!D31+[1]Capital!D33+[1]Capital!D35</f>
        <v>90689.836632999999</v>
      </c>
      <c r="F167" s="5">
        <f>[1]Capital!E29+[1]Capital!E31+[1]Capital!E33+[1]Capital!E35</f>
        <v>91808.892235000007</v>
      </c>
      <c r="G167" s="5">
        <f>[1]Capital!F29+[1]Capital!F31+[1]Capital!F33+[1]Capital!F35</f>
        <v>92969.807461000004</v>
      </c>
      <c r="H167" s="5">
        <f>[1]Capital!G29+[1]Capital!G31+[1]Capital!G33+[1]Capital!G35</f>
        <v>94175.375703999991</v>
      </c>
      <c r="I167" s="5">
        <f>[1]Capital!H29+[1]Capital!H31+[1]Capital!H33+[1]Capital!H35</f>
        <v>95423.356582000008</v>
      </c>
      <c r="J167" s="5">
        <f>[1]Capital!I29+[1]Capital!I31+[1]Capital!I33+[1]Capital!I35</f>
        <v>96713.107111000005</v>
      </c>
      <c r="K167" s="5">
        <f>[1]Capital!J29+[1]Capital!J31+[1]Capital!J33+[1]Capital!J35</f>
        <v>98044.480930000005</v>
      </c>
      <c r="L167" s="5">
        <f>[1]Capital!K29+[1]Capital!K31+[1]Capital!K33+[1]Capital!K35</f>
        <v>99417.343018</v>
      </c>
      <c r="M167" s="5">
        <f>[1]Capital!L29+[1]Capital!L31+[1]Capital!L33+[1]Capital!L35</f>
        <v>100838.999308</v>
      </c>
      <c r="N167" s="5">
        <f>[1]Capital!M29+[1]Capital!M31+[1]Capital!M33+[1]Capital!M35</f>
        <v>102305.023628</v>
      </c>
      <c r="O167" s="5">
        <f>[1]Capital!N29+[1]Capital!N31+[1]Capital!N33+[1]Capital!N35</f>
        <v>103813.001834</v>
      </c>
      <c r="P167" s="5">
        <f>[1]Capital!O29+[1]Capital!O31+[1]Capital!O33+[1]Capital!O35</f>
        <v>105361.43166899998</v>
      </c>
      <c r="Q167" s="5">
        <f>[1]Capital!P29+[1]Capital!P31+[1]Capital!P33+[1]Capital!P35</f>
        <v>106949.14328</v>
      </c>
      <c r="R167" s="5">
        <f>[1]Capital!Q29+[1]Capital!Q31+[1]Capital!Q33+[1]Capital!Q35</f>
        <v>108575.12517699999</v>
      </c>
      <c r="S167" s="5">
        <f>[1]Capital!R29+[1]Capital!R31+[1]Capital!R33+[1]Capital!R35</f>
        <v>110238.493819</v>
      </c>
      <c r="T167" s="5">
        <f>[1]Capital!S29+[1]Capital!S31+[1]Capital!S33+[1]Capital!S35</f>
        <v>111938.501001</v>
      </c>
      <c r="U167" s="5">
        <f>[1]Capital!T29+[1]Capital!T31+[1]Capital!T33+[1]Capital!T35</f>
        <v>113674.543034</v>
      </c>
      <c r="V167" s="5">
        <f>[1]Capital!U29+[1]Capital!U31+[1]Capital!U33+[1]Capital!U35</f>
        <v>115446.16203200001</v>
      </c>
      <c r="W167" s="5">
        <f>[1]Capital!V29+[1]Capital!V31+[1]Capital!V33+[1]Capital!V35</f>
        <v>117247.29644199999</v>
      </c>
      <c r="X167" s="5">
        <f>[1]Capital!W29+[1]Capital!W31+[1]Capital!W33+[1]Capital!W35</f>
        <v>119080.800049</v>
      </c>
      <c r="Y167" s="5">
        <f>[1]Capital!X29+[1]Capital!X31+[1]Capital!X33+[1]Capital!X35</f>
        <v>120948.03341800001</v>
      </c>
      <c r="Z167" s="5">
        <f>[1]Capital!Y29+[1]Capital!Y31+[1]Capital!Y33+[1]Capital!Y35</f>
        <v>122849.70989</v>
      </c>
      <c r="AA167" s="5">
        <f>[1]Capital!Z29+[1]Capital!Z31+[1]Capital!Z33+[1]Capital!Z35</f>
        <v>124786.34736099999</v>
      </c>
      <c r="AB167" s="5">
        <f>[1]Capital!AA29+[1]Capital!AA31+[1]Capital!AA33+[1]Capital!AA35</f>
        <v>126741.644287</v>
      </c>
      <c r="AC167" s="5">
        <f>[1]Capital!AB29+[1]Capital!AB31+[1]Capital!AB33+[1]Capital!AB35</f>
        <v>128716.94931599998</v>
      </c>
      <c r="AD167" s="5">
        <f>[1]Capital!AC29+[1]Capital!AC31+[1]Capital!AC33+[1]Capital!AC35</f>
        <v>130713.01457100001</v>
      </c>
      <c r="AE167" s="5">
        <f>[1]Capital!AD29+[1]Capital!AD31+[1]Capital!AD33+[1]Capital!AD35</f>
        <v>132730.33332500001</v>
      </c>
      <c r="AF167" s="5">
        <f>[1]Capital!AE29+[1]Capital!AE31+[1]Capital!AE33+[1]Capital!AE35</f>
        <v>134769.48519099999</v>
      </c>
      <c r="AG167" s="5">
        <f>[1]Capital!AF29+[1]Capital!AF31+[1]Capital!AF33+[1]Capital!AF35</f>
        <v>136831.21625199998</v>
      </c>
      <c r="AH167" s="5">
        <f>[1]Capital!AG29+[1]Capital!AG31+[1]Capital!AG33+[1]Capital!AG35</f>
        <v>138916.40977900001</v>
      </c>
      <c r="AI167" s="5">
        <f>[1]Capital!AH29+[1]Capital!AH31+[1]Capital!AH33+[1]Capital!AH35</f>
        <v>141026.02509700001</v>
      </c>
      <c r="AJ167" s="5">
        <f>[1]Capital!AI29+[1]Capital!AI31+[1]Capital!AI33+[1]Capital!AI35</f>
        <v>143161.037641</v>
      </c>
      <c r="AK167" s="5">
        <f>[1]Capital!AJ29+[1]Capital!AJ31+[1]Capital!AJ33+[1]Capital!AJ35</f>
        <v>145322.39334900002</v>
      </c>
      <c r="AL167" s="5">
        <f>[1]Capital!AK29+[1]Capital!AK31+[1]Capital!AK33+[1]Capital!AK35</f>
        <v>147510.979437</v>
      </c>
      <c r="AM167" s="5">
        <f>[1]Capital!AL29+[1]Capital!AL31+[1]Capital!AL33+[1]Capital!AL35</f>
        <v>149723.464802</v>
      </c>
      <c r="AN167" s="5">
        <f>[1]Capital!AM29+[1]Capital!AM31+[1]Capital!AM33+[1]Capital!AM35</f>
        <v>151958.58270999999</v>
      </c>
      <c r="AO167" s="5">
        <f>[1]Capital!AN29+[1]Capital!AN31+[1]Capital!AN33+[1]Capital!AN35</f>
        <v>154216.00442399998</v>
      </c>
      <c r="AP167" s="5">
        <f>[1]Capital!AO29+[1]Capital!AO31+[1]Capital!AO33+[1]Capital!AO35</f>
        <v>156495.82114800002</v>
      </c>
      <c r="AQ167" s="5">
        <f>[1]Capital!AP29+[1]Capital!AP31+[1]Capital!AP33+[1]Capital!AP35</f>
        <v>158798.35771700001</v>
      </c>
      <c r="AR167" s="5">
        <f>[1]Capital!AQ29+[1]Capital!AQ31+[1]Capital!AQ33+[1]Capital!AQ35</f>
        <v>161125.01662799998</v>
      </c>
      <c r="AS167" s="5">
        <f>[1]Capital!AR29+[1]Capital!AR31+[1]Capital!AR33+[1]Capital!AR35</f>
        <v>163477.60701500002</v>
      </c>
      <c r="AT167" s="5">
        <f>[1]Capital!AS29+[1]Capital!AS31+[1]Capital!AS33+[1]Capital!AS35</f>
        <v>165857.87752499999</v>
      </c>
      <c r="AU167" s="5">
        <f>[1]Capital!AT29+[1]Capital!AT31+[1]Capital!AT33+[1]Capital!AT35</f>
        <v>168267.30563700001</v>
      </c>
      <c r="AV167" s="5">
        <f>[1]Capital!AU29+[1]Capital!AU31+[1]Capital!AU33+[1]Capital!AU35</f>
        <v>170707.06984499999</v>
      </c>
      <c r="AW167" s="5">
        <f>[1]Capital!AV29+[1]Capital!AV31+[1]Capital!AV33+[1]Capital!AV35</f>
        <v>173178.49095800001</v>
      </c>
      <c r="AX167" s="5">
        <f>[1]Capital!AW29+[1]Capital!AW31+[1]Capital!AW33+[1]Capital!AW35</f>
        <v>175682.53109100001</v>
      </c>
      <c r="AY167" s="5">
        <f>[1]Capital!AX29+[1]Capital!AX31+[1]Capital!AX33+[1]Capital!AX35</f>
        <v>178219.961905</v>
      </c>
      <c r="AZ167" s="5">
        <f>[1]Capital!AY29+[1]Capital!AY31+[1]Capital!AY33+[1]Capital!AY35</f>
        <v>180791.45356699999</v>
      </c>
      <c r="BA167" s="5">
        <f>[1]Capital!AZ29+[1]Capital!AZ31+[1]Capital!AZ33+[1]Capital!AZ35</f>
        <v>183397.61362900003</v>
      </c>
      <c r="BB167" s="5">
        <f>[1]Capital!BA29+[1]Capital!BA31+[1]Capital!BA33+[1]Capital!BA35</f>
        <v>190473.653915</v>
      </c>
      <c r="BC167" s="5">
        <f>[1]Capital!BB29+[1]Capital!BB31+[1]Capital!BB33+[1]Capital!BB35</f>
        <v>193819.84670199998</v>
      </c>
      <c r="BD167" s="5">
        <f>[1]Capital!BC29+[1]Capital!BC31+[1]Capital!BC33+[1]Capital!BC35</f>
        <v>197228.11242799999</v>
      </c>
      <c r="BE167" s="5">
        <f>[1]Capital!BD29+[1]Capital!BD31+[1]Capital!BD33+[1]Capital!BD35</f>
        <v>200699.30374500001</v>
      </c>
      <c r="BF167" s="5">
        <f>[1]Capital!BE29+[1]Capital!BE31+[1]Capital!BE33+[1]Capital!BE35</f>
        <v>204234.30295299998</v>
      </c>
    </row>
    <row r="168" spans="1:58" x14ac:dyDescent="0.35">
      <c r="B168" t="s">
        <v>10</v>
      </c>
      <c r="C168" s="5">
        <f>[1]Capital!B37+[1]Capital!B39</f>
        <v>2425813.4062000001</v>
      </c>
      <c r="D168" s="5">
        <f>[1]Capital!C37+[1]Capital!C39</f>
        <v>2454382.8067000001</v>
      </c>
      <c r="E168" s="5">
        <f>[1]Capital!D37+[1]Capital!D39</f>
        <v>2483790.5044</v>
      </c>
      <c r="F168" s="5">
        <f>[1]Capital!E37+[1]Capital!E39</f>
        <v>2514213.8739</v>
      </c>
      <c r="G168" s="5">
        <f>[1]Capital!F37+[1]Capital!F39</f>
        <v>2545806.7760000001</v>
      </c>
      <c r="H168" s="5">
        <f>[1]Capital!G37+[1]Capital!G39</f>
        <v>2578697.7651999998</v>
      </c>
      <c r="I168" s="5">
        <f>[1]Capital!H37+[1]Capital!H39</f>
        <v>2612886.4140999997</v>
      </c>
      <c r="J168" s="5">
        <f>[1]Capital!I37+[1]Capital!I39</f>
        <v>2648386.1043000002</v>
      </c>
      <c r="K168" s="5">
        <f>[1]Capital!J37+[1]Capital!J39</f>
        <v>2685212.6652000002</v>
      </c>
      <c r="L168" s="5">
        <f>[1]Capital!K37+[1]Capital!K39</f>
        <v>2723376.7242999999</v>
      </c>
      <c r="M168" s="5">
        <f>[1]Capital!L37+[1]Capital!L39</f>
        <v>2763064.1231999998</v>
      </c>
      <c r="N168" s="5">
        <f>[1]Capital!M37+[1]Capital!M39</f>
        <v>2804203.5377000002</v>
      </c>
      <c r="O168" s="5">
        <f>[1]Capital!N37+[1]Capital!N39</f>
        <v>2846741.0096999998</v>
      </c>
      <c r="P168" s="5">
        <f>[1]Capital!O37+[1]Capital!O39</f>
        <v>2890634.2635999997</v>
      </c>
      <c r="Q168" s="5">
        <f>[1]Capital!P37+[1]Capital!P39</f>
        <v>2935845.1355000003</v>
      </c>
      <c r="R168" s="5">
        <f>[1]Capital!Q37+[1]Capital!Q39</f>
        <v>2982337.5285</v>
      </c>
      <c r="S168" s="5">
        <f>[1]Capital!R37+[1]Capital!R39</f>
        <v>3030077.6941</v>
      </c>
      <c r="T168" s="5">
        <f>[1]Capital!S37+[1]Capital!S39</f>
        <v>3079034.9745999998</v>
      </c>
      <c r="U168" s="5">
        <f>[1]Capital!T37+[1]Capital!T39</f>
        <v>3129182.3013000004</v>
      </c>
      <c r="V168" s="5">
        <f>[1]Capital!U37+[1]Capital!U39</f>
        <v>3180496.3014000002</v>
      </c>
      <c r="W168" s="5">
        <f>[1]Capital!V37+[1]Capital!V39</f>
        <v>3232818.3772</v>
      </c>
      <c r="X168" s="5">
        <f>[1]Capital!W37+[1]Capital!W39</f>
        <v>3286182.4618999995</v>
      </c>
      <c r="Y168" s="5">
        <f>[1]Capital!X37+[1]Capital!X39</f>
        <v>3340607.4296999997</v>
      </c>
      <c r="Z168" s="5">
        <f>[1]Capital!Y37+[1]Capital!Y39</f>
        <v>3396101.838</v>
      </c>
      <c r="AA168" s="5">
        <f>[1]Capital!Z37+[1]Capital!Z39</f>
        <v>3452670.2313999999</v>
      </c>
      <c r="AB168" s="5">
        <f>[1]Capital!AA37+[1]Capital!AA39</f>
        <v>3509910.0878999997</v>
      </c>
      <c r="AC168" s="5">
        <f>[1]Capital!AB37+[1]Capital!AB39</f>
        <v>3567777.8739</v>
      </c>
      <c r="AD168" s="5">
        <f>[1]Capital!AC37+[1]Capital!AC39</f>
        <v>3626244.6321</v>
      </c>
      <c r="AE168" s="5">
        <f>[1]Capital!AD37+[1]Capital!AD39</f>
        <v>3685287.6251999997</v>
      </c>
      <c r="AF168" s="5">
        <f>[1]Capital!AE37+[1]Capital!AE39</f>
        <v>3744893.3566999999</v>
      </c>
      <c r="AG168" s="5">
        <f>[1]Capital!AF37+[1]Capital!AF39</f>
        <v>3805057.5156</v>
      </c>
      <c r="AH168" s="5">
        <f>[1]Capital!AG37+[1]Capital!AG39</f>
        <v>3865782.9937999998</v>
      </c>
      <c r="AI168" s="5">
        <f>[1]Capital!AH37+[1]Capital!AH39</f>
        <v>3927077.4086000002</v>
      </c>
      <c r="AJ168" s="5">
        <f>[1]Capital!AI37+[1]Capital!AI39</f>
        <v>3988950.9015000002</v>
      </c>
      <c r="AK168" s="5">
        <f>[1]Capital!AJ37+[1]Capital!AJ39</f>
        <v>4051414.5192</v>
      </c>
      <c r="AL168" s="5">
        <f>[1]Capital!AK37+[1]Capital!AK39</f>
        <v>4114479.2280999999</v>
      </c>
      <c r="AM168" s="5">
        <f>[1]Capital!AL37+[1]Capital!AL39</f>
        <v>4178055.6242</v>
      </c>
      <c r="AN168" s="5">
        <f>[1]Capital!AM37+[1]Capital!AM39</f>
        <v>4242089.1469999999</v>
      </c>
      <c r="AO168" s="5">
        <f>[1]Capital!AN37+[1]Capital!AN39</f>
        <v>4306547.6013000002</v>
      </c>
      <c r="AP168" s="5">
        <f>[1]Capital!AO37+[1]Capital!AO39</f>
        <v>4371412.6152999997</v>
      </c>
      <c r="AQ168" s="5">
        <f>[1]Capital!AP37+[1]Capital!AP39</f>
        <v>4436676.1282000002</v>
      </c>
      <c r="AR168" s="5">
        <f>[1]Capital!AQ37+[1]Capital!AQ39</f>
        <v>4502367.3488999996</v>
      </c>
      <c r="AS168" s="5">
        <f>[1]Capital!AR37+[1]Capital!AR39</f>
        <v>4568530.4771999996</v>
      </c>
      <c r="AT168" s="5">
        <f>[1]Capital!AS37+[1]Capital!AS39</f>
        <v>4635208.6523000002</v>
      </c>
      <c r="AU168" s="5">
        <f>[1]Capital!AT37+[1]Capital!AT39</f>
        <v>4702436.9185999995</v>
      </c>
      <c r="AV168" s="5">
        <f>[1]Capital!AU37+[1]Capital!AU39</f>
        <v>4770241.6529999999</v>
      </c>
      <c r="AW168" s="5">
        <f>[1]Capital!AV37+[1]Capital!AV39</f>
        <v>4838652.1370999999</v>
      </c>
      <c r="AX168" s="5">
        <f>[1]Capital!AW37+[1]Capital!AW39</f>
        <v>4907691.1701999996</v>
      </c>
      <c r="AY168" s="5">
        <f>[1]Capital!AX37+[1]Capital!AX39</f>
        <v>4977378.5528999995</v>
      </c>
      <c r="AZ168" s="5">
        <f>[1]Capital!AY37+[1]Capital!AY39</f>
        <v>5047733.3</v>
      </c>
      <c r="BA168" s="5">
        <f>[1]Capital!AZ37+[1]Capital!AZ39</f>
        <v>5118774.6519999998</v>
      </c>
      <c r="BB168" s="5">
        <f>[1]Capital!BA37+[1]Capital!BA39</f>
        <v>5391191.7537000002</v>
      </c>
      <c r="BC168" s="5">
        <f>[1]Capital!BB37+[1]Capital!BB39</f>
        <v>5486764.8571000006</v>
      </c>
      <c r="BD168" s="5">
        <f>[1]Capital!BC37+[1]Capital!BC39</f>
        <v>5583821.4360000007</v>
      </c>
      <c r="BE168" s="5">
        <f>[1]Capital!BD37+[1]Capital!BD39</f>
        <v>5682371.216</v>
      </c>
      <c r="BF168" s="5">
        <f>[1]Capital!BE37+[1]Capital!BE39</f>
        <v>5782425.4280000003</v>
      </c>
    </row>
    <row r="169" spans="1:58" x14ac:dyDescent="0.35">
      <c r="B169" t="s">
        <v>29</v>
      </c>
      <c r="C169" s="5">
        <f>[1]Capital!B43+[1]Capital!B47</f>
        <v>22930.722706300003</v>
      </c>
      <c r="D169" s="5">
        <f>[1]Capital!C43+[1]Capital!C47</f>
        <v>23191.955859199999</v>
      </c>
      <c r="E169" s="5">
        <f>[1]Capital!D43+[1]Capital!D47</f>
        <v>23448.445549</v>
      </c>
      <c r="F169" s="5">
        <f>[1]Capital!E43+[1]Capital!E47</f>
        <v>23700.6872415</v>
      </c>
      <c r="G169" s="5">
        <f>[1]Capital!F43+[1]Capital!F47</f>
        <v>23950.639537999999</v>
      </c>
      <c r="H169" s="5">
        <f>[1]Capital!G43+[1]Capital!G47</f>
        <v>24200.5338218</v>
      </c>
      <c r="I169" s="5">
        <f>[1]Capital!H43+[1]Capital!H47</f>
        <v>24451.549108200001</v>
      </c>
      <c r="J169" s="5">
        <f>[1]Capital!I43+[1]Capital!I47</f>
        <v>24704.875954500003</v>
      </c>
      <c r="K169" s="5">
        <f>[1]Capital!J43+[1]Capital!J47</f>
        <v>24961.5420596</v>
      </c>
      <c r="L169" s="5">
        <f>[1]Capital!K43+[1]Capital!K47</f>
        <v>25222.353892000003</v>
      </c>
      <c r="M169" s="5">
        <f>[1]Capital!L43+[1]Capital!L47</f>
        <v>25489.4138494</v>
      </c>
      <c r="N169" s="5">
        <f>[1]Capital!M43+[1]Capital!M47</f>
        <v>25762.498053800002</v>
      </c>
      <c r="O169" s="5">
        <f>[1]Capital!N43+[1]Capital!N47</f>
        <v>26041.548899600002</v>
      </c>
      <c r="P169" s="5">
        <f>[1]Capital!O43+[1]Capital!O47</f>
        <v>26326.618187</v>
      </c>
      <c r="Q169" s="5">
        <f>[1]Capital!P43+[1]Capital!P47</f>
        <v>26617.775802100001</v>
      </c>
      <c r="R169" s="5">
        <f>[1]Capital!Q43+[1]Capital!Q47</f>
        <v>26915.0804694</v>
      </c>
      <c r="S169" s="5">
        <f>[1]Capital!R43+[1]Capital!R47</f>
        <v>27218.5754285</v>
      </c>
      <c r="T169" s="5">
        <f>[1]Capital!S43+[1]Capital!S47</f>
        <v>27528.290672499999</v>
      </c>
      <c r="U169" s="5">
        <f>[1]Capital!T43+[1]Capital!T47</f>
        <v>27844.245645000003</v>
      </c>
      <c r="V169" s="5">
        <f>[1]Capital!U43+[1]Capital!U47</f>
        <v>28166.4514715</v>
      </c>
      <c r="W169" s="5">
        <f>[1]Capital!V43+[1]Capital!V47</f>
        <v>28493.8060573</v>
      </c>
      <c r="X169" s="5">
        <f>[1]Capital!W43+[1]Capital!W47</f>
        <v>28826.808027999999</v>
      </c>
      <c r="Y169" s="5">
        <f>[1]Capital!X43+[1]Capital!X47</f>
        <v>29165.739561000002</v>
      </c>
      <c r="Z169" s="5">
        <f>[1]Capital!Y43+[1]Capital!Y47</f>
        <v>29510.734621800002</v>
      </c>
      <c r="AA169" s="5">
        <f>[1]Capital!Z43+[1]Capital!Z47</f>
        <v>29861.8658535</v>
      </c>
      <c r="AB169" s="5">
        <f>[1]Capital!AA43+[1]Capital!AA47</f>
        <v>30215.984378200003</v>
      </c>
      <c r="AC169" s="5">
        <f>[1]Capital!AB43+[1]Capital!AB47</f>
        <v>30573.0567314</v>
      </c>
      <c r="AD169" s="5">
        <f>[1]Capital!AC43+[1]Capital!AC47</f>
        <v>30933.092708799999</v>
      </c>
      <c r="AE169" s="5">
        <f>[1]Capital!AD43+[1]Capital!AD47</f>
        <v>31296.060392299998</v>
      </c>
      <c r="AF169" s="5">
        <f>[1]Capital!AE43+[1]Capital!AE47</f>
        <v>31661.940352399997</v>
      </c>
      <c r="AG169" s="5">
        <f>[1]Capital!AF43+[1]Capital!AF47</f>
        <v>32030.749174799999</v>
      </c>
      <c r="AH169" s="5">
        <f>[1]Capital!AG43+[1]Capital!AG47</f>
        <v>32402.542117500001</v>
      </c>
      <c r="AI169" s="5">
        <f>[1]Capital!AH43+[1]Capital!AH47</f>
        <v>32777.407612700001</v>
      </c>
      <c r="AJ169" s="5">
        <f>[1]Capital!AI43+[1]Capital!AI47</f>
        <v>33155.459308400001</v>
      </c>
      <c r="AK169" s="5">
        <f>[1]Capital!AJ43+[1]Capital!AJ47</f>
        <v>33536.828542200004</v>
      </c>
      <c r="AL169" s="5">
        <f>[1]Capital!AK43+[1]Capital!AK47</f>
        <v>33921.657801999994</v>
      </c>
      <c r="AM169" s="5">
        <f>[1]Capital!AL43+[1]Capital!AL47</f>
        <v>34309.323698100001</v>
      </c>
      <c r="AN169" s="5">
        <f>[1]Capital!AM43+[1]Capital!AM47</f>
        <v>34699.549760399997</v>
      </c>
      <c r="AO169" s="5">
        <f>[1]Capital!AN43+[1]Capital!AN47</f>
        <v>35092.286099600002</v>
      </c>
      <c r="AP169" s="5">
        <f>[1]Capital!AO43+[1]Capital!AO47</f>
        <v>35487.605352099999</v>
      </c>
      <c r="AQ169" s="5">
        <f>[1]Capital!AP43+[1]Capital!AP47</f>
        <v>35885.637651699995</v>
      </c>
      <c r="AR169" s="5">
        <f>[1]Capital!AQ43+[1]Capital!AQ47</f>
        <v>36286.456381999997</v>
      </c>
      <c r="AS169" s="5">
        <f>[1]Capital!AR43+[1]Capital!AR47</f>
        <v>36690.123763800002</v>
      </c>
      <c r="AT169" s="5">
        <f>[1]Capital!AS43+[1]Capital!AS47</f>
        <v>37096.717886999999</v>
      </c>
      <c r="AU169" s="5">
        <f>[1]Capital!AT43+[1]Capital!AT47</f>
        <v>37506.347759999997</v>
      </c>
      <c r="AV169" s="5">
        <f>[1]Capital!AU43+[1]Capital!AU47</f>
        <v>37919.159690999993</v>
      </c>
      <c r="AW169" s="5">
        <f>[1]Capital!AV43+[1]Capital!AV47</f>
        <v>38335.404171599999</v>
      </c>
      <c r="AX169" s="5">
        <f>[1]Capital!AW43+[1]Capital!AW47</f>
        <v>38755.326114000003</v>
      </c>
      <c r="AY169" s="5">
        <f>[1]Capital!AX43+[1]Capital!AX47</f>
        <v>39179.1680184</v>
      </c>
      <c r="AZ169" s="5">
        <f>[1]Capital!AY43+[1]Capital!AY47</f>
        <v>39607.169567999998</v>
      </c>
      <c r="BA169" s="5">
        <f>[1]Capital!AZ43+[1]Capital!AZ47</f>
        <v>40039.5641645</v>
      </c>
      <c r="BB169" s="5">
        <f>[1]Capital!BA43+[1]Capital!BA47</f>
        <v>43271.201263000003</v>
      </c>
      <c r="BC169" s="5">
        <f>[1]Capital!BB43+[1]Capital!BB47</f>
        <v>43925.573724000002</v>
      </c>
      <c r="BD169" s="5">
        <f>[1]Capital!BC43+[1]Capital!BC47</f>
        <v>44590.604775</v>
      </c>
      <c r="BE169" s="5">
        <f>[1]Capital!BD43+[1]Capital!BD47</f>
        <v>45266.370203999999</v>
      </c>
      <c r="BF169" s="5">
        <f>[1]Capital!BE43+[1]Capital!BE47</f>
        <v>45952.961798999997</v>
      </c>
    </row>
    <row r="170" spans="1:58" x14ac:dyDescent="0.35">
      <c r="B170" t="s">
        <v>36</v>
      </c>
      <c r="C170" s="5">
        <f>[1]Capital!B45+[1]Capital!B49</f>
        <v>1942.1873900000001</v>
      </c>
      <c r="D170" s="5">
        <f>[1]Capital!C45+[1]Capital!C49</f>
        <v>1964.1380156</v>
      </c>
      <c r="E170" s="5">
        <f>[1]Capital!D45+[1]Capital!D49</f>
        <v>1985.4627215</v>
      </c>
      <c r="F170" s="5">
        <f>[1]Capital!E45+[1]Capital!E49</f>
        <v>2006.2149333</v>
      </c>
      <c r="G170" s="5">
        <f>[1]Capital!F45+[1]Capital!F49</f>
        <v>2026.6038368999998</v>
      </c>
      <c r="H170" s="5">
        <f>[1]Capital!G45+[1]Capital!G49</f>
        <v>2046.8659358</v>
      </c>
      <c r="I170" s="5">
        <f>[1]Capital!H45+[1]Capital!H49</f>
        <v>2067.1466310999999</v>
      </c>
      <c r="J170" s="5">
        <f>[1]Capital!I45+[1]Capital!I49</f>
        <v>2087.5786253000001</v>
      </c>
      <c r="K170" s="5">
        <f>[1]Capital!J45+[1]Capital!J49</f>
        <v>2108.2692588</v>
      </c>
      <c r="L170" s="5">
        <f>[1]Capital!K45+[1]Capital!K49</f>
        <v>2129.2991974000001</v>
      </c>
      <c r="M170" s="5">
        <f>[1]Capital!L45+[1]Capital!L49</f>
        <v>2150.8426340000001</v>
      </c>
      <c r="N170" s="5">
        <f>[1]Capital!M45+[1]Capital!M49</f>
        <v>2172.8902722000003</v>
      </c>
      <c r="O170" s="5">
        <f>[1]Capital!N45+[1]Capital!N49</f>
        <v>2195.4436206999999</v>
      </c>
      <c r="P170" s="5">
        <f>[1]Capital!O45+[1]Capital!O49</f>
        <v>2218.5096199</v>
      </c>
      <c r="Q170" s="5">
        <f>[1]Capital!P45+[1]Capital!P49</f>
        <v>2242.0944847999999</v>
      </c>
      <c r="R170" s="5">
        <f>[1]Capital!Q45+[1]Capital!Q49</f>
        <v>2266.2020933999997</v>
      </c>
      <c r="S170" s="5">
        <f>[1]Capital!R45+[1]Capital!R49</f>
        <v>2290.8341011000002</v>
      </c>
      <c r="T170" s="5">
        <f>[1]Capital!S45+[1]Capital!S49</f>
        <v>2315.9904366000001</v>
      </c>
      <c r="U170" s="5">
        <f>[1]Capital!T45+[1]Capital!T49</f>
        <v>2341.6697549999999</v>
      </c>
      <c r="V170" s="5">
        <f>[1]Capital!U45+[1]Capital!U49</f>
        <v>2367.8697844999997</v>
      </c>
      <c r="W170" s="5">
        <f>[1]Capital!V45+[1]Capital!V49</f>
        <v>2394.5021247</v>
      </c>
      <c r="X170" s="5">
        <f>[1]Capital!W45+[1]Capital!W49</f>
        <v>2421.6013183999999</v>
      </c>
      <c r="Y170" s="5">
        <f>[1]Capital!X45+[1]Capital!X49</f>
        <v>2449.1844382999998</v>
      </c>
      <c r="Z170" s="5">
        <f>[1]Capital!Y45+[1]Capital!Y49</f>
        <v>2477.2578073999998</v>
      </c>
      <c r="AA170" s="5">
        <f>[1]Capital!Z45+[1]Capital!Z49</f>
        <v>2505.8234734000002</v>
      </c>
      <c r="AB170" s="5">
        <f>[1]Capital!AA45+[1]Capital!AA49</f>
        <v>2534.6350839000002</v>
      </c>
      <c r="AC170" s="5">
        <f>[1]Capital!AB45+[1]Capital!AB49</f>
        <v>2563.6853488000002</v>
      </c>
      <c r="AD170" s="5">
        <f>[1]Capital!AC45+[1]Capital!AC49</f>
        <v>2592.9676370000002</v>
      </c>
      <c r="AE170" s="5">
        <f>[1]Capital!AD45+[1]Capital!AD49</f>
        <v>2622.4726101000001</v>
      </c>
      <c r="AF170" s="5">
        <f>[1]Capital!AE45+[1]Capital!AE49</f>
        <v>2652.1927527999997</v>
      </c>
      <c r="AG170" s="5">
        <f>[1]Capital!AF45+[1]Capital!AF49</f>
        <v>2682.1241083999998</v>
      </c>
      <c r="AH170" s="5">
        <f>[1]Capital!AG45+[1]Capital!AG49</f>
        <v>2712.2663763</v>
      </c>
      <c r="AI170" s="5">
        <f>[1]Capital!AH45+[1]Capital!AH49</f>
        <v>2742.6223903</v>
      </c>
      <c r="AJ170" s="5">
        <f>[1]Capital!AI45+[1]Capital!AI49</f>
        <v>2773.1974341999999</v>
      </c>
      <c r="AK170" s="5">
        <f>[1]Capital!AJ45+[1]Capital!AJ49</f>
        <v>2803.9985922999999</v>
      </c>
      <c r="AL170" s="5">
        <f>[1]Capital!AK45+[1]Capital!AK49</f>
        <v>2835.0342211000002</v>
      </c>
      <c r="AM170" s="5">
        <f>[1]Capital!AL45+[1]Capital!AL49</f>
        <v>2866.2540610999999</v>
      </c>
      <c r="AN170" s="5">
        <f>[1]Capital!AM45+[1]Capital!AM49</f>
        <v>2897.6347083000001</v>
      </c>
      <c r="AO170" s="5">
        <f>[1]Capital!AN45+[1]Capital!AN49</f>
        <v>2929.1677209999998</v>
      </c>
      <c r="AP170" s="5">
        <f>[1]Capital!AO45+[1]Capital!AO49</f>
        <v>2960.8522422000001</v>
      </c>
      <c r="AQ170" s="5">
        <f>[1]Capital!AP45+[1]Capital!AP49</f>
        <v>2992.6918709000001</v>
      </c>
      <c r="AR170" s="5">
        <f>[1]Capital!AQ45+[1]Capital!AQ49</f>
        <v>3024.6879041000002</v>
      </c>
      <c r="AS170" s="5">
        <f>[1]Capital!AR45+[1]Capital!AR49</f>
        <v>3056.8428297</v>
      </c>
      <c r="AT170" s="5">
        <f>[1]Capital!AS45+[1]Capital!AS49</f>
        <v>3089.1619277</v>
      </c>
      <c r="AU170" s="5">
        <f>[1]Capital!AT45+[1]Capital!AT49</f>
        <v>3121.6537194000002</v>
      </c>
      <c r="AV170" s="5">
        <f>[1]Capital!AU45+[1]Capital!AU49</f>
        <v>3154.3299049000002</v>
      </c>
      <c r="AW170" s="5">
        <f>[1]Capital!AV45+[1]Capital!AV49</f>
        <v>3187.210235</v>
      </c>
      <c r="AX170" s="5">
        <f>[1]Capital!AW45+[1]Capital!AW49</f>
        <v>3220.3140598</v>
      </c>
      <c r="AY170" s="5">
        <f>[1]Capital!AX45+[1]Capital!AX49</f>
        <v>3253.6606772999999</v>
      </c>
      <c r="AZ170" s="5">
        <f>[1]Capital!AY45+[1]Capital!AY49</f>
        <v>3287.2693520000003</v>
      </c>
      <c r="BA170" s="5">
        <f>[1]Capital!AZ45+[1]Capital!AZ49</f>
        <v>3321.1590727000003</v>
      </c>
      <c r="BB170" s="5">
        <f>[1]Capital!BA45+[1]Capital!BA49</f>
        <v>3588.2409678999998</v>
      </c>
      <c r="BC170" s="5">
        <f>[1]Capital!BB45+[1]Capital!BB49</f>
        <v>3640.4128946999999</v>
      </c>
      <c r="BD170" s="5">
        <f>[1]Capital!BC45+[1]Capital!BC49</f>
        <v>3693.3943216000002</v>
      </c>
      <c r="BE170" s="5">
        <f>[1]Capital!BD45+[1]Capital!BD49</f>
        <v>3747.1915847999999</v>
      </c>
      <c r="BF170" s="5">
        <f>[1]Capital!BE45+[1]Capital!BE49</f>
        <v>3801.8124930999998</v>
      </c>
    </row>
    <row r="171" spans="1:58" x14ac:dyDescent="0.35">
      <c r="B171" t="s">
        <v>33</v>
      </c>
      <c r="C171" s="5">
        <f>[1]Capital!B51+[1]Capital!B53+[1]Capital!B55+[1]Capital!B57+[1]Capital!B59+[1]Capital!B61+[1]Capital!B63+[1]Capital!B65+[1]Capital!B67</f>
        <v>40302.199206360005</v>
      </c>
      <c r="D171" s="5">
        <f>[1]Capital!C51+[1]Capital!C53+[1]Capital!C55+[1]Capital!C57+[1]Capital!C59+[1]Capital!C61+[1]Capital!C63+[1]Capital!C65+[1]Capital!C67</f>
        <v>40759.993334040002</v>
      </c>
      <c r="E171" s="5">
        <f>[1]Capital!D51+[1]Capital!D53+[1]Capital!D55+[1]Capital!D57+[1]Capital!D59+[1]Capital!D61+[1]Capital!D63+[1]Capital!D65+[1]Capital!D67</f>
        <v>41207.818802260001</v>
      </c>
      <c r="F171" s="5">
        <f>[1]Capital!E51+[1]Capital!E53+[1]Capital!E55+[1]Capital!E57+[1]Capital!E59+[1]Capital!E61+[1]Capital!E63+[1]Capital!E65+[1]Capital!E67</f>
        <v>41644.131898550011</v>
      </c>
      <c r="G171" s="5">
        <f>[1]Capital!F51+[1]Capital!F53+[1]Capital!F55+[1]Capital!F57+[1]Capital!F59+[1]Capital!F61+[1]Capital!F63+[1]Capital!F65+[1]Capital!F67</f>
        <v>42069.976919270004</v>
      </c>
      <c r="H171" s="5">
        <f>[1]Capital!G51+[1]Capital!G53+[1]Capital!G55+[1]Capital!G57+[1]Capital!G59+[1]Capital!G61+[1]Capital!G63+[1]Capital!G65+[1]Capital!G67</f>
        <v>42487.294668990005</v>
      </c>
      <c r="I171" s="5">
        <f>[1]Capital!H51+[1]Capital!H53+[1]Capital!H55+[1]Capital!H57+[1]Capital!H59+[1]Capital!H61+[1]Capital!H63+[1]Capital!H65+[1]Capital!H67</f>
        <v>42896.95278408</v>
      </c>
      <c r="J171" s="5">
        <f>[1]Capital!I51+[1]Capital!I53+[1]Capital!I55+[1]Capital!I57+[1]Capital!I59+[1]Capital!I61+[1]Capital!I63+[1]Capital!I65+[1]Capital!I67</f>
        <v>43300.16783803</v>
      </c>
      <c r="K171" s="5">
        <f>[1]Capital!J51+[1]Capital!J53+[1]Capital!J55+[1]Capital!J57+[1]Capital!J59+[1]Capital!J61+[1]Capital!J63+[1]Capital!J65+[1]Capital!J67</f>
        <v>43698.281817770003</v>
      </c>
      <c r="L171" s="5">
        <f>[1]Capital!K51+[1]Capital!K53+[1]Capital!K55+[1]Capital!K57+[1]Capital!K59+[1]Capital!K61+[1]Capital!K63+[1]Capital!K65+[1]Capital!K67</f>
        <v>44092.555227850004</v>
      </c>
      <c r="M171" s="5">
        <f>[1]Capital!L51+[1]Capital!L53+[1]Capital!L55+[1]Capital!L57+[1]Capital!L59+[1]Capital!L61+[1]Capital!L63+[1]Capital!L65+[1]Capital!L67</f>
        <v>44486.491500240008</v>
      </c>
      <c r="N171" s="5">
        <f>[1]Capital!M51+[1]Capital!M53+[1]Capital!M55+[1]Capital!M57+[1]Capital!M59+[1]Capital!M61+[1]Capital!M63+[1]Capital!M65+[1]Capital!M67</f>
        <v>44880.254984729996</v>
      </c>
      <c r="O171" s="5">
        <f>[1]Capital!N51+[1]Capital!N53+[1]Capital!N55+[1]Capital!N57+[1]Capital!N59+[1]Capital!N61+[1]Capital!N63+[1]Capital!N65+[1]Capital!N67</f>
        <v>45273.932805930002</v>
      </c>
      <c r="P171" s="5">
        <f>[1]Capital!O51+[1]Capital!O53+[1]Capital!O55+[1]Capital!O57+[1]Capital!O59+[1]Capital!O61+[1]Capital!O63+[1]Capital!O65+[1]Capital!O67</f>
        <v>45667.801286900009</v>
      </c>
      <c r="Q171" s="5">
        <f>[1]Capital!P51+[1]Capital!P53+[1]Capital!P55+[1]Capital!P57+[1]Capital!P59+[1]Capital!P61+[1]Capital!P63+[1]Capital!P65+[1]Capital!P67</f>
        <v>46062.244360769997</v>
      </c>
      <c r="R171" s="5">
        <f>[1]Capital!Q51+[1]Capital!Q53+[1]Capital!Q55+[1]Capital!Q57+[1]Capital!Q59+[1]Capital!Q61+[1]Capital!Q63+[1]Capital!Q65+[1]Capital!Q67</f>
        <v>46457.70025347999</v>
      </c>
      <c r="S171" s="5">
        <f>[1]Capital!R51+[1]Capital!R53+[1]Capital!R55+[1]Capital!R57+[1]Capital!R59+[1]Capital!R61+[1]Capital!R63+[1]Capital!R65+[1]Capital!R67</f>
        <v>46854.633754020004</v>
      </c>
      <c r="T171" s="5">
        <f>[1]Capital!S51+[1]Capital!S53+[1]Capital!S55+[1]Capital!S57+[1]Capital!S59+[1]Capital!S61+[1]Capital!S63+[1]Capital!S65+[1]Capital!S67</f>
        <v>47253.519786719997</v>
      </c>
      <c r="U171" s="5">
        <f>[1]Capital!T51+[1]Capital!T53+[1]Capital!T55+[1]Capital!T57+[1]Capital!T59+[1]Capital!T61+[1]Capital!T63+[1]Capital!T65+[1]Capital!T67</f>
        <v>47654.833150319995</v>
      </c>
      <c r="V171" s="5">
        <f>[1]Capital!U51+[1]Capital!U53+[1]Capital!U55+[1]Capital!U57+[1]Capital!U59+[1]Capital!U61+[1]Capital!U63+[1]Capital!U65+[1]Capital!U67</f>
        <v>48059.042921140004</v>
      </c>
      <c r="W171" s="5">
        <f>[1]Capital!V51+[1]Capital!V53+[1]Capital!V55+[1]Capital!V57+[1]Capital!V59+[1]Capital!V61+[1]Capital!V63+[1]Capital!V65+[1]Capital!V67</f>
        <v>48464.885238340008</v>
      </c>
      <c r="X171" s="5">
        <f>[1]Capital!W51+[1]Capital!W53+[1]Capital!W55+[1]Capital!W57+[1]Capital!W59+[1]Capital!W61+[1]Capital!W63+[1]Capital!W65+[1]Capital!W67</f>
        <v>48873.384092209999</v>
      </c>
      <c r="Y171" s="5">
        <f>[1]Capital!X51+[1]Capital!X53+[1]Capital!X55+[1]Capital!X57+[1]Capital!X59+[1]Capital!X61+[1]Capital!X63+[1]Capital!X65+[1]Capital!X67</f>
        <v>49285.515547799987</v>
      </c>
      <c r="Z171" s="5">
        <f>[1]Capital!Y51+[1]Capital!Y53+[1]Capital!Y55+[1]Capital!Y57+[1]Capital!Y59+[1]Capital!Y61+[1]Capital!Y63+[1]Capital!Y65+[1]Capital!Y67</f>
        <v>49702.045990179991</v>
      </c>
      <c r="AA171" s="5">
        <f>[1]Capital!Z51+[1]Capital!Z53+[1]Capital!Z55+[1]Capital!Z57+[1]Capital!Z59+[1]Capital!Z61+[1]Capital!Z63+[1]Capital!Z65+[1]Capital!Z67</f>
        <v>50123.615614850016</v>
      </c>
      <c r="AB171" s="5">
        <f>[1]Capital!AA51+[1]Capital!AA53+[1]Capital!AA55+[1]Capital!AA57+[1]Capital!AA59+[1]Capital!AA61+[1]Capital!AA63+[1]Capital!AA65+[1]Capital!AA67</f>
        <v>50545.885590620004</v>
      </c>
      <c r="AC171" s="5">
        <f>[1]Capital!AB51+[1]Capital!AB53+[1]Capital!AB55+[1]Capital!AB57+[1]Capital!AB59+[1]Capital!AB61+[1]Capital!AB63+[1]Capital!AB65+[1]Capital!AB67</f>
        <v>50968.695211980004</v>
      </c>
      <c r="AD171" s="5">
        <f>[1]Capital!AC51+[1]Capital!AC53+[1]Capital!AC55+[1]Capital!AC57+[1]Capital!AC59+[1]Capital!AC61+[1]Capital!AC63+[1]Capital!AC65+[1]Capital!AC67</f>
        <v>51392.481896209996</v>
      </c>
      <c r="AE171" s="5">
        <f>[1]Capital!AD51+[1]Capital!AD53+[1]Capital!AD55+[1]Capital!AD57+[1]Capital!AD59+[1]Capital!AD61+[1]Capital!AD63+[1]Capital!AD65+[1]Capital!AD67</f>
        <v>51817.775027809999</v>
      </c>
      <c r="AF171" s="5">
        <f>[1]Capital!AE51+[1]Capital!AE53+[1]Capital!AE55+[1]Capital!AE57+[1]Capital!AE59+[1]Capital!AE61+[1]Capital!AE63+[1]Capital!AE65+[1]Capital!AE67</f>
        <v>52245.157442479991</v>
      </c>
      <c r="AG171" s="5">
        <f>[1]Capital!AF51+[1]Capital!AF53+[1]Capital!AF55+[1]Capital!AF57+[1]Capital!AF59+[1]Capital!AF61+[1]Capital!AF63+[1]Capital!AF65+[1]Capital!AF67</f>
        <v>52675.268834499999</v>
      </c>
      <c r="AH171" s="5">
        <f>[1]Capital!AG51+[1]Capital!AG53+[1]Capital!AG55+[1]Capital!AG57+[1]Capital!AG59+[1]Capital!AG61+[1]Capital!AG63+[1]Capital!AG65+[1]Capital!AG67</f>
        <v>53108.799620209997</v>
      </c>
      <c r="AI171" s="5">
        <f>[1]Capital!AH51+[1]Capital!AH53+[1]Capital!AH55+[1]Capital!AH57+[1]Capital!AH59+[1]Capital!AH61+[1]Capital!AH63+[1]Capital!AH65+[1]Capital!AH67</f>
        <v>53546.476502510006</v>
      </c>
      <c r="AJ171" s="5">
        <f>[1]Capital!AI51+[1]Capital!AI53+[1]Capital!AI55+[1]Capital!AI57+[1]Capital!AI59+[1]Capital!AI61+[1]Capital!AI63+[1]Capital!AI65+[1]Capital!AI67</f>
        <v>53989.045184059985</v>
      </c>
      <c r="AK171" s="5">
        <f>[1]Capital!AJ51+[1]Capital!AJ53+[1]Capital!AJ55+[1]Capital!AJ57+[1]Capital!AJ59+[1]Capital!AJ61+[1]Capital!AJ63+[1]Capital!AJ65+[1]Capital!AJ67</f>
        <v>54437.253707109987</v>
      </c>
      <c r="AL171" s="5">
        <f>[1]Capital!AK51+[1]Capital!AK53+[1]Capital!AK55+[1]Capital!AK57+[1]Capital!AK59+[1]Capital!AK61+[1]Capital!AK63+[1]Capital!AK65+[1]Capital!AK67</f>
        <v>54891.838189560003</v>
      </c>
      <c r="AM171" s="5">
        <f>[1]Capital!AL51+[1]Capital!AL53+[1]Capital!AL55+[1]Capital!AL57+[1]Capital!AL59+[1]Capital!AL61+[1]Capital!AL63+[1]Capital!AL65+[1]Capital!AL67</f>
        <v>55352.354395770002</v>
      </c>
      <c r="AN171" s="5">
        <f>[1]Capital!AM51+[1]Capital!AM53+[1]Capital!AM55+[1]Capital!AM57+[1]Capital!AM59+[1]Capital!AM61+[1]Capital!AM63+[1]Capital!AM65+[1]Capital!AM67</f>
        <v>55818.699772710002</v>
      </c>
      <c r="AO171" s="5">
        <f>[1]Capital!AN51+[1]Capital!AN53+[1]Capital!AN55+[1]Capital!AN57+[1]Capital!AN59+[1]Capital!AN61+[1]Capital!AN63+[1]Capital!AN65+[1]Capital!AN67</f>
        <v>56291.153945830003</v>
      </c>
      <c r="AP171" s="5">
        <f>[1]Capital!AO51+[1]Capital!AO53+[1]Capital!AO55+[1]Capital!AO57+[1]Capital!AO59+[1]Capital!AO61+[1]Capital!AO63+[1]Capital!AO65+[1]Capital!AO67</f>
        <v>56770.257063279998</v>
      </c>
      <c r="AQ171" s="5">
        <f>[1]Capital!AP51+[1]Capital!AP53+[1]Capital!AP55+[1]Capital!AP57+[1]Capital!AP59+[1]Capital!AP61+[1]Capital!AP63+[1]Capital!AP65+[1]Capital!AP67</f>
        <v>57256.684082650012</v>
      </c>
      <c r="AR171" s="5">
        <f>[1]Capital!AQ51+[1]Capital!AQ53+[1]Capital!AQ55+[1]Capital!AQ57+[1]Capital!AQ59+[1]Capital!AQ61+[1]Capital!AQ63+[1]Capital!AQ65+[1]Capital!AQ67</f>
        <v>57750.916286020009</v>
      </c>
      <c r="AS171" s="5">
        <f>[1]Capital!AR51+[1]Capital!AR53+[1]Capital!AR55+[1]Capital!AR57+[1]Capital!AR59+[1]Capital!AR61+[1]Capital!AR63+[1]Capital!AR65+[1]Capital!AR67</f>
        <v>58253.227419070012</v>
      </c>
      <c r="AT171" s="5">
        <f>[1]Capital!AS51+[1]Capital!AS53+[1]Capital!AS55+[1]Capital!AS57+[1]Capital!AS59+[1]Capital!AS61+[1]Capital!AS63+[1]Capital!AS65+[1]Capital!AS67</f>
        <v>58763.79089828</v>
      </c>
      <c r="AU171" s="5">
        <f>[1]Capital!AT51+[1]Capital!AT53+[1]Capital!AT55+[1]Capital!AT57+[1]Capital!AT59+[1]Capital!AT61+[1]Capital!AT63+[1]Capital!AT65+[1]Capital!AT67</f>
        <v>59282.818076449999</v>
      </c>
      <c r="AV171" s="5">
        <f>[1]Capital!AU51+[1]Capital!AU53+[1]Capital!AU55+[1]Capital!AU57+[1]Capital!AU59+[1]Capital!AU61+[1]Capital!AU63+[1]Capital!AU65+[1]Capital!AU67</f>
        <v>59810.646585389994</v>
      </c>
      <c r="AW171" s="5">
        <f>[1]Capital!AV51+[1]Capital!AV53+[1]Capital!AV55+[1]Capital!AV57+[1]Capital!AV59+[1]Capital!AV61+[1]Capital!AV63+[1]Capital!AV65+[1]Capital!AV67</f>
        <v>60347.858290159995</v>
      </c>
      <c r="AX171" s="5">
        <f>[1]Capital!AW51+[1]Capital!AW53+[1]Capital!AW55+[1]Capital!AW57+[1]Capital!AW59+[1]Capital!AW61+[1]Capital!AW63+[1]Capital!AW65+[1]Capital!AW67</f>
        <v>60895.107609999992</v>
      </c>
      <c r="AY171" s="5">
        <f>[1]Capital!AX51+[1]Capital!AX53+[1]Capital!AX55+[1]Capital!AX57+[1]Capital!AX59+[1]Capital!AX61+[1]Capital!AX63+[1]Capital!AX65+[1]Capital!AX67</f>
        <v>61453.072313569988</v>
      </c>
      <c r="AZ171" s="5">
        <f>[1]Capital!AY51+[1]Capital!AY53+[1]Capital!AY55+[1]Capital!AY57+[1]Capital!AY59+[1]Capital!AY61+[1]Capital!AY63+[1]Capital!AY65+[1]Capital!AY67</f>
        <v>62022.418611020003</v>
      </c>
      <c r="BA171" s="5">
        <f>[1]Capital!AZ51+[1]Capital!AZ53+[1]Capital!AZ55+[1]Capital!AZ57+[1]Capital!AZ59+[1]Capital!AZ61+[1]Capital!AZ63+[1]Capital!AZ65+[1]Capital!AZ67</f>
        <v>62603.775143999999</v>
      </c>
      <c r="BB171" s="5">
        <f>[1]Capital!BA51+[1]Capital!BA53+[1]Capital!BA55+[1]Capital!BA57+[1]Capital!BA59+[1]Capital!BA61+[1]Capital!BA63+[1]Capital!BA65+[1]Capital!BA67</f>
        <v>68008.589476100009</v>
      </c>
      <c r="BC171" s="5">
        <f>[1]Capital!BB51+[1]Capital!BB53+[1]Capital!BB55+[1]Capital!BB57+[1]Capital!BB59+[1]Capital!BB61+[1]Capital!BB63+[1]Capital!BB65+[1]Capital!BB67</f>
        <v>68908.919014700019</v>
      </c>
      <c r="BD171" s="5">
        <f>[1]Capital!BC51+[1]Capital!BC53+[1]Capital!BC55+[1]Capital!BC57+[1]Capital!BC59+[1]Capital!BC61+[1]Capital!BC63+[1]Capital!BC65+[1]Capital!BC67</f>
        <v>69826.220295000006</v>
      </c>
      <c r="BE171" s="5">
        <f>[1]Capital!BD51+[1]Capital!BD53+[1]Capital!BD55+[1]Capital!BD57+[1]Capital!BD59+[1]Capital!BD61+[1]Capital!BD63+[1]Capital!BD65+[1]Capital!BD67</f>
        <v>70760.591945599997</v>
      </c>
      <c r="BF171" s="5">
        <f>[1]Capital!BE51+[1]Capital!BE53+[1]Capital!BE55+[1]Capital!BE57+[1]Capital!BE59+[1]Capital!BE61+[1]Capital!BE63+[1]Capital!BE65+[1]Capital!BE67</f>
        <v>71712.145180200008</v>
      </c>
    </row>
    <row r="172" spans="1:58" x14ac:dyDescent="0.35"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</row>
    <row r="173" spans="1:58" x14ac:dyDescent="0.35">
      <c r="A173" s="12" t="s">
        <v>41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</row>
    <row r="174" spans="1:58" x14ac:dyDescent="0.35">
      <c r="A174" t="s">
        <v>39</v>
      </c>
      <c r="B174" t="s">
        <v>40</v>
      </c>
      <c r="C174" s="5">
        <f>[1]Capital!B2</f>
        <v>5224313.3459999999</v>
      </c>
      <c r="D174" s="5">
        <f>[1]Capital!C2</f>
        <v>5285856.449</v>
      </c>
      <c r="E174" s="5">
        <f>[1]Capital!D2</f>
        <v>5349367.0889999997</v>
      </c>
      <c r="F174" s="5">
        <f>[1]Capital!E2</f>
        <v>5415210.7149999999</v>
      </c>
      <c r="G174" s="5">
        <f>[1]Capital!F2</f>
        <v>5483669.9220000003</v>
      </c>
      <c r="H174" s="5">
        <f>[1]Capital!G2</f>
        <v>5554972.6270000003</v>
      </c>
      <c r="I174" s="5">
        <f>[1]Capital!H2</f>
        <v>5629108.9270000001</v>
      </c>
      <c r="J174" s="5">
        <f>[1]Capital!I2</f>
        <v>5706104.642</v>
      </c>
      <c r="K174" s="5">
        <f>[1]Capital!J2</f>
        <v>5786003.9919999996</v>
      </c>
      <c r="L174" s="5">
        <f>[1]Capital!K2</f>
        <v>5868852.9989999998</v>
      </c>
      <c r="M174" s="5">
        <f>[1]Capital!L2</f>
        <v>5955045.4380000001</v>
      </c>
      <c r="N174" s="5">
        <f>[1]Capital!M2</f>
        <v>6044495.1880000001</v>
      </c>
      <c r="O174" s="5">
        <f>[1]Capital!N2</f>
        <v>6137140.3480000002</v>
      </c>
      <c r="P174" s="5">
        <f>[1]Capital!O2</f>
        <v>6232936.6969999997</v>
      </c>
      <c r="Q174" s="5">
        <f>[1]Capital!P2</f>
        <v>6331844.9199999999</v>
      </c>
      <c r="R174" s="5">
        <f>[1]Capital!Q2</f>
        <v>6433826.5520000001</v>
      </c>
      <c r="S174" s="5">
        <f>[1]Capital!R2</f>
        <v>6538843.6399999997</v>
      </c>
      <c r="T174" s="5">
        <f>[1]Capital!S2</f>
        <v>6646860.7290000003</v>
      </c>
      <c r="U174" s="5">
        <f>[1]Capital!T2</f>
        <v>6757845.6140000001</v>
      </c>
      <c r="V174" s="5">
        <f>[1]Capital!U2</f>
        <v>6871769.6859999998</v>
      </c>
      <c r="W174" s="5">
        <f>[1]Capital!V2</f>
        <v>6988338.3370000003</v>
      </c>
      <c r="X174" s="5">
        <f>[1]Capital!W2</f>
        <v>7107614.966</v>
      </c>
      <c r="Y174" s="5">
        <f>[1]Capital!X2</f>
        <v>7229639.1770000001</v>
      </c>
      <c r="Z174" s="5">
        <f>[1]Capital!Y2</f>
        <v>7354430.9390000002</v>
      </c>
      <c r="AA174" s="5">
        <f>[1]Capital!Z2</f>
        <v>7482000.3310000002</v>
      </c>
      <c r="AB174" s="5">
        <f>[1]Capital!AA2</f>
        <v>7611563.3049999997</v>
      </c>
      <c r="AC174" s="5">
        <f>[1]Capital!AB2</f>
        <v>7742991.8940000003</v>
      </c>
      <c r="AD174" s="5">
        <f>[1]Capital!AC2</f>
        <v>7876189.9519999996</v>
      </c>
      <c r="AE174" s="5">
        <f>[1]Capital!AD2</f>
        <v>8011073.2130000005</v>
      </c>
      <c r="AF174" s="5">
        <f>[1]Capital!AE2</f>
        <v>8147572.0209999997</v>
      </c>
      <c r="AG174" s="5">
        <f>[1]Capital!AF2</f>
        <v>8285630.7189999996</v>
      </c>
      <c r="AH174" s="5">
        <f>[1]Capital!AG2</f>
        <v>8425204.5</v>
      </c>
      <c r="AI174" s="5">
        <f>[1]Capital!AH2</f>
        <v>8566255.0219999999</v>
      </c>
      <c r="AJ174" s="5">
        <f>[1]Capital!AI2</f>
        <v>8708746.7129999995</v>
      </c>
      <c r="AK174" s="5">
        <f>[1]Capital!AJ2</f>
        <v>8852643.9590000007</v>
      </c>
      <c r="AL174" s="5">
        <f>[1]Capital!AK2</f>
        <v>8997909.3839999996</v>
      </c>
      <c r="AM174" s="5">
        <f>[1]Capital!AL2</f>
        <v>9144310.0739999991</v>
      </c>
      <c r="AN174" s="5">
        <f>[1]Capital!AM2</f>
        <v>9291668.6899999995</v>
      </c>
      <c r="AO174" s="5">
        <f>[1]Capital!AN2</f>
        <v>9439847.6490000002</v>
      </c>
      <c r="AP174" s="5">
        <f>[1]Capital!AO2</f>
        <v>9588735.9900000002</v>
      </c>
      <c r="AQ174" s="5">
        <f>[1]Capital!AP2</f>
        <v>9738243.2689999994</v>
      </c>
      <c r="AR174" s="5">
        <f>[1]Capital!AQ2</f>
        <v>9888296.659</v>
      </c>
      <c r="AS174" s="5">
        <f>[1]Capital!AR2</f>
        <v>10038838.289999999</v>
      </c>
      <c r="AT174" s="5">
        <f>[1]Capital!AS2</f>
        <v>10189823.390000001</v>
      </c>
      <c r="AU174" s="5">
        <f>[1]Capital!AT2</f>
        <v>10341218.449999999</v>
      </c>
      <c r="AV174" s="5">
        <f>[1]Capital!AU2</f>
        <v>10492999.73</v>
      </c>
      <c r="AW174" s="5">
        <f>[1]Capital!AV2</f>
        <v>10645259.23</v>
      </c>
      <c r="AX174" s="5">
        <f>[1]Capital!AW2</f>
        <v>10798126.1</v>
      </c>
      <c r="AY174" s="5">
        <f>[1]Capital!AX2</f>
        <v>10951722.26</v>
      </c>
      <c r="AZ174" s="5">
        <f>[1]Capital!AY2</f>
        <v>11106140.369999999</v>
      </c>
      <c r="BA174" s="5">
        <f>[1]Capital!AZ2</f>
        <v>11261440.869999999</v>
      </c>
      <c r="BB174" s="5">
        <f>[1]Capital!BA2</f>
        <v>11978567.880000001</v>
      </c>
      <c r="BC174" s="5">
        <f>[1]Capital!BB2</f>
        <v>12204228.35</v>
      </c>
      <c r="BD174" s="5">
        <f>[1]Capital!BC2</f>
        <v>12433206.91</v>
      </c>
      <c r="BE174" s="5">
        <f>[1]Capital!BD2</f>
        <v>12665453.859999999</v>
      </c>
      <c r="BF174" s="5">
        <f>[1]Capital!BE2</f>
        <v>12900919.949999999</v>
      </c>
    </row>
    <row r="175" spans="1:58" x14ac:dyDescent="0.35">
      <c r="B175" t="s">
        <v>7</v>
      </c>
      <c r="C175" s="5">
        <f>[1]Capital!B4+[1]Capital!B6</f>
        <v>49057.959563999997</v>
      </c>
      <c r="D175" s="5">
        <f>[1]Capital!C4+[1]Capital!C6</f>
        <v>49620.800079000001</v>
      </c>
      <c r="E175" s="5">
        <f>[1]Capital!D4+[1]Capital!D6</f>
        <v>50186.180453000001</v>
      </c>
      <c r="F175" s="5">
        <f>[1]Capital!E4+[1]Capital!E6</f>
        <v>50754.720515000001</v>
      </c>
      <c r="G175" s="5">
        <f>[1]Capital!F4+[1]Capital!F6</f>
        <v>51327.627504999997</v>
      </c>
      <c r="H175" s="5">
        <f>[1]Capital!G4+[1]Capital!G6</f>
        <v>51906.36249</v>
      </c>
      <c r="I175" s="5">
        <f>[1]Capital!H4+[1]Capital!H6</f>
        <v>52489.664192999997</v>
      </c>
      <c r="J175" s="5">
        <f>[1]Capital!I4+[1]Capital!I6</f>
        <v>53077.733548999997</v>
      </c>
      <c r="K175" s="5">
        <f>[1]Capital!J4+[1]Capital!J6</f>
        <v>53671.231122000005</v>
      </c>
      <c r="L175" s="5">
        <f>[1]Capital!K4+[1]Capital!K6</f>
        <v>54270.837755</v>
      </c>
      <c r="M175" s="5">
        <f>[1]Capital!L4+[1]Capital!L6</f>
        <v>54881.718783999997</v>
      </c>
      <c r="N175" s="5">
        <f>[1]Capital!M4+[1]Capital!M6</f>
        <v>55501.275438999997</v>
      </c>
      <c r="O175" s="5">
        <f>[1]Capital!N4+[1]Capital!N6</f>
        <v>56128.457654999998</v>
      </c>
      <c r="P175" s="5">
        <f>[1]Capital!O4+[1]Capital!O6</f>
        <v>56762.774233000004</v>
      </c>
      <c r="Q175" s="5">
        <f>[1]Capital!P4+[1]Capital!P6</f>
        <v>57403.877142000005</v>
      </c>
      <c r="R175" s="5">
        <f>[1]Capital!Q4+[1]Capital!Q6</f>
        <v>58051.445075999996</v>
      </c>
      <c r="S175" s="5">
        <f>[1]Capital!R4+[1]Capital!R6</f>
        <v>58704.964120999997</v>
      </c>
      <c r="T175" s="5">
        <f>[1]Capital!S4+[1]Capital!S6</f>
        <v>59364.127646999994</v>
      </c>
      <c r="U175" s="5">
        <f>[1]Capital!T4+[1]Capital!T6</f>
        <v>60028.723680000003</v>
      </c>
      <c r="V175" s="5">
        <f>[1]Capital!U4+[1]Capital!U6</f>
        <v>60698.618237000002</v>
      </c>
      <c r="W175" s="5">
        <f>[1]Capital!V4+[1]Capital!V6</f>
        <v>61370.434061</v>
      </c>
      <c r="X175" s="5">
        <f>[1]Capital!W4+[1]Capital!W6</f>
        <v>62046.212886000001</v>
      </c>
      <c r="Y175" s="5">
        <f>[1]Capital!X4+[1]Capital!X6</f>
        <v>62726.917701000006</v>
      </c>
      <c r="Z175" s="5">
        <f>[1]Capital!Y4+[1]Capital!Y6</f>
        <v>63413.097962</v>
      </c>
      <c r="AA175" s="5">
        <f>[1]Capital!Z4+[1]Capital!Z6</f>
        <v>64105.189926999999</v>
      </c>
      <c r="AB175" s="5">
        <f>[1]Capital!AA4+[1]Capital!AA6</f>
        <v>64794.185047999999</v>
      </c>
      <c r="AC175" s="5">
        <f>[1]Capital!AB4+[1]Capital!AB6</f>
        <v>65481.875225999996</v>
      </c>
      <c r="AD175" s="5">
        <f>[1]Capital!AC4+[1]Capital!AC6</f>
        <v>66169.315270999999</v>
      </c>
      <c r="AE175" s="5">
        <f>[1]Capital!AD4+[1]Capital!AD6</f>
        <v>66857.26819100001</v>
      </c>
      <c r="AF175" s="5">
        <f>[1]Capital!AE4+[1]Capital!AE6</f>
        <v>67546.443392999994</v>
      </c>
      <c r="AG175" s="5">
        <f>[1]Capital!AF4+[1]Capital!AF6</f>
        <v>68237.556263000006</v>
      </c>
      <c r="AH175" s="5">
        <f>[1]Capital!AG4+[1]Capital!AG6</f>
        <v>68931.387253000008</v>
      </c>
      <c r="AI175" s="5">
        <f>[1]Capital!AH4+[1]Capital!AH6</f>
        <v>69628.654746999993</v>
      </c>
      <c r="AJ175" s="5">
        <f>[1]Capital!AI4+[1]Capital!AI6</f>
        <v>70330.036044999986</v>
      </c>
      <c r="AK175" s="5">
        <f>[1]Capital!AJ4+[1]Capital!AJ6</f>
        <v>71036.163973999996</v>
      </c>
      <c r="AL175" s="5">
        <f>[1]Capital!AK4+[1]Capital!AK6</f>
        <v>71747.621780000001</v>
      </c>
      <c r="AM175" s="5">
        <f>[1]Capital!AL4+[1]Capital!AL6</f>
        <v>72463.298372999998</v>
      </c>
      <c r="AN175" s="5">
        <f>[1]Capital!AM4+[1]Capital!AM6</f>
        <v>73182.868545999998</v>
      </c>
      <c r="AO175" s="5">
        <f>[1]Capital!AN4+[1]Capital!AN6</f>
        <v>73906.391717999999</v>
      </c>
      <c r="AP175" s="5">
        <f>[1]Capital!AO4+[1]Capital!AO6</f>
        <v>74634.089303000001</v>
      </c>
      <c r="AQ175" s="5">
        <f>[1]Capital!AP4+[1]Capital!AP6</f>
        <v>75366.258310000005</v>
      </c>
      <c r="AR175" s="5">
        <f>[1]Capital!AQ4+[1]Capital!AQ6</f>
        <v>76103.327411999999</v>
      </c>
      <c r="AS175" s="5">
        <f>[1]Capital!AR4+[1]Capital!AR6</f>
        <v>76845.664531999995</v>
      </c>
      <c r="AT175" s="5">
        <f>[1]Capital!AS4+[1]Capital!AS6</f>
        <v>77593.626000000004</v>
      </c>
      <c r="AU175" s="5">
        <f>[1]Capital!AT4+[1]Capital!AT6</f>
        <v>78347.563934999998</v>
      </c>
      <c r="AV175" s="5">
        <f>[1]Capital!AU4+[1]Capital!AU6</f>
        <v>79107.824839000008</v>
      </c>
      <c r="AW175" s="5">
        <f>[1]Capital!AV4+[1]Capital!AV6</f>
        <v>79878.651155</v>
      </c>
      <c r="AX175" s="5">
        <f>[1]Capital!AW4+[1]Capital!AW6</f>
        <v>80663.825491999989</v>
      </c>
      <c r="AY175" s="5">
        <f>[1]Capital!AX4+[1]Capital!AX6</f>
        <v>81466.177546999999</v>
      </c>
      <c r="AZ175" s="5">
        <f>[1]Capital!AY4+[1]Capital!AY6</f>
        <v>82287.612518000009</v>
      </c>
      <c r="BA175" s="5">
        <f>[1]Capital!AZ4+[1]Capital!AZ6</f>
        <v>83129.316433999993</v>
      </c>
      <c r="BB175" s="5">
        <f>[1]Capital!BA4+[1]Capital!BA6</f>
        <v>105834.417663</v>
      </c>
      <c r="BC175" s="5">
        <f>[1]Capital!BB4+[1]Capital!BB6</f>
        <v>107731.277131</v>
      </c>
      <c r="BD175" s="5">
        <f>[1]Capital!BC4+[1]Capital!BC6</f>
        <v>109661.173695</v>
      </c>
      <c r="BE175" s="5">
        <f>[1]Capital!BD4+[1]Capital!BD6</f>
        <v>111624.429311</v>
      </c>
      <c r="BF175" s="5">
        <f>[1]Capital!BE4+[1]Capital!BE6</f>
        <v>113621.388359</v>
      </c>
    </row>
    <row r="176" spans="1:58" x14ac:dyDescent="0.35">
      <c r="B176" t="s">
        <v>30</v>
      </c>
      <c r="C176" s="5">
        <f>[1]Capital!B8+[1]Capital!B10+[1]Capital!B13+[1]Capital!B14+[1]Capital!B16+[1]Capital!B18+[1]Capital!B20+[1]Capital!B22+[1]Capital!B24+[1]Capital!B26+[1]Capital!B40</f>
        <v>2595723.9934280002</v>
      </c>
      <c r="D176" s="5">
        <f>[1]Capital!C8+[1]Capital!C10+[1]Capital!C13+[1]Capital!C14+[1]Capital!C16+[1]Capital!C18+[1]Capital!C20+[1]Capital!C22+[1]Capital!C24+[1]Capital!C26+[1]Capital!C40</f>
        <v>2626384.0018259999</v>
      </c>
      <c r="E176" s="5">
        <f>[1]Capital!D8+[1]Capital!D10+[1]Capital!D13+[1]Capital!D14+[1]Capital!D16+[1]Capital!D18+[1]Capital!D20+[1]Capital!D22+[1]Capital!D24+[1]Capital!D26+[1]Capital!D40</f>
        <v>2658166.7563700001</v>
      </c>
      <c r="F176" s="5">
        <f>[1]Capital!E8+[1]Capital!E10+[1]Capital!E13+[1]Capital!E14+[1]Capital!E16+[1]Capital!E18+[1]Capital!E20+[1]Capital!E22+[1]Capital!E24+[1]Capital!E26+[1]Capital!E40</f>
        <v>2691251.8067040001</v>
      </c>
      <c r="G176" s="5">
        <f>[1]Capital!F8+[1]Capital!F10+[1]Capital!F13+[1]Capital!F14+[1]Capital!F16+[1]Capital!F18+[1]Capital!F20+[1]Capital!F22+[1]Capital!F24+[1]Capital!F26+[1]Capital!F40</f>
        <v>2725759.2590900003</v>
      </c>
      <c r="H176" s="5">
        <f>[1]Capital!G8+[1]Capital!G10+[1]Capital!G13+[1]Capital!G14+[1]Capital!G16+[1]Capital!G18+[1]Capital!G20+[1]Capital!G22+[1]Capital!G24+[1]Capital!G26+[1]Capital!G40</f>
        <v>2761782.3626600001</v>
      </c>
      <c r="I176" s="5">
        <f>[1]Capital!H8+[1]Capital!H10+[1]Capital!H13+[1]Capital!H14+[1]Capital!H16+[1]Capital!H18+[1]Capital!H20+[1]Capital!H22+[1]Capital!H24+[1]Capital!H26+[1]Capital!H40</f>
        <v>2799316.3780720001</v>
      </c>
      <c r="J176" s="5">
        <f>[1]Capital!I8+[1]Capital!I10+[1]Capital!I13+[1]Capital!I14+[1]Capital!I16+[1]Capital!I18+[1]Capital!I20+[1]Capital!I22+[1]Capital!I24+[1]Capital!I26+[1]Capital!I40</f>
        <v>2838374.5141629996</v>
      </c>
      <c r="K176" s="5">
        <f>[1]Capital!J8+[1]Capital!J10+[1]Capital!J13+[1]Capital!J14+[1]Capital!J16+[1]Capital!J18+[1]Capital!J20+[1]Capital!J22+[1]Capital!J24+[1]Capital!J26+[1]Capital!J40</f>
        <v>2878983.8574509998</v>
      </c>
      <c r="L176" s="5">
        <f>[1]Capital!K8+[1]Capital!K10+[1]Capital!K13+[1]Capital!K14+[1]Capital!K16+[1]Capital!K18+[1]Capital!K20+[1]Capital!K22+[1]Capital!K24+[1]Capital!K26+[1]Capital!K40</f>
        <v>2921177.5746360002</v>
      </c>
      <c r="M176" s="5">
        <f>[1]Capital!L8+[1]Capital!L10+[1]Capital!L13+[1]Capital!L14+[1]Capital!L16+[1]Capital!L18+[1]Capital!L20+[1]Capital!L22+[1]Capital!L24+[1]Capital!L26+[1]Capital!L40</f>
        <v>2965145.0517770001</v>
      </c>
      <c r="N176" s="5">
        <f>[1]Capital!M8+[1]Capital!M10+[1]Capital!M13+[1]Capital!M14+[1]Capital!M16+[1]Capital!M18+[1]Capital!M20+[1]Capital!M22+[1]Capital!M24+[1]Capital!M26+[1]Capital!M40</f>
        <v>3010877.5500699999</v>
      </c>
      <c r="O176" s="5">
        <f>[1]Capital!N8+[1]Capital!N10+[1]Capital!N13+[1]Capital!N14+[1]Capital!N16+[1]Capital!N18+[1]Capital!N20+[1]Capital!N22+[1]Capital!N24+[1]Capital!N26+[1]Capital!N40</f>
        <v>3058369.1884079999</v>
      </c>
      <c r="P176" s="5">
        <f>[1]Capital!O8+[1]Capital!O10+[1]Capital!O13+[1]Capital!O14+[1]Capital!O16+[1]Capital!O18+[1]Capital!O20+[1]Capital!O22+[1]Capital!O24+[1]Capital!O26+[1]Capital!O40</f>
        <v>3107618.3260260001</v>
      </c>
      <c r="Q176" s="5">
        <f>[1]Capital!P8+[1]Capital!P10+[1]Capital!P13+[1]Capital!P14+[1]Capital!P16+[1]Capital!P18+[1]Capital!P20+[1]Capital!P22+[1]Capital!P24+[1]Capital!P26+[1]Capital!P40</f>
        <v>3158623.6933559999</v>
      </c>
      <c r="R176" s="5">
        <f>[1]Capital!Q8+[1]Capital!Q10+[1]Capital!Q13+[1]Capital!Q14+[1]Capital!Q16+[1]Capital!Q18+[1]Capital!Q20+[1]Capital!Q22+[1]Capital!Q24+[1]Capital!Q26+[1]Capital!Q40</f>
        <v>3211382.7789389999</v>
      </c>
      <c r="S176" s="5">
        <f>[1]Capital!R8+[1]Capital!R10+[1]Capital!R13+[1]Capital!R14+[1]Capital!R16+[1]Capital!R18+[1]Capital!R20+[1]Capital!R22+[1]Capital!R24+[1]Capital!R26+[1]Capital!R40</f>
        <v>3265891.6919650002</v>
      </c>
      <c r="T176" s="5">
        <f>[1]Capital!S8+[1]Capital!S10+[1]Capital!S13+[1]Capital!S14+[1]Capital!S16+[1]Capital!S18+[1]Capital!S20+[1]Capital!S22+[1]Capital!S24+[1]Capital!S26+[1]Capital!S40</f>
        <v>3322145.6827649996</v>
      </c>
      <c r="U176" s="5">
        <f>[1]Capital!T8+[1]Capital!T10+[1]Capital!T13+[1]Capital!T14+[1]Capital!T16+[1]Capital!T18+[1]Capital!T20+[1]Capital!T22+[1]Capital!T24+[1]Capital!T26+[1]Capital!T40</f>
        <v>3380139.6151700001</v>
      </c>
      <c r="V176" s="5">
        <f>[1]Capital!U8+[1]Capital!U10+[1]Capital!U13+[1]Capital!U14+[1]Capital!U16+[1]Capital!U18+[1]Capital!U20+[1]Capital!U22+[1]Capital!U24+[1]Capital!U26+[1]Capital!U40</f>
        <v>3439868.2471249998</v>
      </c>
      <c r="W176" s="5">
        <f>[1]Capital!V8+[1]Capital!V10+[1]Capital!V13+[1]Capital!V14+[1]Capital!V16+[1]Capital!V18+[1]Capital!V20+[1]Capital!V22+[1]Capital!V24+[1]Capital!V26+[1]Capital!V40</f>
        <v>3501207.1974880002</v>
      </c>
      <c r="X176" s="5">
        <f>[1]Capital!W8+[1]Capital!W10+[1]Capital!W13+[1]Capital!W14+[1]Capital!W16+[1]Capital!W18+[1]Capital!W20+[1]Capital!W22+[1]Capital!W24+[1]Capital!W26+[1]Capital!W40</f>
        <v>3564179.8204080001</v>
      </c>
      <c r="Y176" s="5">
        <f>[1]Capital!X8+[1]Capital!X10+[1]Capital!X13+[1]Capital!X14+[1]Capital!X16+[1]Capital!X18+[1]Capital!X20+[1]Capital!X22+[1]Capital!X24+[1]Capital!X26+[1]Capital!X40</f>
        <v>3628803.6039759996</v>
      </c>
      <c r="Z176" s="5">
        <f>[1]Capital!Y8+[1]Capital!Y10+[1]Capital!Y13+[1]Capital!Y14+[1]Capital!Y16+[1]Capital!Y18+[1]Capital!Y20+[1]Capital!Y22+[1]Capital!Y24+[1]Capital!Y26+[1]Capital!Y40</f>
        <v>3695088.124111</v>
      </c>
      <c r="AA176" s="5">
        <f>[1]Capital!Z8+[1]Capital!Z10+[1]Capital!Z13+[1]Capital!Z14+[1]Capital!Z16+[1]Capital!Z18+[1]Capital!Z20+[1]Capital!Z22+[1]Capital!Z24+[1]Capital!Z26+[1]Capital!Z40</f>
        <v>3763037.5543770003</v>
      </c>
      <c r="AB176" s="5">
        <f>[1]Capital!AA8+[1]Capital!AA10+[1]Capital!AA13+[1]Capital!AA14+[1]Capital!AA16+[1]Capital!AA18+[1]Capital!AA20+[1]Capital!AA22+[1]Capital!AA24+[1]Capital!AA26+[1]Capital!AA40</f>
        <v>3832302.4948020005</v>
      </c>
      <c r="AC176" s="5">
        <f>[1]Capital!AB8+[1]Capital!AB10+[1]Capital!AB13+[1]Capital!AB14+[1]Capital!AB16+[1]Capital!AB18+[1]Capital!AB20+[1]Capital!AB22+[1]Capital!AB24+[1]Capital!AB26+[1]Capital!AB40</f>
        <v>3902795.6852770001</v>
      </c>
      <c r="AD176" s="5">
        <f>[1]Capital!AC8+[1]Capital!AC10+[1]Capital!AC13+[1]Capital!AC14+[1]Capital!AC16+[1]Capital!AC18+[1]Capital!AC20+[1]Capital!AC22+[1]Capital!AC24+[1]Capital!AC26+[1]Capital!AC40</f>
        <v>3974447.8258139999</v>
      </c>
      <c r="AE176" s="5">
        <f>[1]Capital!AD8+[1]Capital!AD10+[1]Capital!AD13+[1]Capital!AD14+[1]Capital!AD16+[1]Capital!AD18+[1]Capital!AD20+[1]Capital!AD22+[1]Capital!AD24+[1]Capital!AD26+[1]Capital!AD40</f>
        <v>4047195.6677590003</v>
      </c>
      <c r="AF176" s="5">
        <f>[1]Capital!AE8+[1]Capital!AE10+[1]Capital!AE13+[1]Capital!AE14+[1]Capital!AE16+[1]Capital!AE18+[1]Capital!AE20+[1]Capital!AE22+[1]Capital!AE24+[1]Capital!AE26+[1]Capital!AE40</f>
        <v>4120981.1092819995</v>
      </c>
      <c r="AG176" s="5">
        <f>[1]Capital!AF8+[1]Capital!AF10+[1]Capital!AF13+[1]Capital!AF14+[1]Capital!AF16+[1]Capital!AF18+[1]Capital!AF20+[1]Capital!AF22+[1]Capital!AF24+[1]Capital!AF26+[1]Capital!AF40</f>
        <v>4195750.4953760002</v>
      </c>
      <c r="AH176" s="5">
        <f>[1]Capital!AG8+[1]Capital!AG10+[1]Capital!AG13+[1]Capital!AG14+[1]Capital!AG16+[1]Capital!AG18+[1]Capital!AG20+[1]Capital!AG22+[1]Capital!AG24+[1]Capital!AG26+[1]Capital!AG40</f>
        <v>4271453.3969060006</v>
      </c>
      <c r="AI176" s="5">
        <f>[1]Capital!AH8+[1]Capital!AH10+[1]Capital!AH13+[1]Capital!AH14+[1]Capital!AH16+[1]Capital!AH18+[1]Capital!AH20+[1]Capital!AH22+[1]Capital!AH24+[1]Capital!AH26+[1]Capital!AH40</f>
        <v>4348041.0518620005</v>
      </c>
      <c r="AJ176" s="5">
        <f>[1]Capital!AI8+[1]Capital!AI10+[1]Capital!AI13+[1]Capital!AI14+[1]Capital!AI16+[1]Capital!AI18+[1]Capital!AI20+[1]Capital!AI22+[1]Capital!AI24+[1]Capital!AI26+[1]Capital!AI40</f>
        <v>4425464.9187380001</v>
      </c>
      <c r="AK176" s="5">
        <f>[1]Capital!AJ8+[1]Capital!AJ10+[1]Capital!AJ13+[1]Capital!AJ14+[1]Capital!AJ16+[1]Capital!AJ18+[1]Capital!AJ20+[1]Capital!AJ22+[1]Capital!AJ24+[1]Capital!AJ26+[1]Capital!AJ40</f>
        <v>4503675.5635410007</v>
      </c>
      <c r="AL176" s="5">
        <f>[1]Capital!AK8+[1]Capital!AK10+[1]Capital!AK13+[1]Capital!AK14+[1]Capital!AK16+[1]Capital!AK18+[1]Capital!AK20+[1]Capital!AK22+[1]Capital!AK24+[1]Capital!AK26+[1]Capital!AK40</f>
        <v>4582622.006844</v>
      </c>
      <c r="AM176" s="5">
        <f>[1]Capital!AL8+[1]Capital!AL10+[1]Capital!AL13+[1]Capital!AL14+[1]Capital!AL16+[1]Capital!AL18+[1]Capital!AL20+[1]Capital!AL22+[1]Capital!AL24+[1]Capital!AL26+[1]Capital!AL40</f>
        <v>4662164.8953750003</v>
      </c>
      <c r="AN176" s="5">
        <f>[1]Capital!AM8+[1]Capital!AM10+[1]Capital!AM13+[1]Capital!AM14+[1]Capital!AM16+[1]Capital!AM18+[1]Capital!AM20+[1]Capital!AM22+[1]Capital!AM24+[1]Capital!AM26+[1]Capital!AM40</f>
        <v>4742182.6412419993</v>
      </c>
      <c r="AO176" s="5">
        <f>[1]Capital!AN8+[1]Capital!AN10+[1]Capital!AN13+[1]Capital!AN14+[1]Capital!AN16+[1]Capital!AN18+[1]Capital!AN20+[1]Capital!AN22+[1]Capital!AN24+[1]Capital!AN26+[1]Capital!AN40</f>
        <v>4822569.0031110002</v>
      </c>
      <c r="AP176" s="5">
        <f>[1]Capital!AO8+[1]Capital!AO10+[1]Capital!AO13+[1]Capital!AO14+[1]Capital!AO16+[1]Capital!AO18+[1]Capital!AO20+[1]Capital!AO22+[1]Capital!AO24+[1]Capital!AO26+[1]Capital!AO40</f>
        <v>4903229.2698719995</v>
      </c>
      <c r="AQ176" s="5">
        <f>[1]Capital!AP8+[1]Capital!AP10+[1]Capital!AP13+[1]Capital!AP14+[1]Capital!AP16+[1]Capital!AP18+[1]Capital!AP20+[1]Capital!AP22+[1]Capital!AP24+[1]Capital!AP26+[1]Capital!AP40</f>
        <v>4984078.3137600003</v>
      </c>
      <c r="AR176" s="5">
        <f>[1]Capital!AQ8+[1]Capital!AQ10+[1]Capital!AQ13+[1]Capital!AQ14+[1]Capital!AQ16+[1]Capital!AQ18+[1]Capital!AQ20+[1]Capital!AQ22+[1]Capital!AQ24+[1]Capital!AQ26+[1]Capital!AQ40</f>
        <v>5065039.9408200001</v>
      </c>
      <c r="AS176" s="5">
        <f>[1]Capital!AR8+[1]Capital!AR10+[1]Capital!AR13+[1]Capital!AR14+[1]Capital!AR16+[1]Capital!AR18+[1]Capital!AR20+[1]Capital!AR22+[1]Capital!AR24+[1]Capital!AR26+[1]Capital!AR40</f>
        <v>5146046.1866199998</v>
      </c>
      <c r="AT176" s="5">
        <f>[1]Capital!AS8+[1]Capital!AS10+[1]Capital!AS13+[1]Capital!AS14+[1]Capital!AS16+[1]Capital!AS18+[1]Capital!AS20+[1]Capital!AS22+[1]Capital!AS24+[1]Capital!AS26+[1]Capital!AS40</f>
        <v>5227036.7699299995</v>
      </c>
      <c r="AU176" s="5">
        <f>[1]Capital!AT8+[1]Capital!AT10+[1]Capital!AT13+[1]Capital!AT14+[1]Capital!AT16+[1]Capital!AT18+[1]Capital!AT20+[1]Capital!AT22+[1]Capital!AT24+[1]Capital!AT26+[1]Capital!AT40</f>
        <v>5307958.6283300007</v>
      </c>
      <c r="AV176" s="5">
        <f>[1]Capital!AU8+[1]Capital!AU10+[1]Capital!AU13+[1]Capital!AU14+[1]Capital!AU16+[1]Capital!AU18+[1]Capital!AU20+[1]Capital!AU22+[1]Capital!AU24+[1]Capital!AU26+[1]Capital!AU40</f>
        <v>5388765.5578500004</v>
      </c>
      <c r="AW176" s="5">
        <f>[1]Capital!AV8+[1]Capital!AV10+[1]Capital!AV13+[1]Capital!AV14+[1]Capital!AV16+[1]Capital!AV18+[1]Capital!AV20+[1]Capital!AV22+[1]Capital!AV24+[1]Capital!AV26+[1]Capital!AV40</f>
        <v>5469468.6354200002</v>
      </c>
      <c r="AX176" s="5">
        <f>[1]Capital!AW8+[1]Capital!AW10+[1]Capital!AW13+[1]Capital!AW14+[1]Capital!AW16+[1]Capital!AW18+[1]Capital!AW20+[1]Capital!AW22+[1]Capital!AW24+[1]Capital!AW26+[1]Capital!AW40</f>
        <v>5550107.89224</v>
      </c>
      <c r="AY176" s="5">
        <f>[1]Capital!AX8+[1]Capital!AX10+[1]Capital!AX13+[1]Capital!AX14+[1]Capital!AX16+[1]Capital!AX18+[1]Capital!AX20+[1]Capital!AX22+[1]Capital!AX24+[1]Capital!AX26+[1]Capital!AX40</f>
        <v>5630729.2197899995</v>
      </c>
      <c r="AZ176" s="5">
        <f>[1]Capital!AY8+[1]Capital!AY10+[1]Capital!AY13+[1]Capital!AY14+[1]Capital!AY16+[1]Capital!AY18+[1]Capital!AY20+[1]Capital!AY22+[1]Capital!AY24+[1]Capital!AY26+[1]Capital!AY40</f>
        <v>5711369.69288</v>
      </c>
      <c r="BA176" s="5">
        <f>[1]Capital!AZ8+[1]Capital!AZ10+[1]Capital!AZ13+[1]Capital!AZ14+[1]Capital!AZ16+[1]Capital!AZ18+[1]Capital!AZ20+[1]Capital!AZ22+[1]Capital!AZ24+[1]Capital!AZ26+[1]Capital!AZ40</f>
        <v>5792052.7045999998</v>
      </c>
      <c r="BB176" s="5">
        <f>[1]Capital!BA8+[1]Capital!BA10+[1]Capital!BA13+[1]Capital!BA14+[1]Capital!BA16+[1]Capital!BA18+[1]Capital!BA20+[1]Capital!BA22+[1]Capital!BA24+[1]Capital!BA26+[1]Capital!BA40</f>
        <v>6209852.2842600001</v>
      </c>
      <c r="BC176" s="5">
        <f>[1]Capital!BB8+[1]Capital!BB10+[1]Capital!BB13+[1]Capital!BB14+[1]Capital!BB16+[1]Capital!BB18+[1]Capital!BB20+[1]Capital!BB22+[1]Capital!BB24+[1]Capital!BB26+[1]Capital!BB40</f>
        <v>6334641.4243200002</v>
      </c>
      <c r="BD176" s="5">
        <f>[1]Capital!BC8+[1]Capital!BC10+[1]Capital!BC13+[1]Capital!BC14+[1]Capital!BC16+[1]Capital!BC18+[1]Capital!BC20+[1]Capital!BC22+[1]Capital!BC24+[1]Capital!BC26+[1]Capital!BC40</f>
        <v>6461142.51413</v>
      </c>
      <c r="BE176" s="5">
        <f>[1]Capital!BD8+[1]Capital!BD10+[1]Capital!BD13+[1]Capital!BD14+[1]Capital!BD16+[1]Capital!BD18+[1]Capital!BD20+[1]Capital!BD22+[1]Capital!BD24+[1]Capital!BD26+[1]Capital!BD40</f>
        <v>6589295.0747100003</v>
      </c>
      <c r="BF176" s="5">
        <f>[1]Capital!BE8+[1]Capital!BE10+[1]Capital!BE13+[1]Capital!BE14+[1]Capital!BE16+[1]Capital!BE18+[1]Capital!BE20+[1]Capital!BE22+[1]Capital!BE24+[1]Capital!BE26+[1]Capital!BE40</f>
        <v>6719038.0679900004</v>
      </c>
    </row>
    <row r="177" spans="1:58" x14ac:dyDescent="0.35">
      <c r="B177" t="s">
        <v>9</v>
      </c>
      <c r="C177" s="5">
        <f>[1]Capital!B28+[1]Capital!B30+[1]Capital!B32+[1]Capital!B34</f>
        <v>88560.859881000011</v>
      </c>
      <c r="D177" s="5">
        <f>[1]Capital!C28+[1]Capital!C30+[1]Capital!C32+[1]Capital!C34</f>
        <v>89607.169242999997</v>
      </c>
      <c r="E177" s="5">
        <f>[1]Capital!D28+[1]Capital!D30+[1]Capital!D32+[1]Capital!D34</f>
        <v>90686.351699000006</v>
      </c>
      <c r="F177" s="5">
        <f>[1]Capital!E28+[1]Capital!E30+[1]Capital!E32+[1]Capital!E34</f>
        <v>91803.350099000003</v>
      </c>
      <c r="G177" s="5">
        <f>[1]Capital!F28+[1]Capital!F30+[1]Capital!F32+[1]Capital!F34</f>
        <v>92961.830463000006</v>
      </c>
      <c r="H177" s="5">
        <f>[1]Capital!G28+[1]Capital!G30+[1]Capital!G32+[1]Capital!G34</f>
        <v>94164.500946999993</v>
      </c>
      <c r="I177" s="5">
        <f>[1]Capital!H28+[1]Capital!H30+[1]Capital!H32+[1]Capital!H34</f>
        <v>95409.006445000006</v>
      </c>
      <c r="J177" s="5">
        <f>[1]Capital!I28+[1]Capital!I30+[1]Capital!I32+[1]Capital!I34</f>
        <v>96694.599333999999</v>
      </c>
      <c r="K177" s="5">
        <f>[1]Capital!J28+[1]Capital!J30+[1]Capital!J32+[1]Capital!J34</f>
        <v>98021.057923999993</v>
      </c>
      <c r="L177" s="5">
        <f>[1]Capital!K28+[1]Capital!K30+[1]Capital!K32+[1]Capital!K34</f>
        <v>99388.20508</v>
      </c>
      <c r="M177" s="5">
        <f>[1]Capital!L28+[1]Capital!L30+[1]Capital!L32+[1]Capital!L34</f>
        <v>100803.32441599999</v>
      </c>
      <c r="N177" s="5">
        <f>[1]Capital!M28+[1]Capital!M30+[1]Capital!M32+[1]Capital!M34</f>
        <v>102261.994152</v>
      </c>
      <c r="O177" s="5">
        <f>[1]Capital!N28+[1]Capital!N30+[1]Capital!N32+[1]Capital!N34</f>
        <v>103761.81816899999</v>
      </c>
      <c r="P177" s="5">
        <f>[1]Capital!O28+[1]Capital!O30+[1]Capital!O32+[1]Capital!O34</f>
        <v>105301.31606999999</v>
      </c>
      <c r="Q177" s="5">
        <f>[1]Capital!P28+[1]Capital!P30+[1]Capital!P32+[1]Capital!P34</f>
        <v>106879.33913100002</v>
      </c>
      <c r="R177" s="5">
        <f>[1]Capital!Q28+[1]Capital!Q30+[1]Capital!Q32+[1]Capital!Q34</f>
        <v>108494.895017</v>
      </c>
      <c r="S177" s="5">
        <f>[1]Capital!R28+[1]Capital!R30+[1]Capital!R32+[1]Capital!R34</f>
        <v>110147.109731</v>
      </c>
      <c r="T177" s="5">
        <f>[1]Capital!S28+[1]Capital!S30+[1]Capital!S32+[1]Capital!S34</f>
        <v>111835.24675999998</v>
      </c>
      <c r="U177" s="5">
        <f>[1]Capital!T28+[1]Capital!T30+[1]Capital!T32+[1]Capital!T34</f>
        <v>113558.711373</v>
      </c>
      <c r="V177" s="5">
        <f>[1]Capital!U28+[1]Capital!U30+[1]Capital!U32+[1]Capital!U34</f>
        <v>115317.05030800001</v>
      </c>
      <c r="W177" s="5">
        <f>[1]Capital!V28+[1]Capital!V30+[1]Capital!V32+[1]Capital!V34</f>
        <v>117104.21747</v>
      </c>
      <c r="X177" s="5">
        <f>[1]Capital!W28+[1]Capital!W30+[1]Capital!W32+[1]Capital!W34</f>
        <v>118923.054464</v>
      </c>
      <c r="Y177" s="5">
        <f>[1]Capital!X28+[1]Capital!X30+[1]Capital!X32+[1]Capital!X34</f>
        <v>120774.911469</v>
      </c>
      <c r="Z177" s="5">
        <f>[1]Capital!Y28+[1]Capital!Y30+[1]Capital!Y32+[1]Capital!Y34</f>
        <v>122660.49204699999</v>
      </c>
      <c r="AA177" s="5">
        <f>[1]Capital!Z28+[1]Capital!Z30+[1]Capital!Z32+[1]Capital!Z34</f>
        <v>124580.30419900001</v>
      </c>
      <c r="AB177" s="5">
        <f>[1]Capital!AA28+[1]Capital!AA30+[1]Capital!AA32+[1]Capital!AA34</f>
        <v>126518.093784</v>
      </c>
      <c r="AC177" s="5">
        <f>[1]Capital!AB28+[1]Capital!AB30+[1]Capital!AB32+[1]Capital!AB34</f>
        <v>128475.19725300001</v>
      </c>
      <c r="AD177" s="5">
        <f>[1]Capital!AC28+[1]Capital!AC30+[1]Capital!AC32+[1]Capital!AC34</f>
        <v>130452.35449</v>
      </c>
      <c r="AE177" s="5">
        <f>[1]Capital!AD28+[1]Capital!AD30+[1]Capital!AD32+[1]Capital!AD34</f>
        <v>132450.049253</v>
      </c>
      <c r="AF177" s="5">
        <f>[1]Capital!AE28+[1]Capital!AE30+[1]Capital!AE32+[1]Capital!AE34</f>
        <v>134468.85422400001</v>
      </c>
      <c r="AG177" s="5">
        <f>[1]Capital!AF28+[1]Capital!AF30+[1]Capital!AF32+[1]Capital!AF34</f>
        <v>136509.51043900001</v>
      </c>
      <c r="AH177" s="5">
        <f>[1]Capital!AG28+[1]Capital!AG30+[1]Capital!AG32+[1]Capital!AG34</f>
        <v>138572.89966</v>
      </c>
      <c r="AI177" s="5">
        <f>[1]Capital!AH28+[1]Capital!AH30+[1]Capital!AH32+[1]Capital!AH34</f>
        <v>140659.978596</v>
      </c>
      <c r="AJ177" s="5">
        <f>[1]Capital!AI28+[1]Capital!AI30+[1]Capital!AI32+[1]Capital!AI34</f>
        <v>142771.72002199999</v>
      </c>
      <c r="AK177" s="5">
        <f>[1]Capital!AJ28+[1]Capital!AJ30+[1]Capital!AJ32+[1]Capital!AJ34</f>
        <v>144909.067266</v>
      </c>
      <c r="AL177" s="5">
        <f>[1]Capital!AK28+[1]Capital!AK30+[1]Capital!AK32+[1]Capital!AK34</f>
        <v>147072.90467399999</v>
      </c>
      <c r="AM177" s="5">
        <f>[1]Capital!AL28+[1]Capital!AL30+[1]Capital!AL32+[1]Capital!AL34</f>
        <v>149259.94436299999</v>
      </c>
      <c r="AN177" s="5">
        <f>[1]Capital!AM28+[1]Capital!AM30+[1]Capital!AM32+[1]Capital!AM34</f>
        <v>151468.936361</v>
      </c>
      <c r="AO177" s="5">
        <f>[1]Capital!AN28+[1]Capital!AN30+[1]Capital!AN32+[1]Capital!AN34</f>
        <v>153699.565134</v>
      </c>
      <c r="AP177" s="5">
        <f>[1]Capital!AO28+[1]Capital!AO30+[1]Capital!AO32+[1]Capital!AO34</f>
        <v>155951.940068</v>
      </c>
      <c r="AQ177" s="5">
        <f>[1]Capital!AP28+[1]Capital!AP30+[1]Capital!AP32+[1]Capital!AP34</f>
        <v>158226.40801000001</v>
      </c>
      <c r="AR177" s="5">
        <f>[1]Capital!AQ28+[1]Capital!AQ30+[1]Capital!AQ32+[1]Capital!AQ34</f>
        <v>160523.478462</v>
      </c>
      <c r="AS177" s="5">
        <f>[1]Capital!AR28+[1]Capital!AR30+[1]Capital!AR32+[1]Capital!AR34</f>
        <v>162843.76977399999</v>
      </c>
      <c r="AT177" s="5">
        <f>[1]Capital!AS28+[1]Capital!AS30+[1]Capital!AS32+[1]Capital!AS34</f>
        <v>165187.97375900001</v>
      </c>
      <c r="AU177" s="5">
        <f>[1]Capital!AT28+[1]Capital!AT30+[1]Capital!AT32+[1]Capital!AT34</f>
        <v>167556.82429200003</v>
      </c>
      <c r="AV177" s="5">
        <f>[1]Capital!AU28+[1]Capital!AU30+[1]Capital!AU32+[1]Capital!AU34</f>
        <v>169951.071383</v>
      </c>
      <c r="AW177" s="5">
        <f>[1]Capital!AV28+[1]Capital!AV30+[1]Capital!AV32+[1]Capital!AV34</f>
        <v>172373.18023300002</v>
      </c>
      <c r="AX177" s="5">
        <f>[1]Capital!AW28+[1]Capital!AW30+[1]Capital!AW32+[1]Capital!AW34</f>
        <v>174825.808617</v>
      </c>
      <c r="AY177" s="5">
        <f>[1]Capital!AX28+[1]Capital!AX30+[1]Capital!AX32+[1]Capital!AX34</f>
        <v>177311.283879</v>
      </c>
      <c r="AZ177" s="5">
        <f>[1]Capital!AY28+[1]Capital!AY30+[1]Capital!AY32+[1]Capital!AY34</f>
        <v>179831.39758799999</v>
      </c>
      <c r="BA177" s="5">
        <f>[1]Capital!AZ28+[1]Capital!AZ30+[1]Capital!AZ32+[1]Capital!AZ34</f>
        <v>182387.43219099997</v>
      </c>
      <c r="BB177" s="5">
        <f>[1]Capital!BA28+[1]Capital!BA30+[1]Capital!BA32+[1]Capital!BA34</f>
        <v>188979.61027599999</v>
      </c>
      <c r="BC177" s="5">
        <f>[1]Capital!BB28+[1]Capital!BB30+[1]Capital!BB32+[1]Capital!BB34</f>
        <v>192243.26931099998</v>
      </c>
      <c r="BD177" s="5">
        <f>[1]Capital!BC28+[1]Capital!BC30+[1]Capital!BC32+[1]Capital!BC34</f>
        <v>195567.47106400001</v>
      </c>
      <c r="BE177" s="5">
        <f>[1]Capital!BD28+[1]Capital!BD30+[1]Capital!BD32+[1]Capital!BD34</f>
        <v>198953.04954800001</v>
      </c>
      <c r="BF177" s="5">
        <f>[1]Capital!BE28+[1]Capital!BE30+[1]Capital!BE32+[1]Capital!BE34</f>
        <v>202400.852641</v>
      </c>
    </row>
    <row r="178" spans="1:58" x14ac:dyDescent="0.35">
      <c r="B178" t="s">
        <v>10</v>
      </c>
      <c r="C178" s="5">
        <f>[1]Capital!B36+[1]Capital!B38</f>
        <v>2425794.9704999998</v>
      </c>
      <c r="D178" s="5">
        <f>[1]Capital!C36+[1]Capital!C38</f>
        <v>2454323.7233000002</v>
      </c>
      <c r="E178" s="5">
        <f>[1]Capital!D36+[1]Capital!D38</f>
        <v>2483673.9043000001</v>
      </c>
      <c r="F178" s="5">
        <f>[1]Capital!E36+[1]Capital!E38</f>
        <v>2514027.8787000002</v>
      </c>
      <c r="G178" s="5">
        <f>[1]Capital!F36+[1]Capital!F38</f>
        <v>2545540.5986000001</v>
      </c>
      <c r="H178" s="5">
        <f>[1]Capital!G36+[1]Capital!G38</f>
        <v>2578338.0808000001</v>
      </c>
      <c r="I178" s="5">
        <f>[1]Capital!H36+[1]Capital!H38</f>
        <v>2612416.4770999998</v>
      </c>
      <c r="J178" s="5">
        <f>[1]Capital!I36+[1]Capital!I38</f>
        <v>2647786.4153</v>
      </c>
      <c r="K178" s="5">
        <f>[1]Capital!J36+[1]Capital!J38</f>
        <v>2684462.2203000002</v>
      </c>
      <c r="L178" s="5">
        <f>[1]Capital!K36+[1]Capital!K38</f>
        <v>2722454.2508</v>
      </c>
      <c r="M178" s="5">
        <f>[1]Capital!L36+[1]Capital!L38</f>
        <v>2761948.8279000004</v>
      </c>
      <c r="N178" s="5">
        <f>[1]Capital!M36+[1]Capital!M38</f>
        <v>2802875.7815</v>
      </c>
      <c r="O178" s="5">
        <f>[1]Capital!N36+[1]Capital!N38</f>
        <v>2845182.6108999997</v>
      </c>
      <c r="P178" s="5">
        <f>[1]Capital!O36+[1]Capital!O38</f>
        <v>2888828.4533000002</v>
      </c>
      <c r="Q178" s="5">
        <f>[1]Capital!P36+[1]Capital!P38</f>
        <v>2933776.3772</v>
      </c>
      <c r="R178" s="5">
        <f>[1]Capital!Q36+[1]Capital!Q38</f>
        <v>2979991.3292999999</v>
      </c>
      <c r="S178" s="5">
        <f>[1]Capital!R36+[1]Capital!R38</f>
        <v>3027440.2113999999</v>
      </c>
      <c r="T178" s="5">
        <f>[1]Capital!S36+[1]Capital!S38</f>
        <v>3076092.9627999999</v>
      </c>
      <c r="U178" s="5">
        <f>[1]Capital!T36+[1]Capital!T38</f>
        <v>3125922.9435999999</v>
      </c>
      <c r="V178" s="5">
        <f>[1]Capital!U36+[1]Capital!U38</f>
        <v>3176907.0076000001</v>
      </c>
      <c r="W178" s="5">
        <f>[1]Capital!V36+[1]Capital!V38</f>
        <v>3228886.9183</v>
      </c>
      <c r="X178" s="5">
        <f>[1]Capital!W36+[1]Capital!W38</f>
        <v>3281896.3632</v>
      </c>
      <c r="Y178" s="5">
        <f>[1]Capital!X36+[1]Capital!X38</f>
        <v>3335953.9385000002</v>
      </c>
      <c r="Z178" s="5">
        <f>[1]Capital!Y36+[1]Capital!Y38</f>
        <v>3391067.9339999999</v>
      </c>
      <c r="AA178" s="5">
        <f>[1]Capital!Z36+[1]Capital!Z38</f>
        <v>3447242.6458000001</v>
      </c>
      <c r="AB178" s="5">
        <f>[1]Capital!AA36+[1]Capital!AA38</f>
        <v>3504076.4911000002</v>
      </c>
      <c r="AC178" s="5">
        <f>[1]Capital!AB36+[1]Capital!AB38</f>
        <v>3561525.8950999998</v>
      </c>
      <c r="AD178" s="5">
        <f>[1]Capital!AC36+[1]Capital!AC38</f>
        <v>3619561.8342000004</v>
      </c>
      <c r="AE178" s="5">
        <f>[1]Capital!AD36+[1]Capital!AD38</f>
        <v>3678161.6061</v>
      </c>
      <c r="AF178" s="5">
        <f>[1]Capital!AE36+[1]Capital!AE38</f>
        <v>3737311.8741000001</v>
      </c>
      <c r="AG178" s="5">
        <f>[1]Capital!AF36+[1]Capital!AF38</f>
        <v>3797008.5773</v>
      </c>
      <c r="AH178" s="5">
        <f>[1]Capital!AG36+[1]Capital!AG38</f>
        <v>3857254.9956999999</v>
      </c>
      <c r="AI178" s="5">
        <f>[1]Capital!AH36+[1]Capital!AH38</f>
        <v>3918059.1217999998</v>
      </c>
      <c r="AJ178" s="5">
        <f>[1]Capital!AI36+[1]Capital!AI38</f>
        <v>3979431.4750000001</v>
      </c>
      <c r="AK178" s="5">
        <f>[1]Capital!AJ36+[1]Capital!AJ38</f>
        <v>4041383.4791999999</v>
      </c>
      <c r="AL178" s="5">
        <f>[1]Capital!AK36+[1]Capital!AK38</f>
        <v>4103926.4505000003</v>
      </c>
      <c r="AM178" s="5">
        <f>[1]Capital!AL36+[1]Capital!AL38</f>
        <v>4166972.4714000002</v>
      </c>
      <c r="AN178" s="5">
        <f>[1]Capital!AM36+[1]Capital!AM38</f>
        <v>4230467.8847000003</v>
      </c>
      <c r="AO178" s="5">
        <f>[1]Capital!AN36+[1]Capital!AN38</f>
        <v>4294381.5828</v>
      </c>
      <c r="AP178" s="5">
        <f>[1]Capital!AO36+[1]Capital!AO38</f>
        <v>4358696.6741000004</v>
      </c>
      <c r="AQ178" s="5">
        <f>[1]Capital!AP36+[1]Capital!AP38</f>
        <v>4423406.7352</v>
      </c>
      <c r="AR178" s="5">
        <f>[1]Capital!AQ36+[1]Capital!AQ38</f>
        <v>4488513.8836000003</v>
      </c>
      <c r="AS178" s="5">
        <f>[1]Capital!AR36+[1]Capital!AR38</f>
        <v>4554026.9773000004</v>
      </c>
      <c r="AT178" s="5">
        <f>[1]Capital!AS36+[1]Capital!AS38</f>
        <v>4619960.17</v>
      </c>
      <c r="AU178" s="5">
        <f>[1]Capital!AT36+[1]Capital!AT38</f>
        <v>4686331.5617000004</v>
      </c>
      <c r="AV178" s="5">
        <f>[1]Capital!AU36+[1]Capital!AU38</f>
        <v>4753162.0477999998</v>
      </c>
      <c r="AW178" s="5">
        <f>[1]Capital!AV36+[1]Capital!AV38</f>
        <v>4820525.1812000005</v>
      </c>
      <c r="AX178" s="5">
        <f>[1]Capital!AW36+[1]Capital!AW38</f>
        <v>4888502.8624999998</v>
      </c>
      <c r="AY178" s="5">
        <f>[1]Capital!AX36+[1]Capital!AX38</f>
        <v>4957164.9938000003</v>
      </c>
      <c r="AZ178" s="5">
        <f>[1]Capital!AY36+[1]Capital!AY38</f>
        <v>5026562.3834999995</v>
      </c>
      <c r="BA178" s="5">
        <f>[1]Capital!AZ36+[1]Capital!AZ38</f>
        <v>5096728.5214</v>
      </c>
      <c r="BB178" s="5">
        <f>[1]Capital!BA36+[1]Capital!BA38</f>
        <v>5359346.3844000008</v>
      </c>
      <c r="BC178" s="5">
        <f>[1]Capital!BB36+[1]Capital!BB38</f>
        <v>5453406.2421000004</v>
      </c>
      <c r="BD178" s="5">
        <f>[1]Capital!BC36+[1]Capital!BC38</f>
        <v>5548944.1100000003</v>
      </c>
      <c r="BE178" s="5">
        <f>[1]Capital!BD36+[1]Capital!BD38</f>
        <v>5645969.352</v>
      </c>
      <c r="BF178" s="5">
        <f>[1]Capital!BE36+[1]Capital!BE38</f>
        <v>5744492.3270000005</v>
      </c>
    </row>
    <row r="179" spans="1:58" x14ac:dyDescent="0.35">
      <c r="B179" t="s">
        <v>29</v>
      </c>
      <c r="C179" s="5">
        <f>[1]Capital!B42+[1]Capital!B46</f>
        <v>22930.985502300002</v>
      </c>
      <c r="D179" s="5">
        <f>[1]Capital!C42+[1]Capital!C46</f>
        <v>23193.1137089</v>
      </c>
      <c r="E179" s="5">
        <f>[1]Capital!D42+[1]Capital!D46</f>
        <v>23451.058378599999</v>
      </c>
      <c r="F179" s="5">
        <f>[1]Capital!E42+[1]Capital!E46</f>
        <v>23705.199073800002</v>
      </c>
      <c r="G179" s="5">
        <f>[1]Capital!F42+[1]Capital!F46</f>
        <v>23957.4453765</v>
      </c>
      <c r="H179" s="5">
        <f>[1]Capital!G42+[1]Capital!G46</f>
        <v>24210.057514</v>
      </c>
      <c r="I179" s="5">
        <f>[1]Capital!H42+[1]Capital!H46</f>
        <v>24464.2250155</v>
      </c>
      <c r="J179" s="5">
        <f>[1]Capital!I42+[1]Capital!I46</f>
        <v>24721.124913099997</v>
      </c>
      <c r="K179" s="5">
        <f>[1]Capital!J42+[1]Capital!J46</f>
        <v>24981.759716699999</v>
      </c>
      <c r="L179" s="5">
        <f>[1]Capital!K42+[1]Capital!K46</f>
        <v>25246.907080099998</v>
      </c>
      <c r="M179" s="5">
        <f>[1]Capital!L42+[1]Capital!L46</f>
        <v>25518.643121099998</v>
      </c>
      <c r="N179" s="5">
        <f>[1]Capital!M42+[1]Capital!M46</f>
        <v>25796.723352000001</v>
      </c>
      <c r="O179" s="5">
        <f>[1]Capital!N42+[1]Capital!N46</f>
        <v>26081.071683300001</v>
      </c>
      <c r="P179" s="5">
        <f>[1]Capital!O42+[1]Capital!O46</f>
        <v>26371.723833400003</v>
      </c>
      <c r="Q179" s="5">
        <f>[1]Capital!P42+[1]Capital!P46</f>
        <v>26668.734573500002</v>
      </c>
      <c r="R179" s="5">
        <f>[1]Capital!Q42+[1]Capital!Q46</f>
        <v>26972.145002699999</v>
      </c>
      <c r="S179" s="5">
        <f>[1]Capital!R42+[1]Capital!R46</f>
        <v>27281.982721600001</v>
      </c>
      <c r="T179" s="5">
        <f>[1]Capital!S42+[1]Capital!S46</f>
        <v>27598.257878600001</v>
      </c>
      <c r="U179" s="5">
        <f>[1]Capital!T42+[1]Capital!T46</f>
        <v>27920.967864500002</v>
      </c>
      <c r="V179" s="5">
        <f>[1]Capital!U42+[1]Capital!U46</f>
        <v>28250.1020168</v>
      </c>
      <c r="W179" s="5">
        <f>[1]Capital!V42+[1]Capital!V46</f>
        <v>28584.535700100001</v>
      </c>
      <c r="X179" s="5">
        <f>[1]Capital!W42+[1]Capital!W46</f>
        <v>28924.751339599999</v>
      </c>
      <c r="Y179" s="5">
        <f>[1]Capital!X42+[1]Capital!X46</f>
        <v>29271.018083899999</v>
      </c>
      <c r="Z179" s="5">
        <f>[1]Capital!Y42+[1]Capital!Y46</f>
        <v>29623.4592969</v>
      </c>
      <c r="AA179" s="5">
        <f>[1]Capital!Z42+[1]Capital!Z46</f>
        <v>29982.1386642</v>
      </c>
      <c r="AB179" s="5">
        <f>[1]Capital!AA42+[1]Capital!AA46</f>
        <v>30343.889756699999</v>
      </c>
      <c r="AC179" s="5">
        <f>[1]Capital!AB42+[1]Capital!AB46</f>
        <v>30708.667144399999</v>
      </c>
      <c r="AD179" s="5">
        <f>[1]Capital!AC42+[1]Capital!AC46</f>
        <v>31076.471214600002</v>
      </c>
      <c r="AE179" s="5">
        <f>[1]Capital!AD42+[1]Capital!AD46</f>
        <v>31447.261852699998</v>
      </c>
      <c r="AF179" s="5">
        <f>[1]Capital!AE42+[1]Capital!AE46</f>
        <v>31821.011878699999</v>
      </c>
      <c r="AG179" s="5">
        <f>[1]Capital!AF42+[1]Capital!AF46</f>
        <v>32197.730053499999</v>
      </c>
      <c r="AH179" s="5">
        <f>[1]Capital!AG42+[1]Capital!AG46</f>
        <v>32577.461963400001</v>
      </c>
      <c r="AI179" s="5">
        <f>[1]Capital!AH42+[1]Capital!AH46</f>
        <v>32960.286489300001</v>
      </c>
      <c r="AJ179" s="5">
        <f>[1]Capital!AI42+[1]Capital!AI46</f>
        <v>33346.308104999996</v>
      </c>
      <c r="AK179" s="5">
        <f>[1]Capital!AJ42+[1]Capital!AJ46</f>
        <v>33735.649187899995</v>
      </c>
      <c r="AL179" s="5">
        <f>[1]Capital!AK42+[1]Capital!AK46</f>
        <v>34128.443615699995</v>
      </c>
      <c r="AM179" s="5">
        <f>[1]Capital!AL42+[1]Capital!AL46</f>
        <v>34524.041436400003</v>
      </c>
      <c r="AN179" s="5">
        <f>[1]Capital!AM42+[1]Capital!AM46</f>
        <v>34922.145724800001</v>
      </c>
      <c r="AO179" s="5">
        <f>[1]Capital!AN42+[1]Capital!AN46</f>
        <v>35322.662001100005</v>
      </c>
      <c r="AP179" s="5">
        <f>[1]Capital!AO42+[1]Capital!AO46</f>
        <v>35725.594232700001</v>
      </c>
      <c r="AQ179" s="5">
        <f>[1]Capital!AP42+[1]Capital!AP46</f>
        <v>36131.001151599994</v>
      </c>
      <c r="AR179" s="5">
        <f>[1]Capital!AQ42+[1]Capital!AQ46</f>
        <v>36538.975163200004</v>
      </c>
      <c r="AS179" s="5">
        <f>[1]Capital!AR42+[1]Capital!AR46</f>
        <v>36949.635987200003</v>
      </c>
      <c r="AT179" s="5">
        <f>[1]Capital!AS42+[1]Capital!AS46</f>
        <v>37363.123868100003</v>
      </c>
      <c r="AU179" s="5">
        <f>[1]Capital!AT42+[1]Capital!AT46</f>
        <v>37779.593636500002</v>
      </c>
      <c r="AV179" s="5">
        <f>[1]Capital!AU42+[1]Capital!AU46</f>
        <v>38199.209716800004</v>
      </c>
      <c r="AW179" s="5">
        <f>[1]Capital!AV42+[1]Capital!AV46</f>
        <v>38622.107232499999</v>
      </c>
      <c r="AX179" s="5">
        <f>[1]Capital!AW42+[1]Capital!AW46</f>
        <v>39048.409713199995</v>
      </c>
      <c r="AY179" s="5">
        <f>[1]Capital!AX42+[1]Capital!AX46</f>
        <v>39478.281569400002</v>
      </c>
      <c r="AZ179" s="5">
        <f>[1]Capital!AY42+[1]Capital!AY46</f>
        <v>39911.930186199999</v>
      </c>
      <c r="BA179" s="5">
        <f>[1]Capital!AZ42+[1]Capital!AZ46</f>
        <v>40349.591186900005</v>
      </c>
      <c r="BB179" s="5">
        <f>[1]Capital!BA42+[1]Capital!BA46</f>
        <v>43084.703591199999</v>
      </c>
      <c r="BC179" s="5">
        <f>[1]Capital!BB42+[1]Capital!BB46</f>
        <v>43734.392432000001</v>
      </c>
      <c r="BD179" s="5">
        <f>[1]Capital!BC42+[1]Capital!BC46</f>
        <v>44395.129217000002</v>
      </c>
      <c r="BE179" s="5">
        <f>[1]Capital!BD42+[1]Capital!BD46</f>
        <v>45066.992703000004</v>
      </c>
      <c r="BF179" s="5">
        <f>[1]Capital!BE42+[1]Capital!BE46</f>
        <v>45750.076520999995</v>
      </c>
    </row>
    <row r="180" spans="1:58" x14ac:dyDescent="0.35">
      <c r="B180" t="s">
        <v>36</v>
      </c>
      <c r="C180" s="5">
        <f>[1]Capital!B44+[1]Capital!B48</f>
        <v>1942.2096160999999</v>
      </c>
      <c r="D180" s="5">
        <f>[1]Capital!C44+[1]Capital!C48</f>
        <v>1964.2156327</v>
      </c>
      <c r="E180" s="5">
        <f>[1]Capital!D44+[1]Capital!D48</f>
        <v>1985.6239448000001</v>
      </c>
      <c r="F180" s="5">
        <f>[1]Capital!E44+[1]Capital!E48</f>
        <v>2006.4821173</v>
      </c>
      <c r="G180" s="5">
        <f>[1]Capital!F44+[1]Capital!F48</f>
        <v>2026.9964852000001</v>
      </c>
      <c r="H180" s="5">
        <f>[1]Capital!G44+[1]Capital!G48</f>
        <v>2047.4042912</v>
      </c>
      <c r="I180" s="5">
        <f>[1]Capital!H44+[1]Capital!H48</f>
        <v>2067.8497748</v>
      </c>
      <c r="J180" s="5">
        <f>[1]Capital!I44+[1]Capital!I48</f>
        <v>2088.4630520000001</v>
      </c>
      <c r="K180" s="5">
        <f>[1]Capital!J44+[1]Capital!J48</f>
        <v>2109.3487338</v>
      </c>
      <c r="L180" s="5">
        <f>[1]Capital!K44+[1]Capital!K48</f>
        <v>2130.5852295</v>
      </c>
      <c r="M180" s="5">
        <f>[1]Capital!L44+[1]Capital!L48</f>
        <v>2152.3452179000001</v>
      </c>
      <c r="N180" s="5">
        <f>[1]Capital!M44+[1]Capital!M48</f>
        <v>2174.6186121999999</v>
      </c>
      <c r="O180" s="5">
        <f>[1]Capital!N44+[1]Capital!N48</f>
        <v>2197.4063667</v>
      </c>
      <c r="P180" s="5">
        <f>[1]Capital!O44+[1]Capital!O48</f>
        <v>2220.7150310000002</v>
      </c>
      <c r="Q180" s="5">
        <f>[1]Capital!P44+[1]Capital!P48</f>
        <v>2244.5504864999998</v>
      </c>
      <c r="R180" s="5">
        <f>[1]Capital!Q44+[1]Capital!Q48</f>
        <v>2268.9161979999999</v>
      </c>
      <c r="S180" s="5">
        <f>[1]Capital!R44+[1]Capital!R48</f>
        <v>2293.8137036999997</v>
      </c>
      <c r="T180" s="5">
        <f>[1]Capital!S44+[1]Capital!S48</f>
        <v>2319.2426068</v>
      </c>
      <c r="U180" s="5">
        <f>[1]Capital!T44+[1]Capital!T48</f>
        <v>2345.2011540000003</v>
      </c>
      <c r="V180" s="5">
        <f>[1]Capital!U44+[1]Capital!U48</f>
        <v>2371.6866965999998</v>
      </c>
      <c r="W180" s="5">
        <f>[1]Capital!V44+[1]Capital!V48</f>
        <v>2398.6103914999999</v>
      </c>
      <c r="X180" s="5">
        <f>[1]Capital!W44+[1]Capital!W48</f>
        <v>2426.0067170000002</v>
      </c>
      <c r="Y180" s="5">
        <f>[1]Capital!X44+[1]Capital!X48</f>
        <v>2453.8928374000002</v>
      </c>
      <c r="Z180" s="5">
        <f>[1]Capital!Y44+[1]Capital!Y48</f>
        <v>2482.2752710999998</v>
      </c>
      <c r="AA180" s="5">
        <f>[1]Capital!Z44+[1]Capital!Z48</f>
        <v>2511.1563311999998</v>
      </c>
      <c r="AB180" s="5">
        <f>[1]Capital!AA44+[1]Capital!AA48</f>
        <v>2540.2893156</v>
      </c>
      <c r="AC180" s="5">
        <f>[1]Capital!AB44+[1]Capital!AB48</f>
        <v>2569.6669059000001</v>
      </c>
      <c r="AD180" s="5">
        <f>[1]Capital!AC44+[1]Capital!AC48</f>
        <v>2599.2826128000002</v>
      </c>
      <c r="AE180" s="5">
        <f>[1]Capital!AD44+[1]Capital!AD48</f>
        <v>2629.1272955000004</v>
      </c>
      <c r="AF180" s="5">
        <f>[1]Capital!AE44+[1]Capital!AE48</f>
        <v>2659.1936317</v>
      </c>
      <c r="AG180" s="5">
        <f>[1]Capital!AF44+[1]Capital!AF48</f>
        <v>2689.4778326999999</v>
      </c>
      <c r="AH180" s="5">
        <f>[1]Capital!AG44+[1]Capital!AG48</f>
        <v>2719.9796077999999</v>
      </c>
      <c r="AI180" s="5">
        <f>[1]Capital!AH44+[1]Capital!AH48</f>
        <v>2750.7018085999998</v>
      </c>
      <c r="AJ180" s="5">
        <f>[1]Capital!AI44+[1]Capital!AI48</f>
        <v>2781.6497380999999</v>
      </c>
      <c r="AK180" s="5">
        <f>[1]Capital!AJ44+[1]Capital!AJ48</f>
        <v>2812.8305050000004</v>
      </c>
      <c r="AL180" s="5">
        <f>[1]Capital!AK44+[1]Capital!AK48</f>
        <v>2844.2524852999995</v>
      </c>
      <c r="AM180" s="5">
        <f>[1]Capital!AL44+[1]Capital!AL48</f>
        <v>2875.8641032999999</v>
      </c>
      <c r="AN180" s="5">
        <f>[1]Capital!AM44+[1]Capital!AM48</f>
        <v>2907.6411330999999</v>
      </c>
      <c r="AO180" s="5">
        <f>[1]Capital!AN44+[1]Capital!AN48</f>
        <v>2939.5744633999998</v>
      </c>
      <c r="AP180" s="5">
        <f>[1]Capital!AO44+[1]Capital!AO48</f>
        <v>2971.6625331</v>
      </c>
      <c r="AQ180" s="5">
        <f>[1]Capital!AP44+[1]Capital!AP48</f>
        <v>3003.9082920000001</v>
      </c>
      <c r="AR180" s="5">
        <f>[1]Capital!AQ44+[1]Capital!AQ48</f>
        <v>3036.3177479999999</v>
      </c>
      <c r="AS180" s="5">
        <f>[1]Capital!AR44+[1]Capital!AR48</f>
        <v>3068.8995157999998</v>
      </c>
      <c r="AT180" s="5">
        <f>[1]Capital!AS44+[1]Capital!AS48</f>
        <v>3101.6642575999999</v>
      </c>
      <c r="AU180" s="5">
        <f>[1]Capital!AT44+[1]Capital!AT48</f>
        <v>3134.6241679</v>
      </c>
      <c r="AV180" s="5">
        <f>[1]Capital!AU44+[1]Capital!AU48</f>
        <v>3167.7925230999999</v>
      </c>
      <c r="AW180" s="5">
        <f>[1]Capital!AV44+[1]Capital!AV48</f>
        <v>3201.1815296</v>
      </c>
      <c r="AX180" s="5">
        <f>[1]Capital!AW44+[1]Capital!AW48</f>
        <v>3234.8022983000001</v>
      </c>
      <c r="AY180" s="5">
        <f>[1]Capital!AX44+[1]Capital!AX48</f>
        <v>3268.6683515</v>
      </c>
      <c r="AZ180" s="5">
        <f>[1]Capital!AY44+[1]Capital!AY48</f>
        <v>3302.7957142999999</v>
      </c>
      <c r="BA180" s="5">
        <f>[1]Capital!AZ44+[1]Capital!AZ48</f>
        <v>3337.2019687000002</v>
      </c>
      <c r="BB180" s="5">
        <f>[1]Capital!BA44+[1]Capital!BA48</f>
        <v>3576.4547395999998</v>
      </c>
      <c r="BC180" s="5">
        <f>[1]Capital!BB44+[1]Capital!BB48</f>
        <v>3628.4320534999997</v>
      </c>
      <c r="BD180" s="5">
        <f>[1]Capital!BC44+[1]Capital!BC48</f>
        <v>3681.2543048999996</v>
      </c>
      <c r="BE180" s="5">
        <f>[1]Capital!BD44+[1]Capital!BD48</f>
        <v>3734.9281551999998</v>
      </c>
      <c r="BF180" s="5">
        <f>[1]Capital!BE44+[1]Capital!BE48</f>
        <v>3789.4617128</v>
      </c>
    </row>
    <row r="181" spans="1:58" x14ac:dyDescent="0.35">
      <c r="B181" t="s">
        <v>33</v>
      </c>
      <c r="C181" s="5">
        <f>[1]Capital!B50+[1]Capital!B52+[1]Capital!B54+[1]Capital!B56+[1]Capital!B58+[1]Capital!B60+[1]Capital!B62+[1]Capital!B64+[1]Capital!B66</f>
        <v>40302.428852279998</v>
      </c>
      <c r="D181" s="5">
        <f>[1]Capital!C50+[1]Capital!C52+[1]Capital!C54+[1]Capital!C56+[1]Capital!C58+[1]Capital!C60+[1]Capital!C62+[1]Capital!C64+[1]Capital!C66</f>
        <v>40763.637412260003</v>
      </c>
      <c r="E181" s="5">
        <f>[1]Capital!D50+[1]Capital!D52+[1]Capital!D54+[1]Capital!D56+[1]Capital!D58+[1]Capital!D60+[1]Capital!D62+[1]Capital!D64+[1]Capital!D66</f>
        <v>41217.656085649993</v>
      </c>
      <c r="F181" s="5">
        <f>[1]Capital!E50+[1]Capital!E52+[1]Capital!E54+[1]Capital!E56+[1]Capital!E58+[1]Capital!E60+[1]Capital!E62+[1]Capital!E64+[1]Capital!E66</f>
        <v>41662.012777479991</v>
      </c>
      <c r="G181" s="5">
        <f>[1]Capital!F50+[1]Capital!F52+[1]Capital!F54+[1]Capital!F56+[1]Capital!F58+[1]Capital!F60+[1]Capital!F62+[1]Capital!F64+[1]Capital!F66</f>
        <v>42097.25920688</v>
      </c>
      <c r="H181" s="5">
        <f>[1]Capital!G50+[1]Capital!G52+[1]Capital!G54+[1]Capital!G56+[1]Capital!G58+[1]Capital!G60+[1]Capital!G62+[1]Capital!G64+[1]Capital!G66</f>
        <v>42525.399154520004</v>
      </c>
      <c r="I181" s="5">
        <f>[1]Capital!H50+[1]Capital!H52+[1]Capital!H54+[1]Capital!H56+[1]Capital!H58+[1]Capital!H60+[1]Capital!H62+[1]Capital!H64+[1]Capital!H66</f>
        <v>42947.428454010005</v>
      </c>
      <c r="J181" s="5">
        <f>[1]Capital!I50+[1]Capital!I52+[1]Capital!I54+[1]Capital!I56+[1]Capital!I58+[1]Capital!I60+[1]Capital!I62+[1]Capital!I64+[1]Capital!I66</f>
        <v>43364.595962639993</v>
      </c>
      <c r="K181" s="5">
        <f>[1]Capital!J50+[1]Capital!J52+[1]Capital!J54+[1]Capital!J56+[1]Capital!J58+[1]Capital!J60+[1]Capital!J62+[1]Capital!J64+[1]Capital!J66</f>
        <v>43778.182868240001</v>
      </c>
      <c r="L181" s="5">
        <f>[1]Capital!K50+[1]Capital!K52+[1]Capital!K54+[1]Capital!K56+[1]Capital!K58+[1]Capital!K60+[1]Capital!K62+[1]Capital!K64+[1]Capital!K66</f>
        <v>44189.337063200001</v>
      </c>
      <c r="M181" s="5">
        <f>[1]Capital!L50+[1]Capital!L52+[1]Capital!L54+[1]Capital!L56+[1]Capital!L58+[1]Capital!L60+[1]Capital!L62+[1]Capital!L64+[1]Capital!L66</f>
        <v>44601.437716319997</v>
      </c>
      <c r="N181" s="5">
        <f>[1]Capital!M50+[1]Capital!M52+[1]Capital!M54+[1]Capital!M56+[1]Capital!M58+[1]Capital!M60+[1]Capital!M62+[1]Capital!M64+[1]Capital!M66</f>
        <v>45014.541817380006</v>
      </c>
      <c r="O181" s="5">
        <f>[1]Capital!N50+[1]Capital!N52+[1]Capital!N54+[1]Capital!N56+[1]Capital!N58+[1]Capital!N60+[1]Capital!N62+[1]Capital!N64+[1]Capital!N66</f>
        <v>45428.646072639996</v>
      </c>
      <c r="P181" s="5">
        <f>[1]Capital!O50+[1]Capital!O52+[1]Capital!O54+[1]Capital!O56+[1]Capital!O58+[1]Capital!O60+[1]Capital!O62+[1]Capital!O64+[1]Capital!O66</f>
        <v>45843.952577689997</v>
      </c>
      <c r="Q181" s="5">
        <f>[1]Capital!P50+[1]Capital!P52+[1]Capital!P54+[1]Capital!P56+[1]Capital!P58+[1]Capital!P60+[1]Capital!P62+[1]Capital!P64+[1]Capital!P66</f>
        <v>46260.778234790007</v>
      </c>
      <c r="R181" s="5">
        <f>[1]Capital!Q50+[1]Capital!Q52+[1]Capital!Q54+[1]Capital!Q56+[1]Capital!Q58+[1]Capital!Q60+[1]Capital!Q62+[1]Capital!Q64+[1]Capital!Q66</f>
        <v>46679.483343019994</v>
      </c>
      <c r="S181" s="5">
        <f>[1]Capital!R50+[1]Capital!R52+[1]Capital!R54+[1]Capital!R56+[1]Capital!R58+[1]Capital!R60+[1]Capital!R62+[1]Capital!R64+[1]Capital!R66</f>
        <v>47100.453164149993</v>
      </c>
      <c r="T181" s="5">
        <f>[1]Capital!S50+[1]Capital!S52+[1]Capital!S54+[1]Capital!S56+[1]Capital!S58+[1]Capital!S60+[1]Capital!S62+[1]Capital!S64+[1]Capital!S66</f>
        <v>47524.071427090006</v>
      </c>
      <c r="U181" s="5">
        <f>[1]Capital!T50+[1]Capital!T52+[1]Capital!T54+[1]Capital!T56+[1]Capital!T58+[1]Capital!T60+[1]Capital!T62+[1]Capital!T64+[1]Capital!T66</f>
        <v>47950.715539339995</v>
      </c>
      <c r="V181" s="5">
        <f>[1]Capital!U50+[1]Capital!U52+[1]Capital!U54+[1]Capital!U56+[1]Capital!U58+[1]Capital!U60+[1]Capital!U62+[1]Capital!U64+[1]Capital!U66</f>
        <v>48380.760190149995</v>
      </c>
      <c r="W181" s="5">
        <f>[1]Capital!V50+[1]Capital!V52+[1]Capital!V54+[1]Capital!V56+[1]Capital!V58+[1]Capital!V60+[1]Capital!V62+[1]Capital!V64+[1]Capital!V66</f>
        <v>48812.851884069991</v>
      </c>
      <c r="X181" s="5">
        <f>[1]Capital!W50+[1]Capital!W52+[1]Capital!W54+[1]Capital!W56+[1]Capital!W58+[1]Capital!W60+[1]Capital!W62+[1]Capital!W64+[1]Capital!W66</f>
        <v>49247.944942200011</v>
      </c>
      <c r="Y181" s="5">
        <f>[1]Capital!X50+[1]Capital!X52+[1]Capital!X54+[1]Capital!X56+[1]Capital!X58+[1]Capital!X60+[1]Capital!X62+[1]Capital!X64+[1]Capital!X66</f>
        <v>49686.960249679993</v>
      </c>
      <c r="Z181" s="5">
        <f>[1]Capital!Y50+[1]Capital!Y52+[1]Capital!Y54+[1]Capital!Y56+[1]Capital!Y58+[1]Capital!Y60+[1]Capital!Y62+[1]Capital!Y64+[1]Capital!Y66</f>
        <v>50130.619231550008</v>
      </c>
      <c r="AA181" s="5">
        <f>[1]Capital!Z50+[1]Capital!Z52+[1]Capital!Z54+[1]Capital!Z56+[1]Capital!Z58+[1]Capital!Z60+[1]Capital!Z62+[1]Capital!Z64+[1]Capital!Z66</f>
        <v>50579.523067220005</v>
      </c>
      <c r="AB181" s="5">
        <f>[1]Capital!AA50+[1]Capital!AA52+[1]Capital!AA54+[1]Capital!AA56+[1]Capital!AA58+[1]Capital!AA60+[1]Capital!AA62+[1]Capital!AA64+[1]Capital!AA66</f>
        <v>51029.277725259999</v>
      </c>
      <c r="AC181" s="5">
        <f>[1]Capital!AB50+[1]Capital!AB52+[1]Capital!AB54+[1]Capital!AB56+[1]Capital!AB58+[1]Capital!AB60+[1]Capital!AB62+[1]Capital!AB64+[1]Capital!AB66</f>
        <v>51479.673122849999</v>
      </c>
      <c r="AD181" s="5">
        <f>[1]Capital!AC50+[1]Capital!AC52+[1]Capital!AC54+[1]Capital!AC56+[1]Capital!AC58+[1]Capital!AC60+[1]Capital!AC62+[1]Capital!AC64+[1]Capital!AC66</f>
        <v>51931.100505260001</v>
      </c>
      <c r="AE181" s="5">
        <f>[1]Capital!AD50+[1]Capital!AD52+[1]Capital!AD54+[1]Capital!AD56+[1]Capital!AD58+[1]Capital!AD60+[1]Capital!AD62+[1]Capital!AD64+[1]Capital!AD66</f>
        <v>52384.044073780002</v>
      </c>
      <c r="AF181" s="5">
        <f>[1]Capital!AE50+[1]Capital!AE52+[1]Capital!AE54+[1]Capital!AE56+[1]Capital!AE58+[1]Capital!AE60+[1]Capital!AE62+[1]Capital!AE64+[1]Capital!AE66</f>
        <v>52839.040243659998</v>
      </c>
      <c r="AG181" s="5">
        <f>[1]Capital!AF50+[1]Capital!AF52+[1]Capital!AF54+[1]Capital!AF56+[1]Capital!AF58+[1]Capital!AF60+[1]Capital!AF62+[1]Capital!AF64+[1]Capital!AF66</f>
        <v>53296.679239409998</v>
      </c>
      <c r="AH181" s="5">
        <f>[1]Capital!AG50+[1]Capital!AG52+[1]Capital!AG54+[1]Capital!AG56+[1]Capital!AG58+[1]Capital!AG60+[1]Capital!AG62+[1]Capital!AG64+[1]Capital!AG66</f>
        <v>53757.594114699998</v>
      </c>
      <c r="AI181" s="5">
        <f>[1]Capital!AH50+[1]Capital!AH52+[1]Capital!AH54+[1]Capital!AH56+[1]Capital!AH58+[1]Capital!AH60+[1]Capital!AH62+[1]Capital!AH64+[1]Capital!AH66</f>
        <v>54222.450799090002</v>
      </c>
      <c r="AJ181" s="5">
        <f>[1]Capital!AI50+[1]Capital!AI52+[1]Capital!AI54+[1]Capital!AI56+[1]Capital!AI58+[1]Capital!AI60+[1]Capital!AI62+[1]Capital!AI64+[1]Capital!AI66</f>
        <v>54691.932534660009</v>
      </c>
      <c r="AK181" s="5">
        <f>[1]Capital!AJ50+[1]Capital!AJ52+[1]Capital!AJ54+[1]Capital!AJ56+[1]Capital!AJ58+[1]Capital!AJ60+[1]Capital!AJ62+[1]Capital!AJ64+[1]Capital!AJ66</f>
        <v>55166.723779789994</v>
      </c>
      <c r="AL181" s="5">
        <f>[1]Capital!AK50+[1]Capital!AK52+[1]Capital!AK54+[1]Capital!AK56+[1]Capital!AK58+[1]Capital!AK60+[1]Capital!AK62+[1]Capital!AK64+[1]Capital!AK66</f>
        <v>55647.495953470003</v>
      </c>
      <c r="AM181" s="5">
        <f>[1]Capital!AL50+[1]Capital!AL52+[1]Capital!AL54+[1]Capital!AL56+[1]Capital!AL58+[1]Capital!AL60+[1]Capital!AL62+[1]Capital!AL64+[1]Capital!AL66</f>
        <v>56133.697052770003</v>
      </c>
      <c r="AN181" s="5">
        <f>[1]Capital!AM50+[1]Capital!AM52+[1]Capital!AM54+[1]Capital!AM56+[1]Capital!AM58+[1]Capital!AM60+[1]Capital!AM62+[1]Capital!AM64+[1]Capital!AM66</f>
        <v>56625.120400660009</v>
      </c>
      <c r="AO181" s="5">
        <f>[1]Capital!AN50+[1]Capital!AN52+[1]Capital!AN54+[1]Capital!AN56+[1]Capital!AN58+[1]Capital!AN60+[1]Capital!AN62+[1]Capital!AN64+[1]Capital!AN66</f>
        <v>57121.880407240002</v>
      </c>
      <c r="AP181" s="5">
        <f>[1]Capital!AO50+[1]Capital!AO52+[1]Capital!AO54+[1]Capital!AO56+[1]Capital!AO58+[1]Capital!AO60+[1]Capital!AO62+[1]Capital!AO64+[1]Capital!AO66</f>
        <v>57624.27245057001</v>
      </c>
      <c r="AQ181" s="5">
        <f>[1]Capital!AP50+[1]Capital!AP52+[1]Capital!AP54+[1]Capital!AP56+[1]Capital!AP58+[1]Capital!AP60+[1]Capital!AP62+[1]Capital!AP64+[1]Capital!AP66</f>
        <v>58132.684719569996</v>
      </c>
      <c r="AR181" s="5">
        <f>[1]Capital!AQ50+[1]Capital!AQ52+[1]Capital!AQ54+[1]Capital!AQ56+[1]Capital!AQ58+[1]Capital!AQ60+[1]Capital!AQ62+[1]Capital!AQ64+[1]Capital!AQ66</f>
        <v>58647.544506689999</v>
      </c>
      <c r="AS181" s="5">
        <f>[1]Capital!AR50+[1]Capital!AR52+[1]Capital!AR54+[1]Capital!AR56+[1]Capital!AR58+[1]Capital!AR60+[1]Capital!AR62+[1]Capital!AR64+[1]Capital!AR66</f>
        <v>59169.298572660002</v>
      </c>
      <c r="AT181" s="5">
        <f>[1]Capital!AS50+[1]Capital!AS52+[1]Capital!AS54+[1]Capital!AS56+[1]Capital!AS58+[1]Capital!AS60+[1]Capital!AS62+[1]Capital!AS64+[1]Capital!AS66</f>
        <v>59698.39887184</v>
      </c>
      <c r="AU181" s="5">
        <f>[1]Capital!AT50+[1]Capital!AT52+[1]Capital!AT54+[1]Capital!AT56+[1]Capital!AT58+[1]Capital!AT60+[1]Capital!AT62+[1]Capital!AT64+[1]Capital!AT66</f>
        <v>60235.291420620008</v>
      </c>
      <c r="AV181" s="5">
        <f>[1]Capital!AU50+[1]Capital!AU52+[1]Capital!AU54+[1]Capital!AU56+[1]Capital!AU58+[1]Capital!AU60+[1]Capital!AU62+[1]Capital!AU64+[1]Capital!AU66</f>
        <v>60780.407821169996</v>
      </c>
      <c r="AW181" s="5">
        <f>[1]Capital!AV50+[1]Capital!AV52+[1]Capital!AV54+[1]Capital!AV56+[1]Capital!AV58+[1]Capital!AV60+[1]Capital!AV62+[1]Capital!AV64+[1]Capital!AV66</f>
        <v>61333.981432369997</v>
      </c>
      <c r="AX181" s="5">
        <f>[1]Capital!AW50+[1]Capital!AW52+[1]Capital!AW54+[1]Capital!AW56+[1]Capital!AW58+[1]Capital!AW60+[1]Capital!AW62+[1]Capital!AW64+[1]Capital!AW66</f>
        <v>61896.187273119991</v>
      </c>
      <c r="AY181" s="5">
        <f>[1]Capital!AX50+[1]Capital!AX52+[1]Capital!AX54+[1]Capital!AX56+[1]Capital!AX58+[1]Capital!AX60+[1]Capital!AX62+[1]Capital!AX64+[1]Capital!AX66</f>
        <v>62467.320158800001</v>
      </c>
      <c r="AZ181" s="5">
        <f>[1]Capital!AY50+[1]Capital!AY52+[1]Capital!AY54+[1]Capital!AY56+[1]Capital!AY58+[1]Capital!AY60+[1]Capital!AY62+[1]Capital!AY64+[1]Capital!AY66</f>
        <v>63047.837432400003</v>
      </c>
      <c r="BA181" s="5">
        <f>[1]Capital!AZ50+[1]Capital!AZ52+[1]Capital!AZ54+[1]Capital!AZ56+[1]Capital!AZ58+[1]Capital!AZ60+[1]Capital!AZ62+[1]Capital!AZ64+[1]Capital!AZ66</f>
        <v>63638.321467100002</v>
      </c>
      <c r="BB181" s="5">
        <f>[1]Capital!BA50+[1]Capital!BA52+[1]Capital!BA54+[1]Capital!BA56+[1]Capital!BA58+[1]Capital!BA60+[1]Capital!BA62+[1]Capital!BA64+[1]Capital!BA66</f>
        <v>68170.981550700002</v>
      </c>
      <c r="BC181" s="5">
        <f>[1]Capital!BB50+[1]Capital!BB52+[1]Capital!BB54+[1]Capital!BB56+[1]Capital!BB58+[1]Capital!BB60+[1]Capital!BB62+[1]Capital!BB64+[1]Capital!BB66</f>
        <v>69131.744166999997</v>
      </c>
      <c r="BD181" s="5">
        <f>[1]Capital!BC50+[1]Capital!BC52+[1]Capital!BC54+[1]Capital!BC56+[1]Capital!BC58+[1]Capital!BC60+[1]Capital!BC62+[1]Capital!BC64+[1]Capital!BC66</f>
        <v>70114.828281199996</v>
      </c>
      <c r="BE181" s="5">
        <f>[1]Capital!BD50+[1]Capital!BD52+[1]Capital!BD54+[1]Capital!BD56+[1]Capital!BD58+[1]Capital!BD60+[1]Capital!BD62+[1]Capital!BD64+[1]Capital!BD66</f>
        <v>71120.353023399992</v>
      </c>
      <c r="BF181" s="5">
        <f>[1]Capital!BE50+[1]Capital!BE52+[1]Capital!BE54+[1]Capital!BE56+[1]Capital!BE58+[1]Capital!BE60+[1]Capital!BE62+[1]Capital!BE64+[1]Capital!BE66</f>
        <v>72148.430556299994</v>
      </c>
    </row>
    <row r="182" spans="1:58" x14ac:dyDescent="0.35"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</row>
    <row r="183" spans="1:58" x14ac:dyDescent="0.35">
      <c r="C183" s="2">
        <v>42005</v>
      </c>
      <c r="D183" s="2">
        <v>42370</v>
      </c>
      <c r="E183" s="2">
        <v>42736</v>
      </c>
      <c r="F183" s="2">
        <v>43101</v>
      </c>
      <c r="G183" s="2">
        <v>43466</v>
      </c>
      <c r="H183" s="2">
        <v>43831</v>
      </c>
      <c r="I183" s="2">
        <v>44197</v>
      </c>
      <c r="J183" s="2">
        <v>44562</v>
      </c>
      <c r="K183" s="2">
        <v>44927</v>
      </c>
      <c r="L183" s="2">
        <v>45292</v>
      </c>
      <c r="M183" s="2">
        <v>45658</v>
      </c>
      <c r="N183" s="2">
        <v>46023</v>
      </c>
      <c r="O183" s="2">
        <v>46388</v>
      </c>
      <c r="P183" s="2">
        <v>46753</v>
      </c>
      <c r="Q183" s="2">
        <v>47119</v>
      </c>
      <c r="R183" s="2">
        <v>47484</v>
      </c>
      <c r="S183" s="2">
        <v>47849</v>
      </c>
      <c r="T183" s="2">
        <v>48214</v>
      </c>
      <c r="U183" s="2">
        <v>48580</v>
      </c>
      <c r="V183" s="2">
        <v>48945</v>
      </c>
      <c r="W183" s="2">
        <v>49310</v>
      </c>
      <c r="X183" s="2">
        <v>49675</v>
      </c>
      <c r="Y183" s="2">
        <v>50041</v>
      </c>
      <c r="Z183" s="2">
        <v>50406</v>
      </c>
      <c r="AA183" s="2">
        <v>50771</v>
      </c>
      <c r="AB183" s="2">
        <v>51136</v>
      </c>
      <c r="AC183" s="2">
        <v>51502</v>
      </c>
      <c r="AD183" s="2">
        <v>51867</v>
      </c>
      <c r="AE183" s="2">
        <v>52232</v>
      </c>
      <c r="AF183" s="2">
        <v>52597</v>
      </c>
      <c r="AG183" s="2">
        <v>52963</v>
      </c>
      <c r="AH183" s="2">
        <v>53328</v>
      </c>
      <c r="AI183" s="2">
        <v>53693</v>
      </c>
      <c r="AJ183" s="2">
        <v>54058</v>
      </c>
      <c r="AK183" s="2">
        <v>54424</v>
      </c>
      <c r="AL183" s="2">
        <v>54789</v>
      </c>
      <c r="AM183" s="2">
        <v>54790</v>
      </c>
      <c r="AN183" s="2">
        <v>54791</v>
      </c>
      <c r="AO183" s="2">
        <v>54792</v>
      </c>
      <c r="AP183" s="2">
        <v>54793</v>
      </c>
      <c r="AQ183" s="2">
        <v>54794</v>
      </c>
      <c r="AR183" s="2">
        <v>54795</v>
      </c>
      <c r="AS183" s="2">
        <v>54796</v>
      </c>
      <c r="AT183" s="2">
        <v>54797</v>
      </c>
      <c r="AU183" s="2">
        <v>54798</v>
      </c>
      <c r="AV183" s="2">
        <v>54799</v>
      </c>
      <c r="AW183" s="2">
        <v>54800</v>
      </c>
      <c r="AX183" s="2">
        <v>54801</v>
      </c>
      <c r="AY183" s="2">
        <v>54802</v>
      </c>
      <c r="AZ183" s="2">
        <v>54803</v>
      </c>
      <c r="BA183" s="2">
        <v>54804</v>
      </c>
      <c r="BB183" s="2">
        <v>54805</v>
      </c>
      <c r="BC183" s="2">
        <v>54806</v>
      </c>
      <c r="BD183" s="2">
        <v>54807</v>
      </c>
      <c r="BE183" s="2">
        <v>54808</v>
      </c>
      <c r="BF183" s="2">
        <v>54809</v>
      </c>
    </row>
    <row r="184" spans="1:58" x14ac:dyDescent="0.35">
      <c r="A184" s="12" t="s">
        <v>42</v>
      </c>
      <c r="B184" t="s">
        <v>40</v>
      </c>
      <c r="C184" s="9">
        <f t="shared" ref="C184:AL184" si="68">C174/C136/(C164/C125)-1</f>
        <v>7.4994284890328444E-5</v>
      </c>
      <c r="D184" s="9">
        <f t="shared" si="68"/>
        <v>1.1710489415905911E-4</v>
      </c>
      <c r="E184" s="9">
        <f t="shared" si="68"/>
        <v>1.4426601764805369E-4</v>
      </c>
      <c r="F184" s="9">
        <f t="shared" si="68"/>
        <v>1.6087879961634854E-4</v>
      </c>
      <c r="G184" s="9">
        <f t="shared" si="68"/>
        <v>1.7687041911362833E-4</v>
      </c>
      <c r="H184" s="9">
        <f t="shared" si="68"/>
        <v>1.9890647269260597E-4</v>
      </c>
      <c r="I184" s="9">
        <f t="shared" si="68"/>
        <v>2.2713928760076385E-4</v>
      </c>
      <c r="J184" s="9">
        <f t="shared" si="68"/>
        <v>2.5864783902562749E-4</v>
      </c>
      <c r="K184" s="9">
        <f t="shared" si="68"/>
        <v>2.9014139458860555E-4</v>
      </c>
      <c r="L184" s="9">
        <f t="shared" si="68"/>
        <v>3.1884370014867436E-4</v>
      </c>
      <c r="M184" s="9">
        <f t="shared" si="68"/>
        <v>3.4318561537549641E-4</v>
      </c>
      <c r="N184" s="9">
        <f t="shared" si="68"/>
        <v>3.6333499735574648E-4</v>
      </c>
      <c r="O184" s="9">
        <f t="shared" si="68"/>
        <v>3.7817140715135089E-4</v>
      </c>
      <c r="P184" s="9">
        <f t="shared" si="68"/>
        <v>3.8849761040182784E-4</v>
      </c>
      <c r="Q184" s="9">
        <f t="shared" si="68"/>
        <v>3.9526835076908462E-4</v>
      </c>
      <c r="R184" s="9">
        <f t="shared" si="68"/>
        <v>3.9933052457619134E-4</v>
      </c>
      <c r="S184" s="9">
        <f t="shared" si="68"/>
        <v>4.0281709297929069E-4</v>
      </c>
      <c r="T184" s="9">
        <f t="shared" si="68"/>
        <v>4.0469543518906193E-4</v>
      </c>
      <c r="U184" s="9">
        <f t="shared" si="68"/>
        <v>4.0556969574789825E-4</v>
      </c>
      <c r="V184" s="9">
        <f t="shared" si="68"/>
        <v>4.0594394359350083E-4</v>
      </c>
      <c r="W184" s="9">
        <f t="shared" si="68"/>
        <v>4.0597019986177152E-4</v>
      </c>
      <c r="X184" s="9">
        <f t="shared" si="68"/>
        <v>4.064803703123232E-4</v>
      </c>
      <c r="Y184" s="9">
        <f t="shared" si="68"/>
        <v>4.0728504066134263E-4</v>
      </c>
      <c r="Z184" s="9">
        <f t="shared" si="68"/>
        <v>4.0841084549314566E-4</v>
      </c>
      <c r="AA184" s="9">
        <f t="shared" si="68"/>
        <v>4.0987091506328177E-4</v>
      </c>
      <c r="AB184" s="9">
        <f t="shared" si="68"/>
        <v>4.1086255268463212E-4</v>
      </c>
      <c r="AC184" s="9">
        <f t="shared" si="68"/>
        <v>4.1244084761338229E-4</v>
      </c>
      <c r="AD184" s="9">
        <f t="shared" si="68"/>
        <v>4.1476839632004214E-4</v>
      </c>
      <c r="AE184" s="9">
        <f t="shared" si="68"/>
        <v>4.1769099855204495E-4</v>
      </c>
      <c r="AF184" s="9">
        <f t="shared" si="68"/>
        <v>4.2109847919125087E-4</v>
      </c>
      <c r="AG184" s="9">
        <f t="shared" si="68"/>
        <v>4.2496557100424326E-4</v>
      </c>
      <c r="AH184" s="9">
        <f t="shared" si="68"/>
        <v>4.2898905070676285E-4</v>
      </c>
      <c r="AI184" s="9">
        <f t="shared" si="68"/>
        <v>4.3366492386476274E-4</v>
      </c>
      <c r="AJ184" s="9">
        <f t="shared" si="68"/>
        <v>4.391098810783145E-4</v>
      </c>
      <c r="AK184" s="9">
        <f t="shared" si="68"/>
        <v>4.4546209580964558E-4</v>
      </c>
      <c r="AL184" s="9">
        <f t="shared" si="68"/>
        <v>4.5287932950177634E-4</v>
      </c>
      <c r="AM184" s="9">
        <f t="shared" ref="AM184:BC184" si="69">AM174/AM136/(AM164/AM125)-1</f>
        <v>4.5804498362422841E-4</v>
      </c>
      <c r="AN184" s="9">
        <f t="shared" si="69"/>
        <v>4.6491107083190819E-4</v>
      </c>
      <c r="AO184" s="9">
        <f t="shared" si="69"/>
        <v>4.7301102833685604E-4</v>
      </c>
      <c r="AP184" s="9">
        <f t="shared" si="69"/>
        <v>4.8192711496719554E-4</v>
      </c>
      <c r="AQ184" s="9">
        <f t="shared" si="69"/>
        <v>4.916318257779384E-4</v>
      </c>
      <c r="AR184" s="9">
        <f t="shared" si="69"/>
        <v>5.481814130756657E-4</v>
      </c>
      <c r="AS184" s="9">
        <f t="shared" si="69"/>
        <v>6.5460792270322088E-4</v>
      </c>
      <c r="AT184" s="9">
        <f t="shared" si="69"/>
        <v>7.948464380620468E-4</v>
      </c>
      <c r="AU184" s="9">
        <f t="shared" si="69"/>
        <v>9.4881719747696991E-4</v>
      </c>
      <c r="AV184" s="9">
        <f t="shared" si="69"/>
        <v>1.1007922205625853E-3</v>
      </c>
      <c r="AW184" s="9">
        <f t="shared" si="69"/>
        <v>1.1781157658499186E-3</v>
      </c>
      <c r="AX184" s="9">
        <f t="shared" si="69"/>
        <v>1.1760414226609228E-3</v>
      </c>
      <c r="AY184" s="9">
        <f t="shared" si="69"/>
        <v>1.1174508385347615E-3</v>
      </c>
      <c r="AZ184" s="9">
        <f t="shared" si="69"/>
        <v>1.0320963025745034E-3</v>
      </c>
      <c r="BA184" s="9">
        <f t="shared" si="69"/>
        <v>9.4367017786911589E-4</v>
      </c>
      <c r="BB184" s="9">
        <f t="shared" si="69"/>
        <v>-3.7714110063516992E-3</v>
      </c>
      <c r="BC184" s="9">
        <f t="shared" si="69"/>
        <v>-3.8419386882917461E-3</v>
      </c>
      <c r="BD184" s="9">
        <f t="shared" ref="BD184:BF184" si="70">BD174/BD136/(BD164/BD125)-1</f>
        <v>-3.9012745783723046E-3</v>
      </c>
      <c r="BE184" s="9">
        <f t="shared" si="70"/>
        <v>-3.948911519975451E-3</v>
      </c>
      <c r="BF184" s="9">
        <f t="shared" si="70"/>
        <v>-3.984532117403683E-3</v>
      </c>
    </row>
    <row r="185" spans="1:58" x14ac:dyDescent="0.35">
      <c r="A185" t="s">
        <v>85</v>
      </c>
      <c r="B185" t="s">
        <v>7</v>
      </c>
      <c r="C185" s="9">
        <f t="shared" ref="C185:AL185" si="71">C175/C137/(C165/C126)-1</f>
        <v>1.7804695782004387E-3</v>
      </c>
      <c r="D185" s="9">
        <f t="shared" si="71"/>
        <v>2.4278591024278207E-3</v>
      </c>
      <c r="E185" s="9">
        <f t="shared" si="71"/>
        <v>2.9048571801508771E-3</v>
      </c>
      <c r="F185" s="9">
        <f t="shared" si="71"/>
        <v>3.2629906716403756E-3</v>
      </c>
      <c r="G185" s="9">
        <f t="shared" si="71"/>
        <v>3.5659151169600278E-3</v>
      </c>
      <c r="H185" s="9">
        <f t="shared" si="71"/>
        <v>3.8460516829750269E-3</v>
      </c>
      <c r="I185" s="9">
        <f t="shared" si="71"/>
        <v>4.1396369902262364E-3</v>
      </c>
      <c r="J185" s="9">
        <f t="shared" si="71"/>
        <v>4.4546464155141852E-3</v>
      </c>
      <c r="K185" s="9">
        <f t="shared" si="71"/>
        <v>4.8003399614977571E-3</v>
      </c>
      <c r="L185" s="9">
        <f t="shared" si="71"/>
        <v>5.1800795610013051E-3</v>
      </c>
      <c r="M185" s="9">
        <f t="shared" si="71"/>
        <v>5.5972018808081447E-3</v>
      </c>
      <c r="N185" s="9">
        <f t="shared" si="71"/>
        <v>6.0908746908576727E-3</v>
      </c>
      <c r="O185" s="9">
        <f t="shared" si="71"/>
        <v>6.6132021908771321E-3</v>
      </c>
      <c r="P185" s="9">
        <f t="shared" si="71"/>
        <v>7.1653775295044131E-3</v>
      </c>
      <c r="Q185" s="9">
        <f t="shared" si="71"/>
        <v>7.7499595415617684E-3</v>
      </c>
      <c r="R185" s="9">
        <f t="shared" si="71"/>
        <v>8.3710689402554106E-3</v>
      </c>
      <c r="S185" s="9">
        <f t="shared" si="71"/>
        <v>9.0827664594883561E-3</v>
      </c>
      <c r="T185" s="9">
        <f t="shared" si="71"/>
        <v>9.8340469299040834E-3</v>
      </c>
      <c r="U185" s="9">
        <f t="shared" si="71"/>
        <v>1.0629675011257111E-2</v>
      </c>
      <c r="V185" s="9">
        <f t="shared" si="71"/>
        <v>1.1473652865646944E-2</v>
      </c>
      <c r="W185" s="9">
        <f t="shared" si="71"/>
        <v>1.2365309247348355E-2</v>
      </c>
      <c r="X185" s="9">
        <f t="shared" si="71"/>
        <v>1.3314673061085358E-2</v>
      </c>
      <c r="Y185" s="9">
        <f t="shared" si="71"/>
        <v>1.4319798484473401E-2</v>
      </c>
      <c r="Z185" s="9">
        <f t="shared" si="71"/>
        <v>1.5382618296150063E-2</v>
      </c>
      <c r="AA185" s="9">
        <f t="shared" si="71"/>
        <v>1.6504502670757093E-2</v>
      </c>
      <c r="AB185" s="9">
        <f t="shared" si="71"/>
        <v>1.7673037678160419E-2</v>
      </c>
      <c r="AC185" s="9">
        <f t="shared" si="71"/>
        <v>1.888744699373901E-2</v>
      </c>
      <c r="AD185" s="9">
        <f t="shared" si="71"/>
        <v>2.0165282680314034E-2</v>
      </c>
      <c r="AE185" s="9">
        <f t="shared" si="71"/>
        <v>2.1505885155490345E-2</v>
      </c>
      <c r="AF185" s="9">
        <f t="shared" si="71"/>
        <v>2.2908543464837727E-2</v>
      </c>
      <c r="AG185" s="9">
        <f t="shared" si="71"/>
        <v>2.4372584236881378E-2</v>
      </c>
      <c r="AH185" s="9">
        <f t="shared" si="71"/>
        <v>2.5884864675447261E-2</v>
      </c>
      <c r="AI185" s="9">
        <f t="shared" si="71"/>
        <v>2.7458801371511576E-2</v>
      </c>
      <c r="AJ185" s="9">
        <f t="shared" si="71"/>
        <v>2.909370007149259E-2</v>
      </c>
      <c r="AK185" s="9">
        <f t="shared" si="71"/>
        <v>3.078900592874434E-2</v>
      </c>
      <c r="AL185" s="9">
        <f t="shared" si="71"/>
        <v>3.2544292882281667E-2</v>
      </c>
      <c r="AM185" s="9">
        <f t="shared" ref="AM185:BC185" si="72">AM175/AM137/(AM165/AM126)-1</f>
        <v>3.4242616818559224E-2</v>
      </c>
      <c r="AN185" s="9">
        <f t="shared" si="72"/>
        <v>3.6013729307317499E-2</v>
      </c>
      <c r="AO185" s="9">
        <f t="shared" si="72"/>
        <v>3.7864687888673698E-2</v>
      </c>
      <c r="AP185" s="9">
        <f t="shared" si="72"/>
        <v>3.9798593077634559E-2</v>
      </c>
      <c r="AQ185" s="9">
        <f t="shared" si="72"/>
        <v>4.1811377688043105E-2</v>
      </c>
      <c r="AR185" s="9">
        <f t="shared" si="72"/>
        <v>4.4295069803275355E-2</v>
      </c>
      <c r="AS185" s="9">
        <f t="shared" si="72"/>
        <v>4.7123741540434416E-2</v>
      </c>
      <c r="AT185" s="9">
        <f t="shared" si="72"/>
        <v>5.0178618106098583E-2</v>
      </c>
      <c r="AU185" s="9">
        <f t="shared" si="72"/>
        <v>5.337564338106815E-2</v>
      </c>
      <c r="AV185" s="9">
        <f t="shared" si="72"/>
        <v>5.6660766355006054E-2</v>
      </c>
      <c r="AW185" s="9">
        <f t="shared" si="72"/>
        <v>5.9385645592805236E-2</v>
      </c>
      <c r="AX185" s="9">
        <f t="shared" si="72"/>
        <v>6.176318311015172E-2</v>
      </c>
      <c r="AY185" s="9">
        <f t="shared" si="72"/>
        <v>6.3926738188299748E-2</v>
      </c>
      <c r="AZ185" s="9">
        <f t="shared" si="72"/>
        <v>6.598071605449829E-2</v>
      </c>
      <c r="BA185" s="9">
        <f t="shared" si="72"/>
        <v>6.7998304055228331E-2</v>
      </c>
      <c r="BB185" s="9">
        <f t="shared" si="72"/>
        <v>5.6381957856215248E-3</v>
      </c>
      <c r="BC185" s="9">
        <f t="shared" si="72"/>
        <v>6.185596096760948E-3</v>
      </c>
      <c r="BD185" s="9">
        <f t="shared" ref="BD185:BF185" si="73">BD175/BD137/(BD165/BD126)-1</f>
        <v>6.7571042982161877E-3</v>
      </c>
      <c r="BE185" s="9">
        <f t="shared" si="73"/>
        <v>7.352203953093106E-3</v>
      </c>
      <c r="BF185" s="9">
        <f t="shared" si="73"/>
        <v>7.9700543077732E-3</v>
      </c>
    </row>
    <row r="186" spans="1:58" x14ac:dyDescent="0.35">
      <c r="B186" t="s">
        <v>30</v>
      </c>
      <c r="C186" s="9">
        <f t="shared" ref="C186:AL186" si="74">C176/C138/(C166/C127)-1</f>
        <v>-8.7484118332925576E-6</v>
      </c>
      <c r="D186" s="9">
        <f t="shared" si="74"/>
        <v>1.3800963098775654E-5</v>
      </c>
      <c r="E186" s="9">
        <f t="shared" si="74"/>
        <v>2.3569026895264855E-5</v>
      </c>
      <c r="F186" s="9">
        <f t="shared" si="74"/>
        <v>2.5659134168520836E-5</v>
      </c>
      <c r="G186" s="9">
        <f t="shared" si="74"/>
        <v>3.1208755352007955E-5</v>
      </c>
      <c r="H186" s="9">
        <f t="shared" si="74"/>
        <v>4.8713546807910291E-5</v>
      </c>
      <c r="I186" s="9">
        <f t="shared" si="74"/>
        <v>7.7758351537005055E-5</v>
      </c>
      <c r="J186" s="9">
        <f t="shared" si="74"/>
        <v>1.1505613911944046E-4</v>
      </c>
      <c r="K186" s="9">
        <f t="shared" si="74"/>
        <v>1.5620723626486033E-4</v>
      </c>
      <c r="L186" s="9">
        <f t="shared" si="74"/>
        <v>1.970642948578849E-4</v>
      </c>
      <c r="M186" s="9">
        <f t="shared" si="74"/>
        <v>2.3434259629961929E-4</v>
      </c>
      <c r="N186" s="9">
        <f t="shared" si="74"/>
        <v>2.6542785856298323E-4</v>
      </c>
      <c r="O186" s="9">
        <f t="shared" si="74"/>
        <v>2.8978854487005101E-4</v>
      </c>
      <c r="P186" s="9">
        <f t="shared" si="74"/>
        <v>3.0764243901693078E-4</v>
      </c>
      <c r="Q186" s="9">
        <f t="shared" si="74"/>
        <v>3.1960753504178818E-4</v>
      </c>
      <c r="R186" s="9">
        <f t="shared" si="74"/>
        <v>3.2633556035954747E-4</v>
      </c>
      <c r="S186" s="9">
        <f t="shared" si="74"/>
        <v>3.2771222676930556E-4</v>
      </c>
      <c r="T186" s="9">
        <f t="shared" si="74"/>
        <v>3.2481139878592913E-4</v>
      </c>
      <c r="U186" s="9">
        <f t="shared" si="74"/>
        <v>3.1858659789030241E-4</v>
      </c>
      <c r="V186" s="9">
        <f t="shared" si="74"/>
        <v>3.0995751296192253E-4</v>
      </c>
      <c r="W186" s="9">
        <f t="shared" si="74"/>
        <v>2.9983823352375261E-4</v>
      </c>
      <c r="X186" s="9">
        <f t="shared" si="74"/>
        <v>2.8878312188718169E-4</v>
      </c>
      <c r="Y186" s="9">
        <f t="shared" si="74"/>
        <v>2.772631092111677E-4</v>
      </c>
      <c r="Z186" s="9">
        <f t="shared" si="74"/>
        <v>2.6554339853701592E-4</v>
      </c>
      <c r="AA186" s="9">
        <f t="shared" si="74"/>
        <v>2.5379010984094563E-4</v>
      </c>
      <c r="AB186" s="9">
        <f t="shared" si="74"/>
        <v>2.4239977446915972E-4</v>
      </c>
      <c r="AC186" s="9">
        <f t="shared" si="74"/>
        <v>2.3170524715121488E-4</v>
      </c>
      <c r="AD186" s="9">
        <f t="shared" si="74"/>
        <v>2.2162001196157632E-4</v>
      </c>
      <c r="AE186" s="9">
        <f t="shared" si="74"/>
        <v>2.11948452645494E-4</v>
      </c>
      <c r="AF186" s="9">
        <f t="shared" si="74"/>
        <v>2.0247326442901503E-4</v>
      </c>
      <c r="AG186" s="9">
        <f t="shared" si="74"/>
        <v>1.9305282651416178E-4</v>
      </c>
      <c r="AH186" s="9">
        <f t="shared" si="74"/>
        <v>1.838023383851084E-4</v>
      </c>
      <c r="AI186" s="9">
        <f t="shared" si="74"/>
        <v>1.7467095645073982E-4</v>
      </c>
      <c r="AJ186" s="9">
        <f t="shared" si="74"/>
        <v>1.6570416340955241E-4</v>
      </c>
      <c r="AK186" s="9">
        <f t="shared" si="74"/>
        <v>1.5699918899092502E-4</v>
      </c>
      <c r="AL186" s="9">
        <f t="shared" si="74"/>
        <v>1.4870765738983494E-4</v>
      </c>
      <c r="AM186" s="9">
        <f t="shared" ref="AM186:BC186" si="75">AM176/AM138/(AM166/AM127)-1</f>
        <v>1.4236334235406822E-4</v>
      </c>
      <c r="AN186" s="9">
        <f t="shared" si="75"/>
        <v>1.3734609978821588E-4</v>
      </c>
      <c r="AO186" s="9">
        <f t="shared" si="75"/>
        <v>1.3255795751088151E-4</v>
      </c>
      <c r="AP186" s="9">
        <f t="shared" si="75"/>
        <v>1.2708173721009963E-4</v>
      </c>
      <c r="AQ186" s="9">
        <f t="shared" si="75"/>
        <v>1.2069428636385382E-4</v>
      </c>
      <c r="AR186" s="9">
        <f t="shared" si="75"/>
        <v>1.6952005085690836E-4</v>
      </c>
      <c r="AS186" s="9">
        <f t="shared" si="75"/>
        <v>2.9669015386635245E-4</v>
      </c>
      <c r="AT186" s="9">
        <f t="shared" si="75"/>
        <v>4.9267250824303055E-4</v>
      </c>
      <c r="AU186" s="9">
        <f t="shared" si="75"/>
        <v>7.3359308423515124E-4</v>
      </c>
      <c r="AV186" s="9">
        <f t="shared" si="75"/>
        <v>9.9498189971480855E-4</v>
      </c>
      <c r="AW186" s="9">
        <f t="shared" si="75"/>
        <v>1.1824472607429026E-3</v>
      </c>
      <c r="AX186" s="9">
        <f t="shared" si="75"/>
        <v>1.2544256668631792E-3</v>
      </c>
      <c r="AY186" s="9">
        <f t="shared" si="75"/>
        <v>1.2200153229640076E-3</v>
      </c>
      <c r="AZ186" s="9">
        <f t="shared" si="75"/>
        <v>1.1107456990244735E-3</v>
      </c>
      <c r="BA186" s="9">
        <f t="shared" si="75"/>
        <v>9.600642792280123E-4</v>
      </c>
      <c r="BB186" s="9">
        <f t="shared" si="75"/>
        <v>-3.2821464647670995E-3</v>
      </c>
      <c r="BC186" s="9">
        <f t="shared" si="75"/>
        <v>-3.3394258183653269E-3</v>
      </c>
      <c r="BD186" s="9">
        <f t="shared" ref="BD186:BF186" si="76">BD176/BD138/(BD166/BD127)-1</f>
        <v>-3.3843333408267728E-3</v>
      </c>
      <c r="BE186" s="9">
        <f t="shared" si="76"/>
        <v>-3.4160345222543631E-3</v>
      </c>
      <c r="BF186" s="9">
        <f t="shared" si="76"/>
        <v>-3.4338280245942432E-3</v>
      </c>
    </row>
    <row r="187" spans="1:58" x14ac:dyDescent="0.35">
      <c r="B187" t="s">
        <v>9</v>
      </c>
      <c r="C187" s="9">
        <f t="shared" ref="C187:AL187" si="77">C177/C139/(C167/C128)-1</f>
        <v>4.9904846815884696E-5</v>
      </c>
      <c r="D187" s="9">
        <f t="shared" si="77"/>
        <v>8.535800698261653E-5</v>
      </c>
      <c r="E187" s="9">
        <f t="shared" si="77"/>
        <v>1.0941872180758594E-4</v>
      </c>
      <c r="F187" s="9">
        <f t="shared" si="77"/>
        <v>1.2606981884477619E-4</v>
      </c>
      <c r="G187" s="9">
        <f t="shared" si="77"/>
        <v>1.4310474699463782E-4</v>
      </c>
      <c r="H187" s="9">
        <f t="shared" si="77"/>
        <v>1.6558005013278532E-4</v>
      </c>
      <c r="I187" s="9">
        <f t="shared" si="77"/>
        <v>1.9297529458750518E-4</v>
      </c>
      <c r="J187" s="9">
        <f t="shared" si="77"/>
        <v>2.2251659105521071E-4</v>
      </c>
      <c r="K187" s="9">
        <f t="shared" si="77"/>
        <v>2.5146253893026937E-4</v>
      </c>
      <c r="L187" s="9">
        <f t="shared" si="77"/>
        <v>2.7774697113169822E-4</v>
      </c>
      <c r="M187" s="9">
        <f t="shared" si="77"/>
        <v>3.003858192232034E-4</v>
      </c>
      <c r="N187" s="9">
        <f t="shared" si="77"/>
        <v>3.1954876127415766E-4</v>
      </c>
      <c r="O187" s="9">
        <f t="shared" si="77"/>
        <v>3.3458635770555745E-4</v>
      </c>
      <c r="P187" s="9">
        <f t="shared" si="77"/>
        <v>3.4603816753686623E-4</v>
      </c>
      <c r="Q187" s="9">
        <f t="shared" si="77"/>
        <v>3.5447078326544812E-4</v>
      </c>
      <c r="R187" s="9">
        <f t="shared" si="77"/>
        <v>3.6028039760038766E-4</v>
      </c>
      <c r="S187" s="9">
        <f t="shared" si="77"/>
        <v>3.6482975571550114E-4</v>
      </c>
      <c r="T187" s="9">
        <f t="shared" si="77"/>
        <v>3.671165076963856E-4</v>
      </c>
      <c r="U187" s="9">
        <f t="shared" si="77"/>
        <v>3.6733037330427543E-4</v>
      </c>
      <c r="V187" s="9">
        <f t="shared" si="77"/>
        <v>3.6566327541054378E-4</v>
      </c>
      <c r="W187" s="9">
        <f t="shared" si="77"/>
        <v>3.6202348982028454E-4</v>
      </c>
      <c r="X187" s="9">
        <f t="shared" si="77"/>
        <v>3.5720865049837514E-4</v>
      </c>
      <c r="Y187" s="9">
        <f t="shared" si="77"/>
        <v>3.5091380099161462E-4</v>
      </c>
      <c r="Z187" s="9">
        <f t="shared" si="77"/>
        <v>3.4318734361549197E-4</v>
      </c>
      <c r="AA187" s="9">
        <f t="shared" si="77"/>
        <v>3.3410538963085656E-4</v>
      </c>
      <c r="AB187" s="9">
        <f t="shared" si="77"/>
        <v>3.2282967558328046E-4</v>
      </c>
      <c r="AC187" s="9">
        <f t="shared" si="77"/>
        <v>3.1092538787147461E-4</v>
      </c>
      <c r="AD187" s="9">
        <f t="shared" si="77"/>
        <v>2.9830830729715707E-4</v>
      </c>
      <c r="AE187" s="9">
        <f t="shared" si="77"/>
        <v>2.8495356210744838E-4</v>
      </c>
      <c r="AF187" s="9">
        <f t="shared" si="77"/>
        <v>2.7084941038557631E-4</v>
      </c>
      <c r="AG187" s="9">
        <f t="shared" si="77"/>
        <v>2.5603205608670798E-4</v>
      </c>
      <c r="AH187" s="9">
        <f t="shared" si="77"/>
        <v>2.4028820520838323E-4</v>
      </c>
      <c r="AI187" s="9">
        <f t="shared" si="77"/>
        <v>2.2401164635321713E-4</v>
      </c>
      <c r="AJ187" s="9">
        <f t="shared" si="77"/>
        <v>2.0729719616574549E-4</v>
      </c>
      <c r="AK187" s="9">
        <f t="shared" si="77"/>
        <v>1.9023405613038946E-4</v>
      </c>
      <c r="AL187" s="9">
        <f t="shared" si="77"/>
        <v>1.7291333050573066E-4</v>
      </c>
      <c r="AM187" s="9">
        <f t="shared" ref="AM187:BC187" si="78">AM177/AM139/(AM167/AM128)-1</f>
        <v>1.5245775788752525E-4</v>
      </c>
      <c r="AN187" s="9">
        <f t="shared" si="78"/>
        <v>1.3208153751587126E-4</v>
      </c>
      <c r="AO187" s="9">
        <f t="shared" si="78"/>
        <v>1.1139052437925123E-4</v>
      </c>
      <c r="AP187" s="9">
        <f t="shared" si="78"/>
        <v>8.9932240846746225E-5</v>
      </c>
      <c r="AQ187" s="9">
        <f t="shared" si="78"/>
        <v>6.758219040037261E-5</v>
      </c>
      <c r="AR187" s="9">
        <f t="shared" si="78"/>
        <v>7.4801933855006553E-5</v>
      </c>
      <c r="AS187" s="9">
        <f t="shared" si="78"/>
        <v>1.1367533339123881E-4</v>
      </c>
      <c r="AT187" s="9">
        <f t="shared" si="78"/>
        <v>1.7335674701746129E-4</v>
      </c>
      <c r="AU187" s="9">
        <f t="shared" si="78"/>
        <v>2.4085221452696537E-4</v>
      </c>
      <c r="AV187" s="9">
        <f t="shared" si="78"/>
        <v>3.066185953630729E-4</v>
      </c>
      <c r="AW187" s="9">
        <f t="shared" si="78"/>
        <v>3.235974025548316E-4</v>
      </c>
      <c r="AX187" s="9">
        <f t="shared" si="78"/>
        <v>2.9008188010903879E-4</v>
      </c>
      <c r="AY187" s="9">
        <f t="shared" si="78"/>
        <v>2.2228749734876097E-4</v>
      </c>
      <c r="AZ187" s="9">
        <f t="shared" si="78"/>
        <v>1.3941924212224066E-4</v>
      </c>
      <c r="BA187" s="9">
        <f t="shared" si="78"/>
        <v>5.5122650922223571E-5</v>
      </c>
      <c r="BB187" s="9">
        <f t="shared" si="78"/>
        <v>-4.8690593586189213E-3</v>
      </c>
      <c r="BC187" s="9">
        <f t="shared" si="78"/>
        <v>-5.0537698595797265E-3</v>
      </c>
      <c r="BD187" s="9">
        <f t="shared" ref="BD187:BF187" si="79">BD177/BD139/(BD167/BD128)-1</f>
        <v>-5.2348142376216211E-3</v>
      </c>
      <c r="BE187" s="9">
        <f t="shared" si="79"/>
        <v>-5.4118195360129961E-3</v>
      </c>
      <c r="BF187" s="9">
        <f t="shared" si="79"/>
        <v>-5.5845337401694284E-3</v>
      </c>
    </row>
    <row r="188" spans="1:58" x14ac:dyDescent="0.35">
      <c r="B188" t="s">
        <v>10</v>
      </c>
      <c r="C188" s="9">
        <f t="shared" ref="C188:AL188" si="80">C178/C140/(C168/C129)-1</f>
        <v>5.4118740109521113E-5</v>
      </c>
      <c r="D188" s="9">
        <f t="shared" si="80"/>
        <v>1.1616194513663913E-4</v>
      </c>
      <c r="E188" s="9">
        <f t="shared" si="80"/>
        <v>1.5026852361899046E-4</v>
      </c>
      <c r="F188" s="9">
        <f t="shared" si="80"/>
        <v>1.6702745788044204E-4</v>
      </c>
      <c r="G188" s="9">
        <f t="shared" si="80"/>
        <v>1.8139095885572054E-4</v>
      </c>
      <c r="H188" s="9">
        <f t="shared" si="80"/>
        <v>2.033066270743511E-4</v>
      </c>
      <c r="I188" s="9">
        <f t="shared" si="80"/>
        <v>2.3065306074654401E-4</v>
      </c>
      <c r="J188" s="9">
        <f t="shared" si="80"/>
        <v>2.5906410403897517E-4</v>
      </c>
      <c r="K188" s="9">
        <f t="shared" si="80"/>
        <v>2.8478563107325883E-4</v>
      </c>
      <c r="L188" s="9">
        <f t="shared" si="80"/>
        <v>3.0533164485735398E-4</v>
      </c>
      <c r="M188" s="9">
        <f t="shared" si="80"/>
        <v>3.196013333164327E-4</v>
      </c>
      <c r="N188" s="9">
        <f t="shared" si="80"/>
        <v>3.2845593672159445E-4</v>
      </c>
      <c r="O188" s="9">
        <f t="shared" si="80"/>
        <v>3.3203548086002677E-4</v>
      </c>
      <c r="P188" s="9">
        <f t="shared" si="80"/>
        <v>3.3158514156039764E-4</v>
      </c>
      <c r="Q188" s="9">
        <f t="shared" si="80"/>
        <v>3.2825537824643369E-4</v>
      </c>
      <c r="R188" s="9">
        <f t="shared" si="80"/>
        <v>3.2280451689215006E-4</v>
      </c>
      <c r="S188" s="9">
        <f t="shared" si="80"/>
        <v>3.1666908987548759E-4</v>
      </c>
      <c r="T188" s="9">
        <f t="shared" si="80"/>
        <v>3.0941223131319973E-4</v>
      </c>
      <c r="U188" s="9">
        <f t="shared" si="80"/>
        <v>3.0138673868496113E-4</v>
      </c>
      <c r="V188" s="9">
        <f t="shared" si="80"/>
        <v>2.9290148932403781E-4</v>
      </c>
      <c r="W188" s="9">
        <f t="shared" si="80"/>
        <v>2.841917335827393E-4</v>
      </c>
      <c r="X188" s="9">
        <f t="shared" si="80"/>
        <v>2.7552097683991583E-4</v>
      </c>
      <c r="Y188" s="9">
        <f t="shared" si="80"/>
        <v>2.6681036907105771E-4</v>
      </c>
      <c r="Z188" s="9">
        <f t="shared" si="80"/>
        <v>2.5797691482254415E-4</v>
      </c>
      <c r="AA188" s="9">
        <f t="shared" si="80"/>
        <v>2.4894175730061363E-4</v>
      </c>
      <c r="AB188" s="9">
        <f t="shared" si="80"/>
        <v>2.3955706458056447E-4</v>
      </c>
      <c r="AC188" s="9">
        <f t="shared" si="80"/>
        <v>2.2994129197551061E-4</v>
      </c>
      <c r="AD188" s="9">
        <f t="shared" si="80"/>
        <v>2.2026984553691342E-4</v>
      </c>
      <c r="AE188" s="9">
        <f t="shared" si="80"/>
        <v>2.1037729792205973E-4</v>
      </c>
      <c r="AF188" s="9">
        <f t="shared" si="80"/>
        <v>2.0015861577737937E-4</v>
      </c>
      <c r="AG188" s="9">
        <f t="shared" si="80"/>
        <v>1.8959242698879386E-4</v>
      </c>
      <c r="AH188" s="9">
        <f t="shared" si="80"/>
        <v>1.7849277941750508E-4</v>
      </c>
      <c r="AI188" s="9">
        <f t="shared" si="80"/>
        <v>1.6717061794269128E-4</v>
      </c>
      <c r="AJ188" s="9">
        <f t="shared" si="80"/>
        <v>1.5574879209112602E-4</v>
      </c>
      <c r="AK188" s="9">
        <f t="shared" si="80"/>
        <v>1.4435644238397494E-4</v>
      </c>
      <c r="AL188" s="9">
        <f t="shared" si="80"/>
        <v>1.3312337562276788E-4</v>
      </c>
      <c r="AM188" s="9">
        <f t="shared" ref="AM188:BC188" si="81">AM178/AM140/(AM168/AM129)-1</f>
        <v>1.1994597997011525E-4</v>
      </c>
      <c r="AN188" s="9">
        <f t="shared" si="81"/>
        <v>1.0703888297447506E-4</v>
      </c>
      <c r="AO188" s="9">
        <f t="shared" si="81"/>
        <v>9.3368013806438555E-5</v>
      </c>
      <c r="AP188" s="9">
        <f t="shared" si="81"/>
        <v>7.8126422652369243E-5</v>
      </c>
      <c r="AQ188" s="9">
        <f t="shared" si="81"/>
        <v>6.1400355140461826E-5</v>
      </c>
      <c r="AR188" s="9">
        <f t="shared" si="81"/>
        <v>7.9082793901008586E-5</v>
      </c>
      <c r="AS188" s="9">
        <f t="shared" si="81"/>
        <v>1.3117514949834153E-4</v>
      </c>
      <c r="AT188" s="9">
        <f t="shared" si="81"/>
        <v>2.0206010345558134E-4</v>
      </c>
      <c r="AU188" s="9">
        <f t="shared" si="81"/>
        <v>2.7447244397449388E-4</v>
      </c>
      <c r="AV188" s="9">
        <f t="shared" si="81"/>
        <v>3.3658344877141033E-4</v>
      </c>
      <c r="AW188" s="9">
        <f t="shared" si="81"/>
        <v>3.3488727171127053E-4</v>
      </c>
      <c r="AX188" s="9">
        <f t="shared" si="81"/>
        <v>2.7334664823297494E-4</v>
      </c>
      <c r="AY188" s="9">
        <f t="shared" si="81"/>
        <v>1.7824889649653564E-4</v>
      </c>
      <c r="AZ188" s="9">
        <f t="shared" si="81"/>
        <v>7.7345041615606291E-5</v>
      </c>
      <c r="BA188" s="9">
        <f t="shared" si="81"/>
        <v>-1.0682944060369515E-5</v>
      </c>
      <c r="BB188" s="9">
        <f t="shared" si="81"/>
        <v>-4.5152881580919901E-3</v>
      </c>
      <c r="BC188" s="9">
        <f t="shared" si="81"/>
        <v>-4.6558780453577198E-3</v>
      </c>
      <c r="BD188" s="9">
        <f t="shared" ref="BD188:BF188" si="82">BD178/BD140/(BD168/BD129)-1</f>
        <v>-4.7912267583254398E-3</v>
      </c>
      <c r="BE188" s="9">
        <f t="shared" si="82"/>
        <v>-4.9210641484708217E-3</v>
      </c>
      <c r="BF188" s="9">
        <f t="shared" si="82"/>
        <v>-5.0452665356431892E-3</v>
      </c>
    </row>
    <row r="189" spans="1:58" x14ac:dyDescent="0.35">
      <c r="B189" t="s">
        <v>29</v>
      </c>
      <c r="C189" s="9">
        <f t="shared" ref="C189:AL189" si="83">(C179+C180)/(C141+C142)/((C169+C170)/(C130+C131))-1</f>
        <v>-1.7052819929175289E-4</v>
      </c>
      <c r="D189" s="9">
        <f t="shared" si="83"/>
        <v>-4.8265491005983208E-4</v>
      </c>
      <c r="E189" s="9">
        <f t="shared" si="83"/>
        <v>-6.6065211800026002E-4</v>
      </c>
      <c r="F189" s="9">
        <f t="shared" si="83"/>
        <v>-7.7177584028131907E-4</v>
      </c>
      <c r="G189" s="9">
        <f t="shared" si="83"/>
        <v>-8.648573600794629E-4</v>
      </c>
      <c r="H189" s="9">
        <f t="shared" si="83"/>
        <v>-9.7239131895610065E-4</v>
      </c>
      <c r="I189" s="9">
        <f t="shared" si="83"/>
        <v>-1.0694015814868285E-3</v>
      </c>
      <c r="J189" s="9">
        <f t="shared" si="83"/>
        <v>-1.1460544341579393E-3</v>
      </c>
      <c r="K189" s="9">
        <f t="shared" si="83"/>
        <v>-1.2013739711386195E-3</v>
      </c>
      <c r="L189" s="9">
        <f t="shared" si="83"/>
        <v>-1.2369416819788537E-3</v>
      </c>
      <c r="M189" s="9">
        <f t="shared" si="83"/>
        <v>-1.2538487197388815E-3</v>
      </c>
      <c r="N189" s="9">
        <f t="shared" si="83"/>
        <v>-1.2600773889045458E-3</v>
      </c>
      <c r="O189" s="9">
        <f t="shared" si="83"/>
        <v>-1.2553730263015206E-3</v>
      </c>
      <c r="P189" s="9">
        <f t="shared" si="83"/>
        <v>-1.2414607553166146E-3</v>
      </c>
      <c r="Q189" s="9">
        <f t="shared" si="83"/>
        <v>-1.2192574858624905E-3</v>
      </c>
      <c r="R189" s="9">
        <f t="shared" si="83"/>
        <v>-1.1881342951473028E-3</v>
      </c>
      <c r="S189" s="9">
        <f t="shared" si="83"/>
        <v>-1.1505125494495339E-3</v>
      </c>
      <c r="T189" s="9">
        <f t="shared" si="83"/>
        <v>-1.104600321336302E-3</v>
      </c>
      <c r="U189" s="9">
        <f t="shared" si="83"/>
        <v>-1.0508767062424873E-3</v>
      </c>
      <c r="V189" s="9">
        <f t="shared" si="83"/>
        <v>-9.9069491940295684E-4</v>
      </c>
      <c r="W189" s="9">
        <f t="shared" si="83"/>
        <v>-9.2727624026545108E-4</v>
      </c>
      <c r="X189" s="9">
        <f t="shared" si="83"/>
        <v>-8.5951684778684534E-4</v>
      </c>
      <c r="Y189" s="9">
        <f t="shared" si="83"/>
        <v>-7.9019204318875325E-4</v>
      </c>
      <c r="Z189" s="9">
        <f t="shared" si="83"/>
        <v>-7.2043525939469166E-4</v>
      </c>
      <c r="AA189" s="9">
        <f t="shared" si="83"/>
        <v>-6.5094663406539688E-4</v>
      </c>
      <c r="AB189" s="9">
        <f t="shared" si="83"/>
        <v>-5.868522929133313E-4</v>
      </c>
      <c r="AC189" s="9">
        <f t="shared" si="83"/>
        <v>-5.2064490645964412E-4</v>
      </c>
      <c r="AD189" s="9">
        <f t="shared" si="83"/>
        <v>-4.5553951310206564E-4</v>
      </c>
      <c r="AE189" s="9">
        <f t="shared" si="83"/>
        <v>-3.9188283670577029E-4</v>
      </c>
      <c r="AF189" s="9">
        <f t="shared" si="83"/>
        <v>-3.2964618870989781E-4</v>
      </c>
      <c r="AG189" s="9">
        <f t="shared" si="83"/>
        <v>-2.6868002128732638E-4</v>
      </c>
      <c r="AH189" s="9">
        <f t="shared" si="83"/>
        <v>-2.0810430666151625E-4</v>
      </c>
      <c r="AI189" s="9">
        <f t="shared" si="83"/>
        <v>-1.4831410694715608E-4</v>
      </c>
      <c r="AJ189" s="9">
        <f t="shared" si="83"/>
        <v>-8.9422132321437253E-5</v>
      </c>
      <c r="AK189" s="9">
        <f t="shared" si="83"/>
        <v>-3.152963921893015E-5</v>
      </c>
      <c r="AL189" s="9">
        <f t="shared" si="83"/>
        <v>2.5242799519320513E-5</v>
      </c>
      <c r="AM189" s="9">
        <f t="shared" ref="AM189:BC189" si="84">(AM179+AM180)/(AM141+AM142)/((AM169+AM170)/(AM130+AM131))-1</f>
        <v>8.5914726706493028E-5</v>
      </c>
      <c r="AN189" s="9">
        <f t="shared" si="84"/>
        <v>1.4679571769571353E-4</v>
      </c>
      <c r="AO189" s="9">
        <f t="shared" si="84"/>
        <v>2.1791965612871778E-4</v>
      </c>
      <c r="AP189" s="9">
        <f t="shared" si="84"/>
        <v>3.0448350217238129E-4</v>
      </c>
      <c r="AQ189" s="9">
        <f t="shared" si="84"/>
        <v>4.031402365975989E-4</v>
      </c>
      <c r="AR189" s="9">
        <f t="shared" si="84"/>
        <v>4.7418635063678494E-4</v>
      </c>
      <c r="AS189" s="9">
        <f t="shared" si="84"/>
        <v>5.1728516612503661E-4</v>
      </c>
      <c r="AT189" s="9">
        <f t="shared" si="84"/>
        <v>5.3888960145598297E-4</v>
      </c>
      <c r="AU189" s="9">
        <f t="shared" si="84"/>
        <v>5.48512626940445E-4</v>
      </c>
      <c r="AV189" s="9">
        <f t="shared" si="84"/>
        <v>5.5615970849154373E-4</v>
      </c>
      <c r="AW189" s="9">
        <f t="shared" si="84"/>
        <v>6.1277421857131031E-4</v>
      </c>
      <c r="AX189" s="9">
        <f t="shared" si="84"/>
        <v>6.9995117377930072E-4</v>
      </c>
      <c r="AY189" s="9">
        <f t="shared" si="84"/>
        <v>7.9761576434700387E-4</v>
      </c>
      <c r="AZ189" s="9">
        <f t="shared" si="84"/>
        <v>8.9211985871351374E-4</v>
      </c>
      <c r="BA189" s="9">
        <f t="shared" si="84"/>
        <v>9.7555682075367578E-4</v>
      </c>
      <c r="BB189" s="9">
        <f t="shared" si="84"/>
        <v>-4.0902821510452325E-3</v>
      </c>
      <c r="BC189" s="9">
        <f t="shared" si="84"/>
        <v>-4.195930160900696E-3</v>
      </c>
      <c r="BD189" s="9">
        <f t="shared" ref="BD189:BF189" si="85">(BD179+BD180)/(BD141+BD142)/((BD169+BD170)/(BD130+BD131))-1</f>
        <v>-4.2938519498608718E-3</v>
      </c>
      <c r="BE189" s="9">
        <f t="shared" si="85"/>
        <v>-4.3843283318697468E-3</v>
      </c>
      <c r="BF189" s="9">
        <f t="shared" si="85"/>
        <v>-4.4677866069477989E-3</v>
      </c>
    </row>
    <row r="190" spans="1:58" x14ac:dyDescent="0.35">
      <c r="B190" t="s">
        <v>33</v>
      </c>
      <c r="C190" s="9">
        <f t="shared" ref="C190:AL190" si="86">C181/C143/(C171/C132)-1</f>
        <v>-8.4207486504062068E-5</v>
      </c>
      <c r="D190" s="9">
        <f t="shared" si="86"/>
        <v>-1.20815912539185E-3</v>
      </c>
      <c r="E190" s="9">
        <f t="shared" si="86"/>
        <v>-1.7654954121897326E-3</v>
      </c>
      <c r="F190" s="9">
        <f t="shared" si="86"/>
        <v>-2.0044398026661803E-3</v>
      </c>
      <c r="G190" s="9">
        <f t="shared" si="86"/>
        <v>-2.1528814630240589E-3</v>
      </c>
      <c r="H190" s="9">
        <f t="shared" si="86"/>
        <v>-2.3628500853131174E-3</v>
      </c>
      <c r="I190" s="9">
        <f t="shared" si="86"/>
        <v>-2.5928426664866278E-3</v>
      </c>
      <c r="J190" s="9">
        <f t="shared" si="86"/>
        <v>-2.8008323830425175E-3</v>
      </c>
      <c r="K190" s="9">
        <f t="shared" si="86"/>
        <v>-2.9662447986077423E-3</v>
      </c>
      <c r="L190" s="9">
        <f t="shared" si="86"/>
        <v>-3.0839770280742806E-3</v>
      </c>
      <c r="M190" s="9">
        <f t="shared" si="86"/>
        <v>-3.1532572910279999E-3</v>
      </c>
      <c r="N190" s="9">
        <f t="shared" si="86"/>
        <v>-3.1923846703743042E-3</v>
      </c>
      <c r="O190" s="9">
        <f t="shared" si="86"/>
        <v>-3.2057474915582196E-3</v>
      </c>
      <c r="P190" s="9">
        <f t="shared" si="86"/>
        <v>-3.1983841372036359E-3</v>
      </c>
      <c r="Q190" s="9">
        <f t="shared" si="86"/>
        <v>-3.1723556385562235E-3</v>
      </c>
      <c r="R190" s="9">
        <f t="shared" si="86"/>
        <v>-3.1246516407185121E-3</v>
      </c>
      <c r="S190" s="9">
        <f t="shared" si="86"/>
        <v>-3.0573858897692263E-3</v>
      </c>
      <c r="T190" s="9">
        <f t="shared" si="86"/>
        <v>-2.9683744280978308E-3</v>
      </c>
      <c r="U190" s="9">
        <f t="shared" si="86"/>
        <v>-2.8584685692307765E-3</v>
      </c>
      <c r="V190" s="9">
        <f t="shared" si="86"/>
        <v>-2.7308501819722775E-3</v>
      </c>
      <c r="W190" s="9">
        <f t="shared" si="86"/>
        <v>-2.5947426683079478E-3</v>
      </c>
      <c r="X190" s="9">
        <f t="shared" si="86"/>
        <v>-2.4463534490430927E-3</v>
      </c>
      <c r="Y190" s="9">
        <f t="shared" si="86"/>
        <v>-2.2917548100888085E-3</v>
      </c>
      <c r="Z190" s="9">
        <f t="shared" si="86"/>
        <v>-2.1338299999870136E-3</v>
      </c>
      <c r="AA190" s="9">
        <f t="shared" si="86"/>
        <v>-1.97397220954032E-3</v>
      </c>
      <c r="AB190" s="9">
        <f t="shared" si="86"/>
        <v>-1.8283896995868743E-3</v>
      </c>
      <c r="AC190" s="9">
        <f t="shared" si="86"/>
        <v>-1.6763635418289846E-3</v>
      </c>
      <c r="AD190" s="9">
        <f t="shared" si="86"/>
        <v>-1.5217977266986926E-3</v>
      </c>
      <c r="AE190" s="9">
        <f t="shared" si="86"/>
        <v>-1.3652299242444821E-3</v>
      </c>
      <c r="AF190" s="9">
        <f t="shared" si="86"/>
        <v>-1.206310110896669E-3</v>
      </c>
      <c r="AG190" s="9">
        <f t="shared" si="86"/>
        <v>-1.0443555815917716E-3</v>
      </c>
      <c r="AH190" s="9">
        <f t="shared" si="86"/>
        <v>-8.7758461103837337E-4</v>
      </c>
      <c r="AI190" s="9">
        <f t="shared" si="86"/>
        <v>-7.0613661215157553E-4</v>
      </c>
      <c r="AJ190" s="9">
        <f t="shared" si="86"/>
        <v>-5.3033357366416567E-4</v>
      </c>
      <c r="AK190" s="9">
        <f t="shared" si="86"/>
        <v>-3.5057550883532684E-4</v>
      </c>
      <c r="AL190" s="9">
        <f t="shared" si="86"/>
        <v>-1.6729247178592921E-4</v>
      </c>
      <c r="AM190" s="9">
        <f t="shared" ref="AM190:BC190" si="87">AM181/AM143/(AM171/AM132)-1</f>
        <v>2.4847114391546299E-5</v>
      </c>
      <c r="AN190" s="9">
        <f t="shared" si="87"/>
        <v>2.2333054128065299E-4</v>
      </c>
      <c r="AO190" s="9">
        <f t="shared" si="87"/>
        <v>4.4552625671046009E-4</v>
      </c>
      <c r="AP190" s="9">
        <f t="shared" si="87"/>
        <v>7.0576820071299728E-4</v>
      </c>
      <c r="AQ190" s="9">
        <f t="shared" si="87"/>
        <v>1.0049512320675635E-3</v>
      </c>
      <c r="AR190" s="9">
        <f t="shared" si="87"/>
        <v>1.2739770418130902E-3</v>
      </c>
      <c r="AS190" s="9">
        <f t="shared" si="87"/>
        <v>1.4744024978667891E-3</v>
      </c>
      <c r="AT190" s="9">
        <f t="shared" si="87"/>
        <v>1.6020826618163841E-3</v>
      </c>
      <c r="AU190" s="9">
        <f t="shared" si="87"/>
        <v>1.6820373657258081E-3</v>
      </c>
      <c r="AV190" s="9">
        <f t="shared" si="87"/>
        <v>1.7499851677720279E-3</v>
      </c>
      <c r="AW190" s="9">
        <f t="shared" si="87"/>
        <v>1.9062503184759105E-3</v>
      </c>
      <c r="AX190" s="9">
        <f t="shared" si="87"/>
        <v>2.140758193499126E-3</v>
      </c>
      <c r="AY190" s="9">
        <f t="shared" si="87"/>
        <v>2.413336147649936E-3</v>
      </c>
      <c r="AZ190" s="9">
        <f t="shared" si="87"/>
        <v>2.6853611096455676E-3</v>
      </c>
      <c r="BA190" s="9">
        <f t="shared" si="87"/>
        <v>2.9299476701012406E-3</v>
      </c>
      <c r="BB190" s="9">
        <f t="shared" si="87"/>
        <v>2.2428448509804522E-2</v>
      </c>
      <c r="BC190" s="9">
        <f t="shared" si="87"/>
        <v>2.3685348665945183E-2</v>
      </c>
      <c r="BD190" s="9">
        <f t="shared" ref="BD190:BF190" si="88">BD181/BD143/(BD171/BD132)-1</f>
        <v>2.4985452524077578E-2</v>
      </c>
      <c r="BE190" s="9">
        <f t="shared" si="88"/>
        <v>2.6329744699673974E-2</v>
      </c>
      <c r="BF190" s="9">
        <f t="shared" si="88"/>
        <v>2.7717781782209183E-2</v>
      </c>
    </row>
    <row r="192" spans="1:58" x14ac:dyDescent="0.35">
      <c r="A192" s="12" t="s">
        <v>86</v>
      </c>
      <c r="B192" t="s">
        <v>27</v>
      </c>
      <c r="C192" s="5">
        <f>[1]Results!F1434</f>
        <v>27374.43507</v>
      </c>
      <c r="D192" s="5">
        <f>[1]Results!G1434</f>
        <v>27407.388129999999</v>
      </c>
      <c r="E192" s="5">
        <f>[1]Results!H1434</f>
        <v>27448.65309</v>
      </c>
      <c r="F192" s="5">
        <f>[1]Results!I1434</f>
        <v>27506.708419999999</v>
      </c>
      <c r="G192" s="5">
        <f>[1]Results!J1434</f>
        <v>27584.298770000001</v>
      </c>
      <c r="H192" s="5">
        <f>[1]Results!K1434</f>
        <v>27680.819479999998</v>
      </c>
      <c r="I192" s="5">
        <f>[1]Results!L1434</f>
        <v>27783.097989999998</v>
      </c>
      <c r="J192" s="5">
        <f>[1]Results!M1434</f>
        <v>27890.384959999999</v>
      </c>
      <c r="K192" s="5">
        <f>[1]Results!N1434</f>
        <v>28002.06364</v>
      </c>
      <c r="L192" s="5">
        <f>[1]Results!O1434</f>
        <v>28117.35959</v>
      </c>
      <c r="M192" s="5">
        <f>[1]Results!P1434</f>
        <v>28253.610820000002</v>
      </c>
      <c r="N192" s="5">
        <f>[1]Results!Q1434</f>
        <v>28388.254260000002</v>
      </c>
      <c r="O192" s="5">
        <f>[1]Results!R1434</f>
        <v>28520.20377</v>
      </c>
      <c r="P192" s="5">
        <f>[1]Results!S1434</f>
        <v>28649.433540000002</v>
      </c>
      <c r="Q192" s="5">
        <f>[1]Results!T1434</f>
        <v>28776.128680000002</v>
      </c>
      <c r="R192" s="5">
        <f>[1]Results!U1434</f>
        <v>28900.533769999998</v>
      </c>
      <c r="S192" s="5">
        <f>[1]Results!V1434</f>
        <v>29022.946629999999</v>
      </c>
      <c r="T192" s="5">
        <f>[1]Results!W1434</f>
        <v>29143.651539999999</v>
      </c>
      <c r="U192" s="5">
        <f>[1]Results!X1434</f>
        <v>29262.930779999999</v>
      </c>
      <c r="V192" s="5">
        <f>[1]Results!Y1434</f>
        <v>29381.04536</v>
      </c>
      <c r="W192" s="5">
        <f>[1]Results!Z1434</f>
        <v>29486.14172</v>
      </c>
      <c r="X192" s="5">
        <f>[1]Results!AA1434</f>
        <v>29592.84621</v>
      </c>
      <c r="Y192" s="5">
        <f>[1]Results!AB1434</f>
        <v>29701.556229999998</v>
      </c>
      <c r="Z192" s="5">
        <f>[1]Results!AC1434</f>
        <v>29812.010910000001</v>
      </c>
      <c r="AA192" s="5">
        <f>[1]Results!AD1434</f>
        <v>29923.862959999999</v>
      </c>
      <c r="AB192" s="5">
        <f>[1]Results!AE1434</f>
        <v>30003.774700000002</v>
      </c>
      <c r="AC192" s="5">
        <f>[1]Results!AF1434</f>
        <v>30075.362860000001</v>
      </c>
      <c r="AD192" s="5">
        <f>[1]Results!AG1434</f>
        <v>30142.043300000001</v>
      </c>
      <c r="AE192" s="5">
        <f>[1]Results!AH1434</f>
        <v>30205.883170000001</v>
      </c>
      <c r="AF192" s="5">
        <f>[1]Results!AI1434</f>
        <v>30268.33685</v>
      </c>
      <c r="AG192" s="5">
        <f>[1]Results!AJ1434</f>
        <v>30330.431240000002</v>
      </c>
      <c r="AH192" s="5">
        <f>[1]Results!AK1434</f>
        <v>30392.835599999999</v>
      </c>
      <c r="AI192" s="5">
        <f>[1]Results!AL1434</f>
        <v>30455.935229999999</v>
      </c>
      <c r="AJ192" s="5">
        <f>[1]Results!AM1434</f>
        <v>30519.888900000002</v>
      </c>
      <c r="AK192" s="5">
        <f>[1]Results!AN1434</f>
        <v>30584.693950000001</v>
      </c>
      <c r="AL192" s="5">
        <f>[1]Results!AO1434</f>
        <v>30650.244589999998</v>
      </c>
      <c r="AM192" s="5">
        <f>[1]Results!AP1434</f>
        <v>30709.282869999999</v>
      </c>
      <c r="AN192" s="5">
        <f>[1]Results!AQ1434</f>
        <v>30763.014660000001</v>
      </c>
      <c r="AO192" s="5">
        <f>[1]Results!AR1434</f>
        <v>30812.79334</v>
      </c>
      <c r="AP192" s="5">
        <f>[1]Results!AS1434</f>
        <v>30859.766339999998</v>
      </c>
      <c r="AQ192" s="5">
        <f>[1]Results!AT1434</f>
        <v>30904.842769999999</v>
      </c>
      <c r="AR192" s="5">
        <f>[1]Results!AU1434</f>
        <v>30948.707999999999</v>
      </c>
      <c r="AS192" s="5">
        <f>[1]Results!AV1434</f>
        <v>30991.867849999999</v>
      </c>
      <c r="AT192" s="5">
        <f>[1]Results!AW1434</f>
        <v>31034.666689999998</v>
      </c>
      <c r="AU192" s="5">
        <f>[1]Results!AX1434</f>
        <v>31077.317899999998</v>
      </c>
      <c r="AV192" s="5">
        <f>[1]Results!AY1434</f>
        <v>31119.934570000001</v>
      </c>
      <c r="AW192" s="5">
        <f>[1]Results!AZ1434</f>
        <v>31163.498899999999</v>
      </c>
      <c r="AX192" s="5">
        <f>[1]Results!BA1434</f>
        <v>31208.538830000001</v>
      </c>
      <c r="AY192" s="5">
        <f>[1]Results!BB1434</f>
        <v>31255.23329</v>
      </c>
      <c r="AZ192" s="5">
        <f>[1]Results!BC1434</f>
        <v>31303.43276</v>
      </c>
      <c r="BA192" s="5">
        <f>[1]Results!BD1434</f>
        <v>31352.833279999999</v>
      </c>
      <c r="BB192" s="5">
        <f>[1]Results!BE1434</f>
        <v>31151.28602</v>
      </c>
      <c r="BC192" s="5">
        <f>[1]Results!BF1434</f>
        <v>31189.76338</v>
      </c>
      <c r="BD192" s="5">
        <f>[1]Results!BG1434</f>
        <v>31227.690480000001</v>
      </c>
      <c r="BE192" s="5">
        <f>[1]Results!BH1434</f>
        <v>31265.089660000001</v>
      </c>
      <c r="BF192" s="5">
        <f>[1]Results!BI1434</f>
        <v>31301.985199999999</v>
      </c>
    </row>
    <row r="193" spans="1:58" x14ac:dyDescent="0.35">
      <c r="A193" t="s">
        <v>39</v>
      </c>
      <c r="B193" t="s">
        <v>7</v>
      </c>
      <c r="C193" s="5">
        <f>[1]Results!F1435</f>
        <v>763.51724249999995</v>
      </c>
      <c r="D193" s="5">
        <f>[1]Results!G1435</f>
        <v>764.62380199999996</v>
      </c>
      <c r="E193" s="5">
        <f>[1]Results!H1435</f>
        <v>764.07154370000001</v>
      </c>
      <c r="F193" s="5">
        <f>[1]Results!I1435</f>
        <v>762.62687240000002</v>
      </c>
      <c r="G193" s="5">
        <f>[1]Results!J1435</f>
        <v>760.81558719999998</v>
      </c>
      <c r="H193" s="5">
        <f>[1]Results!K1435</f>
        <v>758.95328819999997</v>
      </c>
      <c r="I193" s="5">
        <f>[1]Results!L1435</f>
        <v>756.82875620000004</v>
      </c>
      <c r="J193" s="5">
        <f>[1]Results!M1435</f>
        <v>754.66632660000005</v>
      </c>
      <c r="K193" s="5">
        <f>[1]Results!N1435</f>
        <v>752.59355100000005</v>
      </c>
      <c r="L193" s="5">
        <f>[1]Results!O1435</f>
        <v>750.67065869999999</v>
      </c>
      <c r="M193" s="5">
        <f>[1]Results!P1435</f>
        <v>749.54349260000004</v>
      </c>
      <c r="N193" s="5">
        <f>[1]Results!Q1435</f>
        <v>748.35848899999996</v>
      </c>
      <c r="O193" s="5">
        <f>[1]Results!R1435</f>
        <v>747.16093760000001</v>
      </c>
      <c r="P193" s="5">
        <f>[1]Results!S1435</f>
        <v>745.98679179999999</v>
      </c>
      <c r="Q193" s="5">
        <f>[1]Results!T1435</f>
        <v>744.855276</v>
      </c>
      <c r="R193" s="5">
        <f>[1]Results!U1435</f>
        <v>743.77162520000002</v>
      </c>
      <c r="S193" s="5">
        <f>[1]Results!V1435</f>
        <v>742.76348889999997</v>
      </c>
      <c r="T193" s="5">
        <f>[1]Results!W1435</f>
        <v>741.81029560000002</v>
      </c>
      <c r="U193" s="5">
        <f>[1]Results!X1435</f>
        <v>740.89491959999998</v>
      </c>
      <c r="V193" s="5">
        <f>[1]Results!Y1435</f>
        <v>740.00380280000002</v>
      </c>
      <c r="W193" s="5">
        <f>[1]Results!Z1435</f>
        <v>738.72888009999997</v>
      </c>
      <c r="X193" s="5">
        <f>[1]Results!AA1435</f>
        <v>737.62103460000003</v>
      </c>
      <c r="Y193" s="5">
        <f>[1]Results!AB1435</f>
        <v>736.62816020000002</v>
      </c>
      <c r="Z193" s="5">
        <f>[1]Results!AC1435</f>
        <v>735.70769270000005</v>
      </c>
      <c r="AA193" s="5">
        <f>[1]Results!AD1435</f>
        <v>734.83123490000003</v>
      </c>
      <c r="AB193" s="5">
        <f>[1]Results!AE1435</f>
        <v>732.91789900000003</v>
      </c>
      <c r="AC193" s="5">
        <f>[1]Results!AF1435</f>
        <v>730.94412999999997</v>
      </c>
      <c r="AD193" s="5">
        <f>[1]Results!AG1435</f>
        <v>728.98521530000005</v>
      </c>
      <c r="AE193" s="5">
        <f>[1]Results!AH1435</f>
        <v>727.07540779999999</v>
      </c>
      <c r="AF193" s="5">
        <f>[1]Results!AI1435</f>
        <v>725.22941290000006</v>
      </c>
      <c r="AG193" s="5">
        <f>[1]Results!AJ1435</f>
        <v>723.45302530000004</v>
      </c>
      <c r="AH193" s="5">
        <f>[1]Results!AK1435</f>
        <v>721.7403157</v>
      </c>
      <c r="AI193" s="5">
        <f>[1]Results!AL1435</f>
        <v>720.09455160000005</v>
      </c>
      <c r="AJ193" s="5">
        <f>[1]Results!AM1435</f>
        <v>718.51705579999998</v>
      </c>
      <c r="AK193" s="5">
        <f>[1]Results!AN1435</f>
        <v>717.00792190000004</v>
      </c>
      <c r="AL193" s="5">
        <f>[1]Results!AO1435</f>
        <v>715.56631809999999</v>
      </c>
      <c r="AM193" s="5">
        <f>[1]Results!AP1435</f>
        <v>713.90273990000003</v>
      </c>
      <c r="AN193" s="5">
        <f>[1]Results!AQ1435</f>
        <v>712.13173380000001</v>
      </c>
      <c r="AO193" s="5">
        <f>[1]Results!AR1435</f>
        <v>710.3280532</v>
      </c>
      <c r="AP193" s="5">
        <f>[1]Results!AS1435</f>
        <v>708.5361408</v>
      </c>
      <c r="AQ193" s="5">
        <f>[1]Results!AT1435</f>
        <v>706.78006019999998</v>
      </c>
      <c r="AR193" s="5">
        <f>[1]Results!AU1435</f>
        <v>705.05982640000002</v>
      </c>
      <c r="AS193" s="5">
        <f>[1]Results!AV1435</f>
        <v>703.38355939999997</v>
      </c>
      <c r="AT193" s="5">
        <f>[1]Results!AW1435</f>
        <v>701.75357080000003</v>
      </c>
      <c r="AU193" s="5">
        <f>[1]Results!AX1435</f>
        <v>700.16902219999997</v>
      </c>
      <c r="AV193" s="5">
        <f>[1]Results!AY1435</f>
        <v>698.6274942</v>
      </c>
      <c r="AW193" s="5">
        <f>[1]Results!AZ1435</f>
        <v>696.83587090000003</v>
      </c>
      <c r="AX193" s="5">
        <f>[1]Results!BA1435</f>
        <v>694.88440070000001</v>
      </c>
      <c r="AY193" s="5">
        <f>[1]Results!BB1435</f>
        <v>692.92371490000005</v>
      </c>
      <c r="AZ193" s="5">
        <f>[1]Results!BC1435</f>
        <v>691.07077000000004</v>
      </c>
      <c r="BA193" s="5">
        <f>[1]Results!BD1435</f>
        <v>689.39209700000004</v>
      </c>
      <c r="BB193" s="5">
        <f>[1]Results!BE1435</f>
        <v>820.99118099999998</v>
      </c>
      <c r="BC193" s="5">
        <f>[1]Results!BF1435</f>
        <v>821.45874209999999</v>
      </c>
      <c r="BD193" s="5">
        <f>[1]Results!BG1435</f>
        <v>821.93549919999998</v>
      </c>
      <c r="BE193" s="5">
        <f>[1]Results!BH1435</f>
        <v>822.4226175</v>
      </c>
      <c r="BF193" s="5">
        <f>[1]Results!BI1435</f>
        <v>822.92123130000004</v>
      </c>
    </row>
    <row r="194" spans="1:58" x14ac:dyDescent="0.35">
      <c r="B194" t="s">
        <v>8</v>
      </c>
      <c r="C194" s="5">
        <f>[1]Results!F1438</f>
        <v>4367.1856770000004</v>
      </c>
      <c r="D194" s="5">
        <f>[1]Results!G1438</f>
        <v>4371.710932</v>
      </c>
      <c r="E194" s="5">
        <f>[1]Results!H1438</f>
        <v>4377.9942520000004</v>
      </c>
      <c r="F194" s="5">
        <f>[1]Results!I1438</f>
        <v>4387.534541</v>
      </c>
      <c r="G194" s="5">
        <f>[1]Results!J1438</f>
        <v>4400.7848739999999</v>
      </c>
      <c r="H194" s="5">
        <f>[1]Results!K1438</f>
        <v>4417.6658429999998</v>
      </c>
      <c r="I194" s="5">
        <f>[1]Results!L1438</f>
        <v>4436.3705490000002</v>
      </c>
      <c r="J194" s="5">
        <f>[1]Results!M1438</f>
        <v>4456.5989399999999</v>
      </c>
      <c r="K194" s="5">
        <f>[1]Results!N1438</f>
        <v>4478.1486510000004</v>
      </c>
      <c r="L194" s="5">
        <f>[1]Results!O1438</f>
        <v>4500.8305549999995</v>
      </c>
      <c r="M194" s="5">
        <f>[1]Results!P1438</f>
        <v>4526.9219789999997</v>
      </c>
      <c r="N194" s="5">
        <f>[1]Results!Q1438</f>
        <v>4553.5536730000003</v>
      </c>
      <c r="O194" s="5">
        <f>[1]Results!R1438</f>
        <v>4580.35106</v>
      </c>
      <c r="P194" s="5">
        <f>[1]Results!S1438</f>
        <v>4607.1644390000001</v>
      </c>
      <c r="Q194" s="5">
        <f>[1]Results!T1438</f>
        <v>4633.9224459999996</v>
      </c>
      <c r="R194" s="5">
        <f>[1]Results!U1438</f>
        <v>4660.5905839999996</v>
      </c>
      <c r="S194" s="5">
        <f>[1]Results!V1438</f>
        <v>4687.1584599999996</v>
      </c>
      <c r="T194" s="5">
        <f>[1]Results!W1438</f>
        <v>4713.6290749999998</v>
      </c>
      <c r="U194" s="5">
        <f>[1]Results!X1438</f>
        <v>4740.0143760000001</v>
      </c>
      <c r="V194" s="5">
        <f>[1]Results!Y1438</f>
        <v>4766.3307290000002</v>
      </c>
      <c r="W194" s="5">
        <f>[1]Results!Z1438</f>
        <v>4790.9448540000003</v>
      </c>
      <c r="X194" s="5">
        <f>[1]Results!AA1438</f>
        <v>4815.6640369999996</v>
      </c>
      <c r="Y194" s="5">
        <f>[1]Results!AB1438</f>
        <v>4840.6430959999998</v>
      </c>
      <c r="Z194" s="5">
        <f>[1]Results!AC1438</f>
        <v>4865.8950750000004</v>
      </c>
      <c r="AA194" s="5">
        <f>[1]Results!AD1438</f>
        <v>4891.3898769999996</v>
      </c>
      <c r="AB194" s="5">
        <f>[1]Results!AE1438</f>
        <v>4912.5569029999997</v>
      </c>
      <c r="AC194" s="5">
        <f>[1]Results!AF1438</f>
        <v>4932.1200490000001</v>
      </c>
      <c r="AD194" s="5">
        <f>[1]Results!AG1438</f>
        <v>4950.5960459999997</v>
      </c>
      <c r="AE194" s="5">
        <f>[1]Results!AH1438</f>
        <v>4968.3112849999998</v>
      </c>
      <c r="AF194" s="5">
        <f>[1]Results!AI1438</f>
        <v>4985.4949029999998</v>
      </c>
      <c r="AG194" s="5">
        <f>[1]Results!AJ1438</f>
        <v>5002.3068830000002</v>
      </c>
      <c r="AH194" s="5">
        <f>[1]Results!AK1438</f>
        <v>5018.8505670000004</v>
      </c>
      <c r="AI194" s="5">
        <f>[1]Results!AL1438</f>
        <v>5035.1829799999996</v>
      </c>
      <c r="AJ194" s="5">
        <f>[1]Results!AM1438</f>
        <v>5051.3238460000002</v>
      </c>
      <c r="AK194" s="5">
        <f>[1]Results!AN1438</f>
        <v>5067.2649629999996</v>
      </c>
      <c r="AL194" s="5">
        <f>[1]Results!AO1438</f>
        <v>5082.9791750000004</v>
      </c>
      <c r="AM194" s="5">
        <f>[1]Results!AP1438</f>
        <v>5097.4503789999999</v>
      </c>
      <c r="AN194" s="5">
        <f>[1]Results!AQ1438</f>
        <v>5110.7149179999997</v>
      </c>
      <c r="AO194" s="5">
        <f>[1]Results!AR1438</f>
        <v>5122.8981359999998</v>
      </c>
      <c r="AP194" s="5">
        <f>[1]Results!AS1438</f>
        <v>5134.1351510000004</v>
      </c>
      <c r="AQ194" s="5">
        <f>[1]Results!AT1438</f>
        <v>5144.5480299999999</v>
      </c>
      <c r="AR194" s="5">
        <f>[1]Results!AU1438</f>
        <v>5154.2388229999997</v>
      </c>
      <c r="AS194" s="5">
        <f>[1]Results!AV1438</f>
        <v>5163.2898210000003</v>
      </c>
      <c r="AT194" s="5">
        <f>[1]Results!AW1438</f>
        <v>5171.7647280000001</v>
      </c>
      <c r="AU194" s="5">
        <f>[1]Results!AX1438</f>
        <v>5179.7114320000001</v>
      </c>
      <c r="AV194" s="5">
        <f>[1]Results!AY1438</f>
        <v>5187.1654070000004</v>
      </c>
      <c r="AW194" s="5">
        <f>[1]Results!AZ1438</f>
        <v>5194.3765320000002</v>
      </c>
      <c r="AX194" s="5">
        <f>[1]Results!BA1438</f>
        <v>5201.5554320000001</v>
      </c>
      <c r="AY194" s="5">
        <f>[1]Results!BB1438</f>
        <v>5208.8378469999998</v>
      </c>
      <c r="AZ194" s="5">
        <f>[1]Results!BC1438</f>
        <v>5216.2620360000001</v>
      </c>
      <c r="BA194" s="5">
        <f>[1]Results!BD1438</f>
        <v>5223.7952420000001</v>
      </c>
      <c r="BB194" s="5">
        <f>[1]Results!BE1438</f>
        <v>5231.1607729999996</v>
      </c>
      <c r="BC194" s="5">
        <f>[1]Results!BF1438</f>
        <v>5242.3388690000002</v>
      </c>
      <c r="BD194" s="5">
        <f>[1]Results!BG1438</f>
        <v>5253.0782669999999</v>
      </c>
      <c r="BE194" s="5">
        <f>[1]Results!BH1438</f>
        <v>5263.3729199999998</v>
      </c>
      <c r="BF194" s="5">
        <f>[1]Results!BI1438</f>
        <v>5273.218406</v>
      </c>
    </row>
    <row r="195" spans="1:58" x14ac:dyDescent="0.35">
      <c r="B195" t="s">
        <v>28</v>
      </c>
      <c r="C195" s="5">
        <f>[1]Results!F1450</f>
        <v>868.2475488</v>
      </c>
      <c r="D195" s="5">
        <f>[1]Results!G1450</f>
        <v>868.50590079999995</v>
      </c>
      <c r="E195" s="5">
        <f>[1]Results!H1450</f>
        <v>868.60261519999995</v>
      </c>
      <c r="F195" s="5">
        <f>[1]Results!I1450</f>
        <v>869.00012960000004</v>
      </c>
      <c r="G195" s="5">
        <f>[1]Results!J1450</f>
        <v>869.91075369999999</v>
      </c>
      <c r="H195" s="5">
        <f>[1]Results!K1450</f>
        <v>871.38073010000005</v>
      </c>
      <c r="I195" s="5">
        <f>[1]Results!L1450</f>
        <v>873.05371679999996</v>
      </c>
      <c r="J195" s="5">
        <f>[1]Results!M1450</f>
        <v>874.90488909999999</v>
      </c>
      <c r="K195" s="5">
        <f>[1]Results!N1450</f>
        <v>876.9086661</v>
      </c>
      <c r="L195" s="5">
        <f>[1]Results!O1450</f>
        <v>879.03173200000003</v>
      </c>
      <c r="M195" s="5">
        <f>[1]Results!P1450</f>
        <v>881.75708510000004</v>
      </c>
      <c r="N195" s="5">
        <f>[1]Results!Q1450</f>
        <v>884.43117919999997</v>
      </c>
      <c r="O195" s="5">
        <f>[1]Results!R1450</f>
        <v>887.00960259999999</v>
      </c>
      <c r="P195" s="5">
        <f>[1]Results!S1450</f>
        <v>889.49087210000005</v>
      </c>
      <c r="Q195" s="5">
        <f>[1]Results!T1450</f>
        <v>891.88157990000002</v>
      </c>
      <c r="R195" s="5">
        <f>[1]Results!U1450</f>
        <v>894.19064719999994</v>
      </c>
      <c r="S195" s="5">
        <f>[1]Results!V1450</f>
        <v>896.42760280000005</v>
      </c>
      <c r="T195" s="5">
        <f>[1]Results!W1450</f>
        <v>898.60399310000003</v>
      </c>
      <c r="U195" s="5">
        <f>[1]Results!X1450</f>
        <v>900.73125049999999</v>
      </c>
      <c r="V195" s="5">
        <f>[1]Results!Y1450</f>
        <v>902.82010400000001</v>
      </c>
      <c r="W195" s="5">
        <f>[1]Results!Z1450</f>
        <v>904.53694940000003</v>
      </c>
      <c r="X195" s="5">
        <f>[1]Results!AA1450</f>
        <v>906.30180810000002</v>
      </c>
      <c r="Y195" s="5">
        <f>[1]Results!AB1450</f>
        <v>908.13360069999999</v>
      </c>
      <c r="Z195" s="5">
        <f>[1]Results!AC1450</f>
        <v>910.02562520000004</v>
      </c>
      <c r="AA195" s="5">
        <f>[1]Results!AD1450</f>
        <v>911.96861009999998</v>
      </c>
      <c r="AB195" s="5">
        <f>[1]Results!AE1450</f>
        <v>913.01785289999998</v>
      </c>
      <c r="AC195" s="5">
        <f>[1]Results!AF1450</f>
        <v>913.85015080000005</v>
      </c>
      <c r="AD195" s="5">
        <f>[1]Results!AG1450</f>
        <v>914.57830320000005</v>
      </c>
      <c r="AE195" s="5">
        <f>[1]Results!AH1450</f>
        <v>915.26460859999997</v>
      </c>
      <c r="AF195" s="5">
        <f>[1]Results!AI1450</f>
        <v>915.95160329999999</v>
      </c>
      <c r="AG195" s="5">
        <f>[1]Results!AJ1450</f>
        <v>916.66897589999996</v>
      </c>
      <c r="AH195" s="5">
        <f>[1]Results!AK1450</f>
        <v>917.43609079999999</v>
      </c>
      <c r="AI195" s="5">
        <f>[1]Results!AL1450</f>
        <v>918.26323079999997</v>
      </c>
      <c r="AJ195" s="5">
        <f>[1]Results!AM1450</f>
        <v>919.15386969999997</v>
      </c>
      <c r="AK195" s="5">
        <f>[1]Results!AN1450</f>
        <v>920.10659450000003</v>
      </c>
      <c r="AL195" s="5">
        <f>[1]Results!AO1450</f>
        <v>921.11685230000001</v>
      </c>
      <c r="AM195" s="5">
        <f>[1]Results!AP1450</f>
        <v>921.98039949999998</v>
      </c>
      <c r="AN195" s="5">
        <f>[1]Results!AQ1450</f>
        <v>922.72955149999996</v>
      </c>
      <c r="AO195" s="5">
        <f>[1]Results!AR1450</f>
        <v>923.40385660000004</v>
      </c>
      <c r="AP195" s="5">
        <f>[1]Results!AS1450</f>
        <v>924.03607239999997</v>
      </c>
      <c r="AQ195" s="5">
        <f>[1]Results!AT1450</f>
        <v>924.65122120000001</v>
      </c>
      <c r="AR195" s="5">
        <f>[1]Results!AU1450</f>
        <v>925.26787909999996</v>
      </c>
      <c r="AS195" s="5">
        <f>[1]Results!AV1450</f>
        <v>925.89841750000005</v>
      </c>
      <c r="AT195" s="5">
        <f>[1]Results!AW1450</f>
        <v>926.55049299999996</v>
      </c>
      <c r="AU195" s="5">
        <f>[1]Results!AX1450</f>
        <v>927.22796059999996</v>
      </c>
      <c r="AV195" s="5">
        <f>[1]Results!AY1450</f>
        <v>927.93178179999995</v>
      </c>
      <c r="AW195" s="5">
        <f>[1]Results!AZ1450</f>
        <v>928.70179080000003</v>
      </c>
      <c r="AX195" s="5">
        <f>[1]Results!BA1450</f>
        <v>929.54945069999997</v>
      </c>
      <c r="AY195" s="5">
        <f>[1]Results!BB1450</f>
        <v>930.47292130000005</v>
      </c>
      <c r="AZ195" s="5">
        <f>[1]Results!BC1450</f>
        <v>931.46180279999999</v>
      </c>
      <c r="BA195" s="5">
        <f>[1]Results!BD1450</f>
        <v>932.50322459999995</v>
      </c>
      <c r="BB195" s="5">
        <f>[1]Results!BE1450</f>
        <v>906.05349030000002</v>
      </c>
      <c r="BC195" s="5">
        <f>[1]Results!BF1450</f>
        <v>906.0849584</v>
      </c>
      <c r="BD195" s="5">
        <f>[1]Results!BG1450</f>
        <v>906.13729030000002</v>
      </c>
      <c r="BE195" s="5">
        <f>[1]Results!BH1450</f>
        <v>906.21093189999999</v>
      </c>
      <c r="BF195" s="5">
        <f>[1]Results!BI1450</f>
        <v>906.30620550000003</v>
      </c>
    </row>
    <row r="196" spans="1:58" x14ac:dyDescent="0.35">
      <c r="B196" t="s">
        <v>10</v>
      </c>
      <c r="C196" s="5">
        <f>[1]Results!F1455</f>
        <v>21270.52735</v>
      </c>
      <c r="D196" s="5">
        <f>[1]Results!G1455</f>
        <v>21297.750479999999</v>
      </c>
      <c r="E196" s="5">
        <f>[1]Results!H1455</f>
        <v>21333.583579999999</v>
      </c>
      <c r="F196" s="5">
        <f>[1]Results!I1455</f>
        <v>21383.6505</v>
      </c>
      <c r="G196" s="5">
        <f>[1]Results!J1455</f>
        <v>21449.4018</v>
      </c>
      <c r="H196" s="5">
        <f>[1]Results!K1455</f>
        <v>21529.891759999999</v>
      </c>
      <c r="I196" s="5">
        <f>[1]Results!L1455</f>
        <v>21614.332450000002</v>
      </c>
      <c r="J196" s="5">
        <f>[1]Results!M1455</f>
        <v>21702.07099</v>
      </c>
      <c r="K196" s="5">
        <f>[1]Results!N1455</f>
        <v>21792.594079999999</v>
      </c>
      <c r="L196" s="5">
        <f>[1]Results!O1455</f>
        <v>21885.296910000001</v>
      </c>
      <c r="M196" s="5">
        <f>[1]Results!P1455</f>
        <v>21994.066360000001</v>
      </c>
      <c r="N196" s="5">
        <f>[1]Results!Q1455</f>
        <v>22100.784210000002</v>
      </c>
      <c r="O196" s="5">
        <f>[1]Results!R1455</f>
        <v>22204.7497</v>
      </c>
      <c r="P196" s="5">
        <f>[1]Results!S1455</f>
        <v>22306.053929999998</v>
      </c>
      <c r="Q196" s="5">
        <f>[1]Results!T1455</f>
        <v>22404.927039999999</v>
      </c>
      <c r="R196" s="5">
        <f>[1]Results!U1455</f>
        <v>22501.633119999999</v>
      </c>
      <c r="S196" s="5">
        <f>[1]Results!V1455</f>
        <v>22596.442230000001</v>
      </c>
      <c r="T196" s="5">
        <f>[1]Results!W1455</f>
        <v>22689.64415</v>
      </c>
      <c r="U196" s="5">
        <f>[1]Results!X1455</f>
        <v>22781.514490000001</v>
      </c>
      <c r="V196" s="5">
        <f>[1]Results!Y1455</f>
        <v>22872.30041</v>
      </c>
      <c r="W196" s="5">
        <f>[1]Results!Z1455</f>
        <v>22952.557379999998</v>
      </c>
      <c r="X196" s="5">
        <f>[1]Results!AA1455</f>
        <v>23034.093270000001</v>
      </c>
      <c r="Y196" s="5">
        <f>[1]Results!AB1455</f>
        <v>23117.17958</v>
      </c>
      <c r="Z196" s="5">
        <f>[1]Results!AC1455</f>
        <v>23201.592820000002</v>
      </c>
      <c r="AA196" s="5">
        <f>[1]Results!AD1455</f>
        <v>23287.055270000001</v>
      </c>
      <c r="AB196" s="5">
        <f>[1]Results!AE1455</f>
        <v>23346.919900000001</v>
      </c>
      <c r="AC196" s="5">
        <f>[1]Results!AF1455</f>
        <v>23400.363229999999</v>
      </c>
      <c r="AD196" s="5">
        <f>[1]Results!AG1455</f>
        <v>23450.07979</v>
      </c>
      <c r="AE196" s="5">
        <f>[1]Results!AH1455</f>
        <v>23497.706590000002</v>
      </c>
      <c r="AF196" s="5">
        <f>[1]Results!AI1455</f>
        <v>23544.40783</v>
      </c>
      <c r="AG196" s="5">
        <f>[1]Results!AJ1455</f>
        <v>23591.01269</v>
      </c>
      <c r="AH196" s="5">
        <f>[1]Results!AK1455</f>
        <v>23638.07244</v>
      </c>
      <c r="AI196" s="5">
        <f>[1]Results!AL1455</f>
        <v>23685.901089999999</v>
      </c>
      <c r="AJ196" s="5">
        <f>[1]Results!AM1455</f>
        <v>23734.632610000001</v>
      </c>
      <c r="AK196" s="5">
        <f>[1]Results!AN1455</f>
        <v>23784.2739</v>
      </c>
      <c r="AL196" s="5">
        <f>[1]Results!AO1455</f>
        <v>23834.75202</v>
      </c>
      <c r="AM196" s="5">
        <f>[1]Results!AP1455</f>
        <v>23880.33929</v>
      </c>
      <c r="AN196" s="5">
        <f>[1]Results!AQ1455</f>
        <v>23922.055850000001</v>
      </c>
      <c r="AO196" s="5">
        <f>[1]Results!AR1455</f>
        <v>23961.01066</v>
      </c>
      <c r="AP196" s="5">
        <f>[1]Results!AS1455</f>
        <v>23998.134969999999</v>
      </c>
      <c r="AQ196" s="5">
        <f>[1]Results!AT1455</f>
        <v>24034.164089999998</v>
      </c>
      <c r="AR196" s="5">
        <f>[1]Results!AU1455</f>
        <v>24069.661209999998</v>
      </c>
      <c r="AS196" s="5">
        <f>[1]Results!AV1455</f>
        <v>24105.0285</v>
      </c>
      <c r="AT196" s="5">
        <f>[1]Results!AW1455</f>
        <v>24140.536230000002</v>
      </c>
      <c r="AU196" s="5">
        <f>[1]Results!AX1455</f>
        <v>24176.34678</v>
      </c>
      <c r="AV196" s="5">
        <f>[1]Results!AY1455</f>
        <v>24212.539349999999</v>
      </c>
      <c r="AW196" s="5">
        <f>[1]Results!AZ1455</f>
        <v>24250.102210000001</v>
      </c>
      <c r="AX196" s="5">
        <f>[1]Results!BA1455</f>
        <v>24289.252260000001</v>
      </c>
      <c r="AY196" s="5">
        <f>[1]Results!BB1455</f>
        <v>24329.882600000001</v>
      </c>
      <c r="AZ196" s="5">
        <f>[1]Results!BC1455</f>
        <v>24371.69657</v>
      </c>
      <c r="BA196" s="5">
        <f>[1]Results!BD1455</f>
        <v>24414.367180000001</v>
      </c>
      <c r="BB196" s="5">
        <f>[1]Results!BE1455</f>
        <v>24105.83799</v>
      </c>
      <c r="BC196" s="5">
        <f>[1]Results!BF1455</f>
        <v>24132.885460000001</v>
      </c>
      <c r="BD196" s="5">
        <f>[1]Results!BG1455</f>
        <v>24159.784810000001</v>
      </c>
      <c r="BE196" s="5">
        <f>[1]Results!BH1455</f>
        <v>24186.563109999999</v>
      </c>
      <c r="BF196" s="5">
        <f>[1]Results!BI1455</f>
        <v>24213.247859999999</v>
      </c>
    </row>
    <row r="197" spans="1:58" x14ac:dyDescent="0.35">
      <c r="B197" t="s">
        <v>29</v>
      </c>
      <c r="C197" s="5">
        <f>C202-C198</f>
        <v>10.589317256400001</v>
      </c>
      <c r="D197" s="5">
        <f t="shared" ref="D197:AL197" si="89">D202-D198</f>
        <v>10.572562975700002</v>
      </c>
      <c r="E197" s="5">
        <f t="shared" si="89"/>
        <v>10.535782001300001</v>
      </c>
      <c r="F197" s="5">
        <f t="shared" si="89"/>
        <v>10.494407650099998</v>
      </c>
      <c r="G197" s="5">
        <f t="shared" si="89"/>
        <v>10.4585453061</v>
      </c>
      <c r="H197" s="5">
        <f t="shared" si="89"/>
        <v>10.432614594099999</v>
      </c>
      <c r="I197" s="5">
        <f t="shared" si="89"/>
        <v>10.4136658396</v>
      </c>
      <c r="J197" s="5">
        <f t="shared" si="89"/>
        <v>10.401299611599999</v>
      </c>
      <c r="K197" s="5">
        <f t="shared" si="89"/>
        <v>10.394460836999999</v>
      </c>
      <c r="L197" s="5">
        <f t="shared" si="89"/>
        <v>10.391848714800002</v>
      </c>
      <c r="M197" s="5">
        <f t="shared" si="89"/>
        <v>10.398205303699999</v>
      </c>
      <c r="N197" s="5">
        <f t="shared" si="89"/>
        <v>10.405157664800001</v>
      </c>
      <c r="O197" s="5">
        <f t="shared" si="89"/>
        <v>10.411943641900002</v>
      </c>
      <c r="P197" s="5">
        <f t="shared" si="89"/>
        <v>10.418470681200001</v>
      </c>
      <c r="Q197" s="5">
        <f t="shared" si="89"/>
        <v>10.4247483788</v>
      </c>
      <c r="R197" s="5">
        <f t="shared" si="89"/>
        <v>10.430796583199999</v>
      </c>
      <c r="S197" s="5">
        <f t="shared" si="89"/>
        <v>10.436657798399999</v>
      </c>
      <c r="T197" s="5">
        <f t="shared" si="89"/>
        <v>10.442350926900001</v>
      </c>
      <c r="U197" s="5">
        <f t="shared" si="89"/>
        <v>10.447893590099998</v>
      </c>
      <c r="V197" s="5">
        <f t="shared" si="89"/>
        <v>10.453305714900001</v>
      </c>
      <c r="W197" s="5">
        <f t="shared" si="89"/>
        <v>10.4547010373</v>
      </c>
      <c r="X197" s="5">
        <f t="shared" si="89"/>
        <v>10.456986248499998</v>
      </c>
      <c r="Y197" s="5">
        <f t="shared" si="89"/>
        <v>10.460202218799999</v>
      </c>
      <c r="Z197" s="5">
        <f t="shared" si="89"/>
        <v>10.464096286500002</v>
      </c>
      <c r="AA197" s="5">
        <f t="shared" si="89"/>
        <v>10.4684578267</v>
      </c>
      <c r="AB197" s="5">
        <f t="shared" si="89"/>
        <v>10.462526084100002</v>
      </c>
      <c r="AC197" s="5">
        <f t="shared" si="89"/>
        <v>10.454507454600002</v>
      </c>
      <c r="AD197" s="5">
        <f t="shared" si="89"/>
        <v>10.445634356199999</v>
      </c>
      <c r="AE197" s="5">
        <f t="shared" si="89"/>
        <v>10.4363983549</v>
      </c>
      <c r="AF197" s="5">
        <f t="shared" si="89"/>
        <v>10.427079320700001</v>
      </c>
      <c r="AG197" s="5">
        <f t="shared" si="89"/>
        <v>10.417865372600001</v>
      </c>
      <c r="AH197" s="5">
        <f t="shared" si="89"/>
        <v>10.408881962299999</v>
      </c>
      <c r="AI197" s="5">
        <f t="shared" si="89"/>
        <v>10.4002177536</v>
      </c>
      <c r="AJ197" s="5">
        <f t="shared" si="89"/>
        <v>10.3919281762</v>
      </c>
      <c r="AK197" s="5">
        <f t="shared" si="89"/>
        <v>10.384041539900002</v>
      </c>
      <c r="AL197" s="5">
        <f t="shared" si="89"/>
        <v>10.376565216400001</v>
      </c>
      <c r="AM197" s="5">
        <f t="shared" ref="AM197:BC197" si="90">AM202-AM198</f>
        <v>10.367200017599998</v>
      </c>
      <c r="AN197" s="5">
        <f t="shared" si="90"/>
        <v>10.356508066799998</v>
      </c>
      <c r="AO197" s="5">
        <f t="shared" si="90"/>
        <v>10.345055121700002</v>
      </c>
      <c r="AP197" s="5">
        <f t="shared" si="90"/>
        <v>10.333241881699999</v>
      </c>
      <c r="AQ197" s="5">
        <f t="shared" si="90"/>
        <v>10.321331778099999</v>
      </c>
      <c r="AR197" s="5">
        <f t="shared" si="90"/>
        <v>10.309485545800001</v>
      </c>
      <c r="AS197" s="5">
        <f t="shared" si="90"/>
        <v>10.2978090518</v>
      </c>
      <c r="AT197" s="5">
        <f t="shared" si="90"/>
        <v>10.286366663199999</v>
      </c>
      <c r="AU197" s="5">
        <f t="shared" si="90"/>
        <v>10.2751932115</v>
      </c>
      <c r="AV197" s="5">
        <f t="shared" si="90"/>
        <v>10.264302799600003</v>
      </c>
      <c r="AW197" s="5">
        <f t="shared" si="90"/>
        <v>10.253527740600001</v>
      </c>
      <c r="AX197" s="5">
        <f t="shared" si="90"/>
        <v>10.242777797800001</v>
      </c>
      <c r="AY197" s="5">
        <f t="shared" si="90"/>
        <v>10.232145318499999</v>
      </c>
      <c r="AZ197" s="5">
        <f t="shared" si="90"/>
        <v>10.221781024999999</v>
      </c>
      <c r="BA197" s="5">
        <f t="shared" si="90"/>
        <v>10.211817140200001</v>
      </c>
      <c r="BB197" s="5">
        <f t="shared" si="90"/>
        <v>10.155948501900001</v>
      </c>
      <c r="BC197" s="5">
        <f t="shared" si="90"/>
        <v>10.145430733600001</v>
      </c>
      <c r="BD197" s="5">
        <f t="shared" ref="BD197:BF197" si="91">BD202-BD198</f>
        <v>10.1351860352</v>
      </c>
      <c r="BE197" s="5">
        <f t="shared" si="91"/>
        <v>10.125230133700001</v>
      </c>
      <c r="BF197" s="5">
        <f t="shared" si="91"/>
        <v>10.115579647300001</v>
      </c>
    </row>
    <row r="198" spans="1:58" x14ac:dyDescent="0.35">
      <c r="B198" t="s">
        <v>36</v>
      </c>
      <c r="C198" s="5">
        <f>C200+C201</f>
        <v>7.4075401135999996</v>
      </c>
      <c r="D198" s="5">
        <f t="shared" ref="D198:AL198" si="92">D200+D201</f>
        <v>7.3858460043000003</v>
      </c>
      <c r="E198" s="5">
        <f t="shared" si="92"/>
        <v>7.3450830086999996</v>
      </c>
      <c r="F198" s="5">
        <f t="shared" si="92"/>
        <v>7.3007422498999999</v>
      </c>
      <c r="G198" s="5">
        <f t="shared" si="92"/>
        <v>7.2624680739</v>
      </c>
      <c r="H198" s="5">
        <f t="shared" si="92"/>
        <v>7.2340995359000004</v>
      </c>
      <c r="I198" s="5">
        <f t="shared" si="92"/>
        <v>7.2136401904000005</v>
      </c>
      <c r="J198" s="5">
        <f t="shared" si="92"/>
        <v>7.2001295183999998</v>
      </c>
      <c r="K198" s="5">
        <f t="shared" si="92"/>
        <v>7.1920655030000002</v>
      </c>
      <c r="L198" s="5">
        <f t="shared" si="92"/>
        <v>7.1879222451999993</v>
      </c>
      <c r="M198" s="5">
        <f t="shared" si="92"/>
        <v>7.1900760563000006</v>
      </c>
      <c r="N198" s="5">
        <f t="shared" si="92"/>
        <v>7.1930175951999997</v>
      </c>
      <c r="O198" s="5">
        <f t="shared" si="92"/>
        <v>7.1961266580999999</v>
      </c>
      <c r="P198" s="5">
        <f t="shared" si="92"/>
        <v>7.1991710688000001</v>
      </c>
      <c r="Q198" s="5">
        <f t="shared" si="92"/>
        <v>7.2020336912000005</v>
      </c>
      <c r="R198" s="5">
        <f t="shared" si="92"/>
        <v>7.2046541068000005</v>
      </c>
      <c r="S198" s="5">
        <f t="shared" si="92"/>
        <v>7.2070183316000005</v>
      </c>
      <c r="T198" s="5">
        <f t="shared" si="92"/>
        <v>7.2091215831</v>
      </c>
      <c r="U198" s="5">
        <f t="shared" si="92"/>
        <v>7.2109713198999996</v>
      </c>
      <c r="V198" s="5">
        <f t="shared" si="92"/>
        <v>7.2125817451000005</v>
      </c>
      <c r="W198" s="5">
        <f t="shared" si="92"/>
        <v>7.2115603126999996</v>
      </c>
      <c r="X198" s="5">
        <f t="shared" si="92"/>
        <v>7.2109314715000004</v>
      </c>
      <c r="Y198" s="5">
        <f t="shared" si="92"/>
        <v>7.2106673412000006</v>
      </c>
      <c r="Z198" s="5">
        <f t="shared" si="92"/>
        <v>7.2106338135000003</v>
      </c>
      <c r="AA198" s="5">
        <f t="shared" si="92"/>
        <v>7.2107281933000005</v>
      </c>
      <c r="AB198" s="5">
        <f t="shared" si="92"/>
        <v>7.2043306259</v>
      </c>
      <c r="AC198" s="5">
        <f t="shared" si="92"/>
        <v>7.1965153154000001</v>
      </c>
      <c r="AD198" s="5">
        <f t="shared" si="92"/>
        <v>7.1879004738000001</v>
      </c>
      <c r="AE198" s="5">
        <f t="shared" si="92"/>
        <v>7.1787769750999999</v>
      </c>
      <c r="AF198" s="5">
        <f t="shared" si="92"/>
        <v>7.1693439293000001</v>
      </c>
      <c r="AG198" s="5">
        <f t="shared" si="92"/>
        <v>7.1597548674000002</v>
      </c>
      <c r="AH198" s="5">
        <f t="shared" si="92"/>
        <v>7.1501255277000002</v>
      </c>
      <c r="AI198" s="5">
        <f t="shared" si="92"/>
        <v>7.1405441563999998</v>
      </c>
      <c r="AJ198" s="5">
        <f t="shared" si="92"/>
        <v>7.1310725538000002</v>
      </c>
      <c r="AK198" s="5">
        <f t="shared" si="92"/>
        <v>7.1217504400999996</v>
      </c>
      <c r="AL198" s="5">
        <f t="shared" si="92"/>
        <v>7.1126004036000001</v>
      </c>
      <c r="AM198" s="5">
        <f t="shared" ref="AM198:BC198" si="93">AM200+AM201</f>
        <v>7.1022233724000001</v>
      </c>
      <c r="AN198" s="5">
        <f t="shared" si="93"/>
        <v>7.0909830932000002</v>
      </c>
      <c r="AO198" s="5">
        <f t="shared" si="93"/>
        <v>7.0792086283</v>
      </c>
      <c r="AP198" s="5">
        <f t="shared" si="93"/>
        <v>7.0671352983000002</v>
      </c>
      <c r="AQ198" s="5">
        <f t="shared" si="93"/>
        <v>7.0549265719000003</v>
      </c>
      <c r="AR198" s="5">
        <f t="shared" si="93"/>
        <v>7.0426927741999998</v>
      </c>
      <c r="AS198" s="5">
        <f t="shared" si="93"/>
        <v>7.0305142882000009</v>
      </c>
      <c r="AT198" s="5">
        <f t="shared" si="93"/>
        <v>7.0184463267999995</v>
      </c>
      <c r="AU198" s="5">
        <f t="shared" si="93"/>
        <v>7.0065245484999998</v>
      </c>
      <c r="AV198" s="5">
        <f t="shared" si="93"/>
        <v>6.9947696103999997</v>
      </c>
      <c r="AW198" s="5">
        <f t="shared" si="93"/>
        <v>6.9830818194000006</v>
      </c>
      <c r="AX198" s="5">
        <f t="shared" si="93"/>
        <v>6.9713993922000004</v>
      </c>
      <c r="AY198" s="5">
        <f t="shared" si="93"/>
        <v>6.9597696014999997</v>
      </c>
      <c r="AZ198" s="5">
        <f t="shared" si="93"/>
        <v>6.948274155</v>
      </c>
      <c r="BA198" s="5">
        <f t="shared" si="93"/>
        <v>6.9369855498000002</v>
      </c>
      <c r="BB198" s="5">
        <f t="shared" si="93"/>
        <v>6.9507745180999994</v>
      </c>
      <c r="BC198" s="5">
        <f t="shared" si="93"/>
        <v>6.9395229864000001</v>
      </c>
      <c r="BD198" s="5">
        <f t="shared" ref="BD198:BF198" si="94">BD200+BD201</f>
        <v>6.9284598847999996</v>
      </c>
      <c r="BE198" s="5">
        <f t="shared" si="94"/>
        <v>6.9176046962999997</v>
      </c>
      <c r="BF198" s="5">
        <f t="shared" si="94"/>
        <v>6.9069772027000003</v>
      </c>
    </row>
    <row r="199" spans="1:58" x14ac:dyDescent="0.35">
      <c r="B199" t="s">
        <v>11</v>
      </c>
      <c r="C199" s="5">
        <f>[1]Results!F1463</f>
        <v>86.960397259999993</v>
      </c>
      <c r="D199" s="5">
        <f>[1]Results!G1463</f>
        <v>86.838613510000002</v>
      </c>
      <c r="E199" s="5">
        <f>[1]Results!H1463</f>
        <v>86.520237170000001</v>
      </c>
      <c r="F199" s="5">
        <f>[1]Results!I1463</f>
        <v>86.101235040000006</v>
      </c>
      <c r="G199" s="5">
        <f>[1]Results!J1463</f>
        <v>85.664746190000002</v>
      </c>
      <c r="H199" s="5">
        <f>[1]Results!K1463</f>
        <v>85.26114475</v>
      </c>
      <c r="I199" s="5">
        <f>[1]Results!L1463</f>
        <v>84.885213480000004</v>
      </c>
      <c r="J199" s="5">
        <f>[1]Results!M1463</f>
        <v>84.54239097</v>
      </c>
      <c r="K199" s="5">
        <f>[1]Results!N1463</f>
        <v>84.232162709999997</v>
      </c>
      <c r="L199" s="5">
        <f>[1]Results!O1463</f>
        <v>83.949958089999996</v>
      </c>
      <c r="M199" s="5">
        <f>[1]Results!P1463</f>
        <v>83.733626430000001</v>
      </c>
      <c r="N199" s="5">
        <f>[1]Results!Q1463</f>
        <v>83.528533670000002</v>
      </c>
      <c r="O199" s="5">
        <f>[1]Results!R1463</f>
        <v>83.324396370000002</v>
      </c>
      <c r="P199" s="5">
        <f>[1]Results!S1463</f>
        <v>83.119861510000007</v>
      </c>
      <c r="Q199" s="5">
        <f>[1]Results!T1463</f>
        <v>82.915561530000005</v>
      </c>
      <c r="R199" s="5">
        <f>[1]Results!U1463</f>
        <v>82.712350659999998</v>
      </c>
      <c r="S199" s="5">
        <f>[1]Results!V1463</f>
        <v>82.511165770000005</v>
      </c>
      <c r="T199" s="5">
        <f>[1]Results!W1463</f>
        <v>82.312553780000002</v>
      </c>
      <c r="U199" s="5">
        <f>[1]Results!X1463</f>
        <v>82.116871779999997</v>
      </c>
      <c r="V199" s="5">
        <f>[1]Results!Y1463</f>
        <v>81.924430169999994</v>
      </c>
      <c r="W199" s="5">
        <f>[1]Results!Z1463</f>
        <v>81.70739657</v>
      </c>
      <c r="X199" s="5">
        <f>[1]Results!AA1463</f>
        <v>81.498147770000003</v>
      </c>
      <c r="Y199" s="5">
        <f>[1]Results!AB1463</f>
        <v>81.300925289999995</v>
      </c>
      <c r="Z199" s="5">
        <f>[1]Results!AC1463</f>
        <v>81.114961320000006</v>
      </c>
      <c r="AA199" s="5">
        <f>[1]Results!AD1463</f>
        <v>80.938782950000004</v>
      </c>
      <c r="AB199" s="5">
        <f>[1]Results!AE1463</f>
        <v>80.695294000000004</v>
      </c>
      <c r="AC199" s="5">
        <f>[1]Results!AF1463</f>
        <v>80.43427801</v>
      </c>
      <c r="AD199" s="5">
        <f>[1]Results!AG1463</f>
        <v>80.170410349999997</v>
      </c>
      <c r="AE199" s="5">
        <f>[1]Results!AH1463</f>
        <v>79.910100920000005</v>
      </c>
      <c r="AF199" s="5">
        <f>[1]Results!AI1463</f>
        <v>79.656682619999998</v>
      </c>
      <c r="AG199" s="5">
        <f>[1]Results!AJ1463</f>
        <v>79.412040180000005</v>
      </c>
      <c r="AH199" s="5">
        <f>[1]Results!AK1463</f>
        <v>79.177178170000005</v>
      </c>
      <c r="AI199" s="5">
        <f>[1]Results!AL1463</f>
        <v>78.95261773</v>
      </c>
      <c r="AJ199" s="5">
        <f>[1]Results!AM1463</f>
        <v>78.738522369999998</v>
      </c>
      <c r="AK199" s="5">
        <f>[1]Results!AN1463</f>
        <v>78.534778360000004</v>
      </c>
      <c r="AL199" s="5">
        <f>[1]Results!AO1463</f>
        <v>78.341061859999996</v>
      </c>
      <c r="AM199" s="5">
        <f>[1]Results!AP1463</f>
        <v>78.140636900000004</v>
      </c>
      <c r="AN199" s="5">
        <f>[1]Results!AQ1463</f>
        <v>77.935117149999996</v>
      </c>
      <c r="AO199" s="5">
        <f>[1]Results!AR1463</f>
        <v>77.728366550000004</v>
      </c>
      <c r="AP199" s="5">
        <f>[1]Results!AS1463</f>
        <v>77.523628450000004</v>
      </c>
      <c r="AQ199" s="5">
        <f>[1]Results!AT1463</f>
        <v>77.323113570000004</v>
      </c>
      <c r="AR199" s="5">
        <f>[1]Results!AU1463</f>
        <v>77.128079709999994</v>
      </c>
      <c r="AS199" s="5">
        <f>[1]Results!AV1463</f>
        <v>76.939224640000006</v>
      </c>
      <c r="AT199" s="5">
        <f>[1]Results!AW1463</f>
        <v>76.756849829999993</v>
      </c>
      <c r="AU199" s="5">
        <f>[1]Results!AX1463</f>
        <v>76.580982210000002</v>
      </c>
      <c r="AV199" s="5">
        <f>[1]Results!AY1463</f>
        <v>76.411464600000002</v>
      </c>
      <c r="AW199" s="5">
        <f>[1]Results!AZ1463</f>
        <v>76.245880020000001</v>
      </c>
      <c r="AX199" s="5">
        <f>[1]Results!BA1463</f>
        <v>76.083109930000006</v>
      </c>
      <c r="AY199" s="5">
        <f>[1]Results!BB1463</f>
        <v>75.924293230000004</v>
      </c>
      <c r="AZ199" s="5">
        <f>[1]Results!BC1463</f>
        <v>75.771523439999996</v>
      </c>
      <c r="BA199" s="5">
        <f>[1]Results!BD1463</f>
        <v>75.626732029999999</v>
      </c>
      <c r="BB199" s="5">
        <f>[1]Results!BE1463</f>
        <v>70.135860050000005</v>
      </c>
      <c r="BC199" s="5">
        <f>[1]Results!BF1463</f>
        <v>69.91039542</v>
      </c>
      <c r="BD199" s="5">
        <f>[1]Results!BG1463</f>
        <v>69.69096304</v>
      </c>
      <c r="BE199" s="5">
        <f>[1]Results!BH1463</f>
        <v>69.477245850000003</v>
      </c>
      <c r="BF199" s="5">
        <f>[1]Results!BI1463</f>
        <v>69.268945419999994</v>
      </c>
    </row>
    <row r="200" spans="1:58" x14ac:dyDescent="0.35">
      <c r="B200" t="s">
        <v>35</v>
      </c>
      <c r="C200" s="5">
        <f>[1]Results!F1460</f>
        <v>6.6872563549999997</v>
      </c>
      <c r="D200" s="5">
        <f>[1]Results!G1460</f>
        <v>6.665597226</v>
      </c>
      <c r="E200" s="5">
        <f>[1]Results!H1460</f>
        <v>6.6257122869999998</v>
      </c>
      <c r="F200" s="5">
        <f>[1]Results!I1460</f>
        <v>6.5825922170000002</v>
      </c>
      <c r="G200" s="5">
        <f>[1]Results!J1460</f>
        <v>6.5454762840000003</v>
      </c>
      <c r="H200" s="5">
        <f>[1]Results!K1460</f>
        <v>6.5179654200000003</v>
      </c>
      <c r="I200" s="5">
        <f>[1]Results!L1460</f>
        <v>6.4982509290000001</v>
      </c>
      <c r="J200" s="5">
        <f>[1]Results!M1460</f>
        <v>6.4853155039999999</v>
      </c>
      <c r="K200" s="5">
        <f>[1]Results!N1460</f>
        <v>6.4776325640000003</v>
      </c>
      <c r="L200" s="5">
        <f>[1]Results!O1460</f>
        <v>6.4736880489999997</v>
      </c>
      <c r="M200" s="5">
        <f>[1]Results!P1460</f>
        <v>6.4754240300000001</v>
      </c>
      <c r="N200" s="5">
        <f>[1]Results!Q1460</f>
        <v>6.4779249050000001</v>
      </c>
      <c r="O200" s="5">
        <f>[1]Results!R1460</f>
        <v>6.4806304969999999</v>
      </c>
      <c r="P200" s="5">
        <f>[1]Results!S1460</f>
        <v>6.4833031490000002</v>
      </c>
      <c r="Q200" s="5">
        <f>[1]Results!T1460</f>
        <v>6.4858137090000003</v>
      </c>
      <c r="R200" s="5">
        <f>[1]Results!U1460</f>
        <v>6.4880932710000003</v>
      </c>
      <c r="S200" s="5">
        <f>[1]Results!V1460</f>
        <v>6.4901203990000003</v>
      </c>
      <c r="T200" s="5">
        <f>[1]Results!W1460</f>
        <v>6.4918880699999999</v>
      </c>
      <c r="U200" s="5">
        <f>[1]Results!X1460</f>
        <v>6.493403045</v>
      </c>
      <c r="V200" s="5">
        <f>[1]Results!Y1460</f>
        <v>6.4946790310000004</v>
      </c>
      <c r="W200" s="5">
        <f>[1]Results!Z1460</f>
        <v>6.4936246049999999</v>
      </c>
      <c r="X200" s="5">
        <f>[1]Results!AA1460</f>
        <v>6.4928961059999999</v>
      </c>
      <c r="Y200" s="5">
        <f>[1]Results!AB1460</f>
        <v>6.4924460890000004</v>
      </c>
      <c r="Z200" s="5">
        <f>[1]Results!AC1460</f>
        <v>6.4921590020000002</v>
      </c>
      <c r="AA200" s="5">
        <f>[1]Results!AD1460</f>
        <v>6.4919509570000002</v>
      </c>
      <c r="AB200" s="5">
        <f>[1]Results!AE1460</f>
        <v>6.4860325510000001</v>
      </c>
      <c r="AC200" s="5">
        <f>[1]Results!AF1460</f>
        <v>6.4788769090000002</v>
      </c>
      <c r="AD200" s="5">
        <f>[1]Results!AG1460</f>
        <v>6.4709770129999997</v>
      </c>
      <c r="AE200" s="5">
        <f>[1]Results!AH1460</f>
        <v>6.4625758969999998</v>
      </c>
      <c r="AF200" s="5">
        <f>[1]Results!AI1460</f>
        <v>6.4538491550000003</v>
      </c>
      <c r="AG200" s="5">
        <f>[1]Results!AJ1460</f>
        <v>6.4449370699999999</v>
      </c>
      <c r="AH200" s="5">
        <f>[1]Results!AK1460</f>
        <v>6.4359481650000001</v>
      </c>
      <c r="AI200" s="5">
        <f>[1]Results!AL1460</f>
        <v>6.4269659819999996</v>
      </c>
      <c r="AJ200" s="5">
        <f>[1]Results!AM1460</f>
        <v>6.4180496429999998</v>
      </c>
      <c r="AK200" s="5">
        <f>[1]Results!AN1460</f>
        <v>6.4092377699999998</v>
      </c>
      <c r="AL200" s="5">
        <f>[1]Results!AO1460</f>
        <v>6.4005531019999999</v>
      </c>
      <c r="AM200" s="5">
        <f>[1]Results!AP1460</f>
        <v>6.3907746120000004</v>
      </c>
      <c r="AN200" s="5">
        <f>[1]Results!AQ1460</f>
        <v>6.380229731</v>
      </c>
      <c r="AO200" s="5">
        <f>[1]Results!AR1460</f>
        <v>6.3692013320000003</v>
      </c>
      <c r="AP200" s="5">
        <f>[1]Results!AS1460</f>
        <v>6.3578905749999999</v>
      </c>
      <c r="AQ200" s="5">
        <f>[1]Results!AT1460</f>
        <v>6.3464387929999999</v>
      </c>
      <c r="AR200" s="5">
        <f>[1]Results!AU1460</f>
        <v>6.3349439570000001</v>
      </c>
      <c r="AS200" s="5">
        <f>[1]Results!AV1460</f>
        <v>6.3234790070000004</v>
      </c>
      <c r="AT200" s="5">
        <f>[1]Results!AW1460</f>
        <v>6.3120953269999998</v>
      </c>
      <c r="AU200" s="5">
        <f>[1]Results!AX1460</f>
        <v>6.3008271420000002</v>
      </c>
      <c r="AV200" s="5">
        <f>[1]Results!AY1460</f>
        <v>6.2896952089999996</v>
      </c>
      <c r="AW200" s="5">
        <f>[1]Results!AZ1460</f>
        <v>6.2786290940000002</v>
      </c>
      <c r="AX200" s="5">
        <f>[1]Results!BA1460</f>
        <v>6.267579199</v>
      </c>
      <c r="AY200" s="5">
        <f>[1]Results!BB1460</f>
        <v>6.2565823209999998</v>
      </c>
      <c r="AZ200" s="5">
        <f>[1]Results!BC1460</f>
        <v>6.2457006240000004</v>
      </c>
      <c r="BA200" s="5">
        <f>[1]Results!BD1460</f>
        <v>6.2349879289999999</v>
      </c>
      <c r="BB200" s="5">
        <f>[1]Results!BE1460</f>
        <v>6.2603257899999996</v>
      </c>
      <c r="BC200" s="5">
        <f>[1]Results!BF1460</f>
        <v>6.2497078110000004</v>
      </c>
      <c r="BD200" s="5">
        <f>[1]Results!BG1460</f>
        <v>6.2392568309999996</v>
      </c>
      <c r="BE200" s="5">
        <f>[1]Results!BH1460</f>
        <v>6.2289919490000001</v>
      </c>
      <c r="BF200" s="5">
        <f>[1]Results!BI1460</f>
        <v>6.2189324130000001</v>
      </c>
    </row>
    <row r="201" spans="1:58" x14ac:dyDescent="0.35">
      <c r="B201" t="s">
        <v>34</v>
      </c>
      <c r="C201" s="5">
        <f>[1]Results!F1462</f>
        <v>0.72028375860000005</v>
      </c>
      <c r="D201" s="5">
        <f>[1]Results!G1462</f>
        <v>0.7202487783</v>
      </c>
      <c r="E201" s="5">
        <f>[1]Results!H1462</f>
        <v>0.71937072170000005</v>
      </c>
      <c r="F201" s="5">
        <f>[1]Results!I1462</f>
        <v>0.71815003290000001</v>
      </c>
      <c r="G201" s="5">
        <f>[1]Results!J1462</f>
        <v>0.71699178990000001</v>
      </c>
      <c r="H201" s="5">
        <f>[1]Results!K1462</f>
        <v>0.71613411589999998</v>
      </c>
      <c r="I201" s="5">
        <f>[1]Results!L1462</f>
        <v>0.71538926140000003</v>
      </c>
      <c r="J201" s="5">
        <f>[1]Results!M1462</f>
        <v>0.71481401440000003</v>
      </c>
      <c r="K201" s="5">
        <f>[1]Results!N1462</f>
        <v>0.71443293900000004</v>
      </c>
      <c r="L201" s="5">
        <f>[1]Results!O1462</f>
        <v>0.71423419619999995</v>
      </c>
      <c r="M201" s="5">
        <f>[1]Results!P1462</f>
        <v>0.71465202630000002</v>
      </c>
      <c r="N201" s="5">
        <f>[1]Results!Q1462</f>
        <v>0.71509269019999999</v>
      </c>
      <c r="O201" s="5">
        <f>[1]Results!R1462</f>
        <v>0.71549616110000003</v>
      </c>
      <c r="P201" s="5">
        <f>[1]Results!S1462</f>
        <v>0.71586791979999997</v>
      </c>
      <c r="Q201" s="5">
        <f>[1]Results!T1462</f>
        <v>0.71621998220000005</v>
      </c>
      <c r="R201" s="5">
        <f>[1]Results!U1462</f>
        <v>0.71656083579999996</v>
      </c>
      <c r="S201" s="5">
        <f>[1]Results!V1462</f>
        <v>0.71689793260000001</v>
      </c>
      <c r="T201" s="5">
        <f>[1]Results!W1462</f>
        <v>0.71723351310000005</v>
      </c>
      <c r="U201" s="5">
        <f>[1]Results!X1462</f>
        <v>0.71756827489999997</v>
      </c>
      <c r="V201" s="5">
        <f>[1]Results!Y1462</f>
        <v>0.71790271409999995</v>
      </c>
      <c r="W201" s="5">
        <f>[1]Results!Z1462</f>
        <v>0.71793570770000004</v>
      </c>
      <c r="X201" s="5">
        <f>[1]Results!AA1462</f>
        <v>0.71803536550000002</v>
      </c>
      <c r="Y201" s="5">
        <f>[1]Results!AB1462</f>
        <v>0.71822125219999999</v>
      </c>
      <c r="Z201" s="5">
        <f>[1]Results!AC1462</f>
        <v>0.71847481150000003</v>
      </c>
      <c r="AA201" s="5">
        <f>[1]Results!AD1462</f>
        <v>0.71877723630000001</v>
      </c>
      <c r="AB201" s="5">
        <f>[1]Results!AE1462</f>
        <v>0.71829807489999997</v>
      </c>
      <c r="AC201" s="5">
        <f>[1]Results!AF1462</f>
        <v>0.71763840639999998</v>
      </c>
      <c r="AD201" s="5">
        <f>[1]Results!AG1462</f>
        <v>0.71692346080000002</v>
      </c>
      <c r="AE201" s="5">
        <f>[1]Results!AH1462</f>
        <v>0.7162010781</v>
      </c>
      <c r="AF201" s="5">
        <f>[1]Results!AI1462</f>
        <v>0.71549477429999997</v>
      </c>
      <c r="AG201" s="5">
        <f>[1]Results!AJ1462</f>
        <v>0.71481779739999995</v>
      </c>
      <c r="AH201" s="5">
        <f>[1]Results!AK1462</f>
        <v>0.71417736269999998</v>
      </c>
      <c r="AI201" s="5">
        <f>[1]Results!AL1462</f>
        <v>0.71357817440000004</v>
      </c>
      <c r="AJ201" s="5">
        <f>[1]Results!AM1462</f>
        <v>0.71302291080000002</v>
      </c>
      <c r="AK201" s="5">
        <f>[1]Results!AN1462</f>
        <v>0.71251267009999997</v>
      </c>
      <c r="AL201" s="5">
        <f>[1]Results!AO1462</f>
        <v>0.71204730159999996</v>
      </c>
      <c r="AM201" s="5">
        <f>[1]Results!AP1462</f>
        <v>0.71144876040000005</v>
      </c>
      <c r="AN201" s="5">
        <f>[1]Results!AQ1462</f>
        <v>0.71075336219999996</v>
      </c>
      <c r="AO201" s="5">
        <f>[1]Results!AR1462</f>
        <v>0.71000729630000003</v>
      </c>
      <c r="AP201" s="5">
        <f>[1]Results!AS1462</f>
        <v>0.70924472329999999</v>
      </c>
      <c r="AQ201" s="5">
        <f>[1]Results!AT1462</f>
        <v>0.70848777890000003</v>
      </c>
      <c r="AR201" s="5">
        <f>[1]Results!AU1462</f>
        <v>0.70774881720000005</v>
      </c>
      <c r="AS201" s="5">
        <f>[1]Results!AV1462</f>
        <v>0.70703528120000003</v>
      </c>
      <c r="AT201" s="5">
        <f>[1]Results!AW1462</f>
        <v>0.70635099980000005</v>
      </c>
      <c r="AU201" s="5">
        <f>[1]Results!AX1462</f>
        <v>0.70569740650000001</v>
      </c>
      <c r="AV201" s="5">
        <f>[1]Results!AY1462</f>
        <v>0.70507440139999999</v>
      </c>
      <c r="AW201" s="5">
        <f>[1]Results!AZ1462</f>
        <v>0.70445272540000003</v>
      </c>
      <c r="AX201" s="5">
        <f>[1]Results!BA1462</f>
        <v>0.7038201932</v>
      </c>
      <c r="AY201" s="5">
        <f>[1]Results!BB1462</f>
        <v>0.70318728050000001</v>
      </c>
      <c r="AZ201" s="5">
        <f>[1]Results!BC1462</f>
        <v>0.70257353099999997</v>
      </c>
      <c r="BA201" s="5">
        <f>[1]Results!BD1462</f>
        <v>0.70199762080000006</v>
      </c>
      <c r="BB201" s="5">
        <f>[1]Results!BE1462</f>
        <v>0.69044872810000002</v>
      </c>
      <c r="BC201" s="5">
        <f>[1]Results!BF1462</f>
        <v>0.68981517540000004</v>
      </c>
      <c r="BD201" s="5">
        <f>[1]Results!BG1462</f>
        <v>0.68920305380000002</v>
      </c>
      <c r="BE201" s="5">
        <f>[1]Results!BH1462</f>
        <v>0.68861274729999999</v>
      </c>
      <c r="BF201" s="5">
        <f>[1]Results!BI1462</f>
        <v>0.68804478970000005</v>
      </c>
    </row>
    <row r="202" spans="1:58" x14ac:dyDescent="0.35">
      <c r="B202" t="s">
        <v>37</v>
      </c>
      <c r="C202" s="5">
        <f>[1]Results!F1458</f>
        <v>17.996857370000001</v>
      </c>
      <c r="D202" s="5">
        <f>[1]Results!G1458</f>
        <v>17.958408980000002</v>
      </c>
      <c r="E202" s="5">
        <f>[1]Results!H1458</f>
        <v>17.880865010000001</v>
      </c>
      <c r="F202" s="5">
        <f>[1]Results!I1458</f>
        <v>17.795149899999998</v>
      </c>
      <c r="G202" s="5">
        <f>[1]Results!J1458</f>
        <v>17.721013379999999</v>
      </c>
      <c r="H202" s="5">
        <f>[1]Results!K1458</f>
        <v>17.666714129999999</v>
      </c>
      <c r="I202" s="5">
        <f>[1]Results!L1458</f>
        <v>17.62730603</v>
      </c>
      <c r="J202" s="5">
        <f>[1]Results!M1458</f>
        <v>17.60142913</v>
      </c>
      <c r="K202" s="5">
        <f>[1]Results!N1458</f>
        <v>17.586526339999999</v>
      </c>
      <c r="L202" s="5">
        <f>[1]Results!O1458</f>
        <v>17.579770960000001</v>
      </c>
      <c r="M202" s="5">
        <f>[1]Results!P1458</f>
        <v>17.58828136</v>
      </c>
      <c r="N202" s="5">
        <f>[1]Results!Q1458</f>
        <v>17.598175260000001</v>
      </c>
      <c r="O202" s="5">
        <f>[1]Results!R1458</f>
        <v>17.608070300000001</v>
      </c>
      <c r="P202" s="5">
        <f>[1]Results!S1458</f>
        <v>17.617641750000001</v>
      </c>
      <c r="Q202" s="5">
        <f>[1]Results!T1458</f>
        <v>17.626782070000001</v>
      </c>
      <c r="R202" s="5">
        <f>[1]Results!U1458</f>
        <v>17.635450689999999</v>
      </c>
      <c r="S202" s="5">
        <f>[1]Results!V1458</f>
        <v>17.643676129999999</v>
      </c>
      <c r="T202" s="5">
        <f>[1]Results!W1458</f>
        <v>17.651472510000001</v>
      </c>
      <c r="U202" s="5">
        <f>[1]Results!X1458</f>
        <v>17.658864909999998</v>
      </c>
      <c r="V202" s="5">
        <f>[1]Results!Y1458</f>
        <v>17.66588746</v>
      </c>
      <c r="W202" s="5">
        <f>[1]Results!Z1458</f>
        <v>17.666261349999999</v>
      </c>
      <c r="X202" s="5">
        <f>[1]Results!AA1458</f>
        <v>17.667917719999998</v>
      </c>
      <c r="Y202" s="5">
        <f>[1]Results!AB1458</f>
        <v>17.67086956</v>
      </c>
      <c r="Z202" s="5">
        <f>[1]Results!AC1458</f>
        <v>17.674730100000001</v>
      </c>
      <c r="AA202" s="5">
        <f>[1]Results!AD1458</f>
        <v>17.67918602</v>
      </c>
      <c r="AB202" s="5">
        <f>[1]Results!AE1458</f>
        <v>17.666856710000001</v>
      </c>
      <c r="AC202" s="5">
        <f>[1]Results!AF1458</f>
        <v>17.651022770000001</v>
      </c>
      <c r="AD202" s="5">
        <f>[1]Results!AG1458</f>
        <v>17.633534829999999</v>
      </c>
      <c r="AE202" s="5">
        <f>[1]Results!AH1458</f>
        <v>17.61517533</v>
      </c>
      <c r="AF202" s="5">
        <f>[1]Results!AI1458</f>
        <v>17.596423250000001</v>
      </c>
      <c r="AG202" s="5">
        <f>[1]Results!AJ1458</f>
        <v>17.577620240000002</v>
      </c>
      <c r="AH202" s="5">
        <f>[1]Results!AK1458</f>
        <v>17.559007489999999</v>
      </c>
      <c r="AI202" s="5">
        <f>[1]Results!AL1458</f>
        <v>17.540761910000001</v>
      </c>
      <c r="AJ202" s="5">
        <f>[1]Results!AM1458</f>
        <v>17.52300073</v>
      </c>
      <c r="AK202" s="5">
        <f>[1]Results!AN1458</f>
        <v>17.505791980000001</v>
      </c>
      <c r="AL202" s="5">
        <f>[1]Results!AO1458</f>
        <v>17.489165620000001</v>
      </c>
      <c r="AM202" s="5">
        <f>[1]Results!AP1458</f>
        <v>17.469423389999999</v>
      </c>
      <c r="AN202" s="5">
        <f>[1]Results!AQ1458</f>
        <v>17.447491159999998</v>
      </c>
      <c r="AO202" s="5">
        <f>[1]Results!AR1458</f>
        <v>17.424263750000001</v>
      </c>
      <c r="AP202" s="5">
        <f>[1]Results!AS1458</f>
        <v>17.40037718</v>
      </c>
      <c r="AQ202" s="5">
        <f>[1]Results!AT1458</f>
        <v>17.376258350000001</v>
      </c>
      <c r="AR202" s="5">
        <f>[1]Results!AU1458</f>
        <v>17.35217832</v>
      </c>
      <c r="AS202" s="5">
        <f>[1]Results!AV1458</f>
        <v>17.328323340000001</v>
      </c>
      <c r="AT202" s="5">
        <f>[1]Results!AW1458</f>
        <v>17.304812989999999</v>
      </c>
      <c r="AU202" s="5">
        <f>[1]Results!AX1458</f>
        <v>17.281717759999999</v>
      </c>
      <c r="AV202" s="5">
        <f>[1]Results!AY1458</f>
        <v>17.259072410000002</v>
      </c>
      <c r="AW202" s="5">
        <f>[1]Results!AZ1458</f>
        <v>17.236609560000002</v>
      </c>
      <c r="AX202" s="5">
        <f>[1]Results!BA1458</f>
        <v>17.214177190000001</v>
      </c>
      <c r="AY202" s="5">
        <f>[1]Results!BB1458</f>
        <v>17.191914919999999</v>
      </c>
      <c r="AZ202" s="5">
        <f>[1]Results!BC1458</f>
        <v>17.170055179999999</v>
      </c>
      <c r="BA202" s="5">
        <f>[1]Results!BD1458</f>
        <v>17.14880269</v>
      </c>
      <c r="BB202" s="5">
        <f>[1]Results!BE1458</f>
        <v>17.10672302</v>
      </c>
      <c r="BC202" s="5">
        <f>[1]Results!BF1458</f>
        <v>17.084953720000001</v>
      </c>
      <c r="BD202" s="5">
        <f>[1]Results!BG1458</f>
        <v>17.063645919999999</v>
      </c>
      <c r="BE202" s="5">
        <f>[1]Results!BH1458</f>
        <v>17.04283483</v>
      </c>
      <c r="BF202" s="5">
        <f>[1]Results!BI1458</f>
        <v>17.022556850000001</v>
      </c>
    </row>
    <row r="203" spans="1:58" x14ac:dyDescent="0.35"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</row>
    <row r="204" spans="1:58" x14ac:dyDescent="0.35">
      <c r="A204" s="12" t="s">
        <v>86</v>
      </c>
      <c r="B204" t="s">
        <v>27</v>
      </c>
      <c r="C204" s="3">
        <f>[1]Results!F1473</f>
        <v>27372.46617</v>
      </c>
      <c r="D204" s="3">
        <f>[1]Results!G1473</f>
        <v>27404.727050000001</v>
      </c>
      <c r="E204" s="3">
        <f>[1]Results!H1473</f>
        <v>27445.824499999999</v>
      </c>
      <c r="F204" s="3">
        <f>[1]Results!I1473</f>
        <v>27503.85943</v>
      </c>
      <c r="G204" s="3">
        <f>[1]Results!J1473</f>
        <v>27581.522540000002</v>
      </c>
      <c r="H204" s="3">
        <f>[1]Results!K1473</f>
        <v>27678.306339999999</v>
      </c>
      <c r="I204" s="3">
        <f>[1]Results!L1473</f>
        <v>27781.07674</v>
      </c>
      <c r="J204" s="3">
        <f>[1]Results!M1473</f>
        <v>27889.074809999998</v>
      </c>
      <c r="K204" s="3">
        <f>[1]Results!N1473</f>
        <v>28001.641680000001</v>
      </c>
      <c r="L204" s="3">
        <f>[1]Results!O1473</f>
        <v>28117.95075</v>
      </c>
      <c r="M204" s="3">
        <f>[1]Results!P1473</f>
        <v>28255.293320000001</v>
      </c>
      <c r="N204" s="3">
        <f>[1]Results!Q1473</f>
        <v>28391.05529</v>
      </c>
      <c r="O204" s="3">
        <f>[1]Results!R1473</f>
        <v>28524.14</v>
      </c>
      <c r="P204" s="3">
        <f>[1]Results!S1473</f>
        <v>28654.520680000001</v>
      </c>
      <c r="Q204" s="3">
        <f>[1]Results!T1473</f>
        <v>28782.386040000001</v>
      </c>
      <c r="R204" s="3">
        <f>[1]Results!U1473</f>
        <v>28907.98271</v>
      </c>
      <c r="S204" s="3">
        <f>[1]Results!V1473</f>
        <v>29031.586640000001</v>
      </c>
      <c r="T204" s="3">
        <f>[1]Results!W1473</f>
        <v>29153.487120000002</v>
      </c>
      <c r="U204" s="3">
        <f>[1]Results!X1473</f>
        <v>29273.968079999999</v>
      </c>
      <c r="V204" s="3">
        <f>[1]Results!Y1473</f>
        <v>29393.290980000002</v>
      </c>
      <c r="W204" s="3">
        <f>[1]Results!Z1473</f>
        <v>29499.599200000001</v>
      </c>
      <c r="X204" s="3">
        <f>[1]Results!AA1473</f>
        <v>29607.52176</v>
      </c>
      <c r="Y204" s="3">
        <f>[1]Results!AB1473</f>
        <v>29717.45595</v>
      </c>
      <c r="Z204" s="3">
        <f>[1]Results!AC1473</f>
        <v>29829.139569999999</v>
      </c>
      <c r="AA204" s="3">
        <f>[1]Results!AD1473</f>
        <v>29942.22351</v>
      </c>
      <c r="AB204" s="3">
        <f>[1]Results!AE1473</f>
        <v>30023.354579999999</v>
      </c>
      <c r="AC204" s="3">
        <f>[1]Results!AF1473</f>
        <v>30096.16156</v>
      </c>
      <c r="AD204" s="3">
        <f>[1]Results!AG1473</f>
        <v>30164.056339999999</v>
      </c>
      <c r="AE204" s="3">
        <f>[1]Results!AH1473</f>
        <v>30229.102459999998</v>
      </c>
      <c r="AF204" s="3">
        <f>[1]Results!AI1473</f>
        <v>30292.751359999998</v>
      </c>
      <c r="AG204" s="3">
        <f>[1]Results!AJ1473</f>
        <v>30356.027859999998</v>
      </c>
      <c r="AH204" s="3">
        <f>[1]Results!AK1473</f>
        <v>30419.604909999998</v>
      </c>
      <c r="AI204" s="3">
        <f>[1]Results!AL1473</f>
        <v>30483.865150000001</v>
      </c>
      <c r="AJ204" s="3">
        <f>[1]Results!AM1473</f>
        <v>30548.965680000001</v>
      </c>
      <c r="AK204" s="3">
        <f>[1]Results!AN1473</f>
        <v>30614.90263</v>
      </c>
      <c r="AL204" s="3">
        <f>[1]Results!AO1473</f>
        <v>30681.569299999999</v>
      </c>
      <c r="AM204" s="3">
        <f>[1]Results!AP1473</f>
        <v>30741.745159999999</v>
      </c>
      <c r="AN204" s="3">
        <f>[1]Results!AQ1473</f>
        <v>30796.616119999999</v>
      </c>
      <c r="AO204" s="3">
        <f>[1]Results!AR1473</f>
        <v>30847.50719</v>
      </c>
      <c r="AP204" s="3">
        <f>[1]Results!AS1473</f>
        <v>30895.535169999999</v>
      </c>
      <c r="AQ204" s="3">
        <f>[1]Results!AT1473</f>
        <v>30941.588790000002</v>
      </c>
      <c r="AR204" s="3">
        <f>[1]Results!AU1473</f>
        <v>30986.632280000002</v>
      </c>
      <c r="AS204" s="3">
        <f>[1]Results!AV1473</f>
        <v>31031.650109999999</v>
      </c>
      <c r="AT204" s="3">
        <f>[1]Results!AW1473</f>
        <v>31077.259590000001</v>
      </c>
      <c r="AU204" s="3">
        <f>[1]Results!AX1473</f>
        <v>31123.698499999999</v>
      </c>
      <c r="AV204" s="3">
        <f>[1]Results!AY1473</f>
        <v>31170.959620000001</v>
      </c>
      <c r="AW204" s="3">
        <f>[1]Results!AZ1473</f>
        <v>31219.498479999998</v>
      </c>
      <c r="AX204" s="3">
        <f>[1]Results!BA1473</f>
        <v>31269.067930000001</v>
      </c>
      <c r="AY204" s="3">
        <f>[1]Results!BB1473</f>
        <v>31319.426739999999</v>
      </c>
      <c r="AZ204" s="3">
        <f>[1]Results!BC1473</f>
        <v>31370.376899999999</v>
      </c>
      <c r="BA204" s="3">
        <f>[1]Results!BD1473</f>
        <v>31421.760969999999</v>
      </c>
      <c r="BB204" s="3">
        <f>[1]Results!BE1473</f>
        <v>31107.650259999999</v>
      </c>
      <c r="BC204" s="3">
        <f>[1]Results!BF1473</f>
        <v>31143.853749999998</v>
      </c>
      <c r="BD204" s="3">
        <f>[1]Results!BG1473</f>
        <v>31179.418160000001</v>
      </c>
      <c r="BE204" s="3">
        <f>[1]Results!BH1473</f>
        <v>31214.358059999999</v>
      </c>
      <c r="BF204" s="3">
        <f>[1]Results!BI1473</f>
        <v>31248.702590000001</v>
      </c>
    </row>
    <row r="205" spans="1:58" x14ac:dyDescent="0.35">
      <c r="A205" t="s">
        <v>38</v>
      </c>
      <c r="B205" t="s">
        <v>7</v>
      </c>
      <c r="C205" s="3">
        <f>[1]Results!F1474</f>
        <v>761.03875010000002</v>
      </c>
      <c r="D205" s="3">
        <f>[1]Results!G1474</f>
        <v>760.39903600000002</v>
      </c>
      <c r="E205" s="3">
        <f>[1]Results!H1474</f>
        <v>758.51245719999997</v>
      </c>
      <c r="F205" s="3">
        <f>[1]Results!I1474</f>
        <v>755.9348291</v>
      </c>
      <c r="G205" s="3">
        <f>[1]Results!J1474</f>
        <v>753.07696129999999</v>
      </c>
      <c r="H205" s="3">
        <f>[1]Results!K1474</f>
        <v>750.19559890000005</v>
      </c>
      <c r="I205" s="3">
        <f>[1]Results!L1474</f>
        <v>747.05079060000003</v>
      </c>
      <c r="J205" s="3">
        <f>[1]Results!M1474</f>
        <v>743.86187110000003</v>
      </c>
      <c r="K205" s="3">
        <f>[1]Results!N1474</f>
        <v>740.75663740000005</v>
      </c>
      <c r="L205" s="3">
        <f>[1]Results!O1474</f>
        <v>737.79678899999999</v>
      </c>
      <c r="M205" s="3">
        <f>[1]Results!P1474</f>
        <v>735.61914899999999</v>
      </c>
      <c r="N205" s="3">
        <f>[1]Results!Q1474</f>
        <v>733.35249659999999</v>
      </c>
      <c r="O205" s="3">
        <f>[1]Results!R1474</f>
        <v>731.0539086</v>
      </c>
      <c r="P205" s="3">
        <f>[1]Results!S1474</f>
        <v>728.76518390000001</v>
      </c>
      <c r="Q205" s="3">
        <f>[1]Results!T1474</f>
        <v>726.50829050000004</v>
      </c>
      <c r="R205" s="3">
        <f>[1]Results!U1474</f>
        <v>724.28984009999999</v>
      </c>
      <c r="S205" s="3">
        <f>[1]Results!V1474</f>
        <v>722.10674019999999</v>
      </c>
      <c r="T205" s="3">
        <f>[1]Results!W1474</f>
        <v>719.95083980000004</v>
      </c>
      <c r="U205" s="3">
        <f>[1]Results!X1474</f>
        <v>717.81221700000003</v>
      </c>
      <c r="V205" s="3">
        <f>[1]Results!Y1474</f>
        <v>715.68129290000002</v>
      </c>
      <c r="W205" s="3">
        <f>[1]Results!Z1474</f>
        <v>713.16463910000004</v>
      </c>
      <c r="X205" s="3">
        <f>[1]Results!AA1474</f>
        <v>710.79947489999995</v>
      </c>
      <c r="Y205" s="3">
        <f>[1]Results!AB1474</f>
        <v>708.53365589999999</v>
      </c>
      <c r="Z205" s="3">
        <f>[1]Results!AC1474</f>
        <v>706.3249515</v>
      </c>
      <c r="AA205" s="3">
        <f>[1]Results!AD1474</f>
        <v>704.14522929999998</v>
      </c>
      <c r="AB205" s="3">
        <f>[1]Results!AE1474</f>
        <v>700.95689860000005</v>
      </c>
      <c r="AC205" s="3">
        <f>[1]Results!AF1474</f>
        <v>697.71840640000005</v>
      </c>
      <c r="AD205" s="3">
        <f>[1]Results!AG1474</f>
        <v>694.49459999999999</v>
      </c>
      <c r="AE205" s="3">
        <f>[1]Results!AH1474</f>
        <v>691.31371839999997</v>
      </c>
      <c r="AF205" s="3">
        <f>[1]Results!AI1474</f>
        <v>688.18703819999996</v>
      </c>
      <c r="AG205" s="3">
        <f>[1]Results!AJ1474</f>
        <v>685.11840310000002</v>
      </c>
      <c r="AH205" s="3">
        <f>[1]Results!AK1474</f>
        <v>682.10862929999996</v>
      </c>
      <c r="AI205" s="3">
        <f>[1]Results!AL1474</f>
        <v>679.15737330000002</v>
      </c>
      <c r="AJ205" s="3">
        <f>[1]Results!AM1474</f>
        <v>676.26379669999994</v>
      </c>
      <c r="AK205" s="3">
        <f>[1]Results!AN1474</f>
        <v>673.42670520000001</v>
      </c>
      <c r="AL205" s="3">
        <f>[1]Results!AO1474</f>
        <v>670.64450079999995</v>
      </c>
      <c r="AM205" s="3">
        <f>[1]Results!AP1474</f>
        <v>667.71113179999998</v>
      </c>
      <c r="AN205" s="3">
        <f>[1]Results!AQ1474</f>
        <v>664.71034129999998</v>
      </c>
      <c r="AO205" s="3">
        <f>[1]Results!AR1474</f>
        <v>661.7000458</v>
      </c>
      <c r="AP205" s="3">
        <f>[1]Results!AS1474</f>
        <v>658.71550909999996</v>
      </c>
      <c r="AQ205" s="3">
        <f>[1]Results!AT1474</f>
        <v>655.77449990000002</v>
      </c>
      <c r="AR205" s="3">
        <f>[1]Results!AU1474</f>
        <v>652.66462960000001</v>
      </c>
      <c r="AS205" s="3">
        <f>[1]Results!AV1474</f>
        <v>649.43829940000001</v>
      </c>
      <c r="AT205" s="3">
        <f>[1]Results!AW1474</f>
        <v>646.19825800000001</v>
      </c>
      <c r="AU205" s="3">
        <f>[1]Results!AX1474</f>
        <v>643.02654159999997</v>
      </c>
      <c r="AV205" s="3">
        <f>[1]Results!AY1474</f>
        <v>639.97065640000005</v>
      </c>
      <c r="AW205" s="3">
        <f>[1]Results!AZ1474</f>
        <v>637.06476569999995</v>
      </c>
      <c r="AX205" s="3">
        <f>[1]Results!BA1474</f>
        <v>634.30175220000001</v>
      </c>
      <c r="AY205" s="3">
        <f>[1]Results!BB1474</f>
        <v>631.66622099999995</v>
      </c>
      <c r="AZ205" s="3">
        <f>[1]Results!BC1474</f>
        <v>629.14008909999995</v>
      </c>
      <c r="BA205" s="3">
        <f>[1]Results!BD1474</f>
        <v>626.70572200000004</v>
      </c>
      <c r="BB205" s="3">
        <f>[1]Results!BE1474</f>
        <v>821.15535560000001</v>
      </c>
      <c r="BC205" s="3">
        <f>[1]Results!BF1474</f>
        <v>821.62769619999995</v>
      </c>
      <c r="BD205" s="3">
        <f>[1]Results!BG1474</f>
        <v>822.10868189999997</v>
      </c>
      <c r="BE205" s="3">
        <f>[1]Results!BH1474</f>
        <v>822.59935270000005</v>
      </c>
      <c r="BF205" s="3">
        <f>[1]Results!BI1474</f>
        <v>823.10108200000002</v>
      </c>
    </row>
    <row r="206" spans="1:58" x14ac:dyDescent="0.35">
      <c r="B206" t="s">
        <v>30</v>
      </c>
      <c r="C206" s="3">
        <f>[1]Results!F1477</f>
        <v>4367.1258959999996</v>
      </c>
      <c r="D206" s="3">
        <f>[1]Results!G1477</f>
        <v>4371.6696599999996</v>
      </c>
      <c r="E206" s="3">
        <f>[1]Results!H1477</f>
        <v>4378.0241219999998</v>
      </c>
      <c r="F206" s="3">
        <f>[1]Results!I1477</f>
        <v>4387.6693089999999</v>
      </c>
      <c r="G206" s="3">
        <f>[1]Results!J1477</f>
        <v>4401.0606150000003</v>
      </c>
      <c r="H206" s="3">
        <f>[1]Results!K1477</f>
        <v>4418.1354799999999</v>
      </c>
      <c r="I206" s="3">
        <f>[1]Results!L1477</f>
        <v>4437.0963670000001</v>
      </c>
      <c r="J206" s="3">
        <f>[1]Results!M1477</f>
        <v>4457.6447509999998</v>
      </c>
      <c r="K206" s="3">
        <f>[1]Results!N1477</f>
        <v>4479.5731269999997</v>
      </c>
      <c r="L206" s="3">
        <f>[1]Results!O1477</f>
        <v>4502.682949</v>
      </c>
      <c r="M206" s="3">
        <f>[1]Results!P1477</f>
        <v>4529.2414760000001</v>
      </c>
      <c r="N206" s="3">
        <f>[1]Results!Q1477</f>
        <v>4556.3667489999998</v>
      </c>
      <c r="O206" s="3">
        <f>[1]Results!R1477</f>
        <v>4583.6751910000003</v>
      </c>
      <c r="P206" s="3">
        <f>[1]Results!S1477</f>
        <v>4611.0109179999999</v>
      </c>
      <c r="Q206" s="3">
        <f>[1]Results!T1477</f>
        <v>4638.298597</v>
      </c>
      <c r="R206" s="3">
        <f>[1]Results!U1477</f>
        <v>4665.5009490000002</v>
      </c>
      <c r="S206" s="3">
        <f>[1]Results!V1477</f>
        <v>4692.6038429999999</v>
      </c>
      <c r="T206" s="3">
        <f>[1]Results!W1477</f>
        <v>4719.6087470000002</v>
      </c>
      <c r="U206" s="3">
        <f>[1]Results!X1477</f>
        <v>4746.5270970000001</v>
      </c>
      <c r="V206" s="3">
        <f>[1]Results!Y1477</f>
        <v>4773.3754980000003</v>
      </c>
      <c r="W206" s="3">
        <f>[1]Results!Z1477</f>
        <v>4798.51908</v>
      </c>
      <c r="X206" s="3">
        <f>[1]Results!AA1477</f>
        <v>4823.7681940000002</v>
      </c>
      <c r="Y206" s="3">
        <f>[1]Results!AB1477</f>
        <v>4849.2787969999999</v>
      </c>
      <c r="Z206" s="3">
        <f>[1]Results!AC1477</f>
        <v>4875.0646589999997</v>
      </c>
      <c r="AA206" s="3">
        <f>[1]Results!AD1477</f>
        <v>4901.0960409999998</v>
      </c>
      <c r="AB206" s="3">
        <f>[1]Results!AE1477</f>
        <v>4922.7939070000002</v>
      </c>
      <c r="AC206" s="3">
        <f>[1]Results!AF1477</f>
        <v>4942.8868220000004</v>
      </c>
      <c r="AD206" s="3">
        <f>[1]Results!AG1477</f>
        <v>4961.8919740000001</v>
      </c>
      <c r="AE206" s="3">
        <f>[1]Results!AH1477</f>
        <v>4980.1356370000003</v>
      </c>
      <c r="AF206" s="3">
        <f>[1]Results!AI1477</f>
        <v>4997.846356</v>
      </c>
      <c r="AG206" s="3">
        <f>[1]Results!AJ1477</f>
        <v>5015.1832480000003</v>
      </c>
      <c r="AH206" s="3">
        <f>[1]Results!AK1477</f>
        <v>5032.2490690000004</v>
      </c>
      <c r="AI206" s="3">
        <f>[1]Results!AL1477</f>
        <v>5049.0998710000003</v>
      </c>
      <c r="AJ206" s="3">
        <f>[1]Results!AM1477</f>
        <v>5065.7543649999998</v>
      </c>
      <c r="AK206" s="3">
        <f>[1]Results!AN1477</f>
        <v>5082.2033709999996</v>
      </c>
      <c r="AL206" s="3">
        <f>[1]Results!AO1477</f>
        <v>5098.4188670000003</v>
      </c>
      <c r="AM206" s="3">
        <f>[1]Results!AP1477</f>
        <v>5113.3841940000002</v>
      </c>
      <c r="AN206" s="3">
        <f>[1]Results!AQ1477</f>
        <v>5127.134352</v>
      </c>
      <c r="AO206" s="3">
        <f>[1]Results!AR1477</f>
        <v>5139.7904090000002</v>
      </c>
      <c r="AP206" s="3">
        <f>[1]Results!AS1477</f>
        <v>5151.4820200000004</v>
      </c>
      <c r="AQ206" s="3">
        <f>[1]Results!AT1477</f>
        <v>5162.3270080000002</v>
      </c>
      <c r="AR206" s="3">
        <f>[1]Results!AU1477</f>
        <v>5172.5314360000002</v>
      </c>
      <c r="AS206" s="3">
        <f>[1]Results!AV1477</f>
        <v>5182.3231960000003</v>
      </c>
      <c r="AT206" s="3">
        <f>[1]Results!AW1477</f>
        <v>5191.867037</v>
      </c>
      <c r="AU206" s="3">
        <f>[1]Results!AX1477</f>
        <v>5201.2411119999997</v>
      </c>
      <c r="AV206" s="3">
        <f>[1]Results!AY1477</f>
        <v>5210.4551179999999</v>
      </c>
      <c r="AW206" s="3">
        <f>[1]Results!AZ1477</f>
        <v>5219.5605999999998</v>
      </c>
      <c r="AX206" s="3">
        <f>[1]Results!BA1477</f>
        <v>5228.5112879999997</v>
      </c>
      <c r="AY206" s="3">
        <f>[1]Results!BB1477</f>
        <v>5237.2581570000002</v>
      </c>
      <c r="AZ206" s="3">
        <f>[1]Results!BC1477</f>
        <v>5245.7628569999997</v>
      </c>
      <c r="BA206" s="3">
        <f>[1]Results!BD1477</f>
        <v>5254.0005359999996</v>
      </c>
      <c r="BB206" s="3">
        <f>[1]Results!BE1477</f>
        <v>5222.4697040000001</v>
      </c>
      <c r="BC206" s="3">
        <f>[1]Results!BF1477</f>
        <v>5232.6580800000002</v>
      </c>
      <c r="BD206" s="3">
        <f>[1]Results!BG1477</f>
        <v>5242.3468860000003</v>
      </c>
      <c r="BE206" s="3">
        <f>[1]Results!BH1477</f>
        <v>5251.5300660000003</v>
      </c>
      <c r="BF206" s="3">
        <f>[1]Results!BI1477</f>
        <v>5260.2061640000002</v>
      </c>
    </row>
    <row r="207" spans="1:58" x14ac:dyDescent="0.35">
      <c r="B207" t="s">
        <v>28</v>
      </c>
      <c r="C207" s="3">
        <f>[1]Results!F1489</f>
        <v>868.27882390000002</v>
      </c>
      <c r="D207" s="3">
        <f>[1]Results!G1489</f>
        <v>868.57821569999999</v>
      </c>
      <c r="E207" s="3">
        <f>[1]Results!H1489</f>
        <v>868.71760019999999</v>
      </c>
      <c r="F207" s="3">
        <f>[1]Results!I1489</f>
        <v>869.15640980000001</v>
      </c>
      <c r="G207" s="3">
        <f>[1]Results!J1489</f>
        <v>870.10928139999999</v>
      </c>
      <c r="H207" s="3">
        <f>[1]Results!K1489</f>
        <v>871.62667850000003</v>
      </c>
      <c r="I207" s="3">
        <f>[1]Results!L1489</f>
        <v>873.35446230000002</v>
      </c>
      <c r="J207" s="3">
        <f>[1]Results!M1489</f>
        <v>875.26788739999995</v>
      </c>
      <c r="K207" s="3">
        <f>[1]Results!N1489</f>
        <v>877.34029529999998</v>
      </c>
      <c r="L207" s="3">
        <f>[1]Results!O1489</f>
        <v>879.53691990000004</v>
      </c>
      <c r="M207" s="3">
        <f>[1]Results!P1489</f>
        <v>882.33994819999998</v>
      </c>
      <c r="N207" s="3">
        <f>[1]Results!Q1489</f>
        <v>885.09506139999996</v>
      </c>
      <c r="O207" s="3">
        <f>[1]Results!R1489</f>
        <v>887.75696110000001</v>
      </c>
      <c r="P207" s="3">
        <f>[1]Results!S1489</f>
        <v>890.32379639999999</v>
      </c>
      <c r="Q207" s="3">
        <f>[1]Results!T1489</f>
        <v>892.80205650000005</v>
      </c>
      <c r="R207" s="3">
        <f>[1]Results!U1489</f>
        <v>895.20059330000004</v>
      </c>
      <c r="S207" s="3">
        <f>[1]Results!V1489</f>
        <v>897.52961519999997</v>
      </c>
      <c r="T207" s="3">
        <f>[1]Results!W1489</f>
        <v>899.80009619999998</v>
      </c>
      <c r="U207" s="3">
        <f>[1]Results!X1489</f>
        <v>902.02308059999996</v>
      </c>
      <c r="V207" s="3">
        <f>[1]Results!Y1489</f>
        <v>904.20904780000001</v>
      </c>
      <c r="W207" s="3">
        <f>[1]Results!Z1489</f>
        <v>906.02346130000001</v>
      </c>
      <c r="X207" s="3">
        <f>[1]Results!AA1489</f>
        <v>907.88720709999996</v>
      </c>
      <c r="Y207" s="3">
        <f>[1]Results!AB1489</f>
        <v>909.81912599999998</v>
      </c>
      <c r="Z207" s="3">
        <f>[1]Results!AC1489</f>
        <v>911.8124358</v>
      </c>
      <c r="AA207" s="3">
        <f>[1]Results!AD1489</f>
        <v>913.8578162</v>
      </c>
      <c r="AB207" s="3">
        <f>[1]Results!AE1489</f>
        <v>915.00775390000001</v>
      </c>
      <c r="AC207" s="3">
        <f>[1]Results!AF1489</f>
        <v>915.94085089999999</v>
      </c>
      <c r="AD207" s="3">
        <f>[1]Results!AG1489</f>
        <v>916.77034509999999</v>
      </c>
      <c r="AE207" s="3">
        <f>[1]Results!AH1489</f>
        <v>917.55875119999996</v>
      </c>
      <c r="AF207" s="3">
        <f>[1]Results!AI1489</f>
        <v>918.34871680000003</v>
      </c>
      <c r="AG207" s="3">
        <f>[1]Results!AJ1489</f>
        <v>919.1699979</v>
      </c>
      <c r="AH207" s="3">
        <f>[1]Results!AK1489</f>
        <v>920.04179429999999</v>
      </c>
      <c r="AI207" s="3">
        <f>[1]Results!AL1489</f>
        <v>920.9745279</v>
      </c>
      <c r="AJ207" s="3">
        <f>[1]Results!AM1489</f>
        <v>921.97174989999996</v>
      </c>
      <c r="AK207" s="3">
        <f>[1]Results!AN1489</f>
        <v>923.0320802</v>
      </c>
      <c r="AL207" s="3">
        <f>[1]Results!AO1489</f>
        <v>924.15097279999998</v>
      </c>
      <c r="AM207" s="3">
        <f>[1]Results!AP1489</f>
        <v>925.12128310000003</v>
      </c>
      <c r="AN207" s="3">
        <f>[1]Results!AQ1489</f>
        <v>925.97643270000003</v>
      </c>
      <c r="AO207" s="3">
        <f>[1]Results!AR1489</f>
        <v>926.75630720000004</v>
      </c>
      <c r="AP207" s="3">
        <f>[1]Results!AS1489</f>
        <v>927.49350379999998</v>
      </c>
      <c r="AQ207" s="3">
        <f>[1]Results!AT1489</f>
        <v>928.2128093</v>
      </c>
      <c r="AR207" s="3">
        <f>[1]Results!AU1489</f>
        <v>928.95040419999998</v>
      </c>
      <c r="AS207" s="3">
        <f>[1]Results!AV1489</f>
        <v>929.73217209999996</v>
      </c>
      <c r="AT207" s="3">
        <f>[1]Results!AW1489</f>
        <v>930.57031410000002</v>
      </c>
      <c r="AU207" s="3">
        <f>[1]Results!AX1489</f>
        <v>931.46639909999999</v>
      </c>
      <c r="AV207" s="3">
        <f>[1]Results!AY1489</f>
        <v>932.41628709999998</v>
      </c>
      <c r="AW207" s="3">
        <f>[1]Results!AZ1489</f>
        <v>933.43027470000004</v>
      </c>
      <c r="AX207" s="3">
        <f>[1]Results!BA1489</f>
        <v>934.49921180000001</v>
      </c>
      <c r="AY207" s="3">
        <f>[1]Results!BB1489</f>
        <v>935.61422719999996</v>
      </c>
      <c r="AZ207" s="3">
        <f>[1]Results!BC1489</f>
        <v>936.7677721</v>
      </c>
      <c r="BA207" s="3">
        <f>[1]Results!BD1489</f>
        <v>937.95338330000004</v>
      </c>
      <c r="BB207" s="3">
        <f>[1]Results!BE1489</f>
        <v>906.06296829999997</v>
      </c>
      <c r="BC207" s="3">
        <f>[1]Results!BF1489</f>
        <v>906.10522619999995</v>
      </c>
      <c r="BD207" s="3">
        <f>[1]Results!BG1489</f>
        <v>906.16741290000004</v>
      </c>
      <c r="BE207" s="3">
        <f>[1]Results!BH1489</f>
        <v>906.24966629999994</v>
      </c>
      <c r="BF207" s="3">
        <f>[1]Results!BI1489</f>
        <v>906.35235750000004</v>
      </c>
    </row>
    <row r="208" spans="1:58" x14ac:dyDescent="0.35">
      <c r="B208" t="s">
        <v>10</v>
      </c>
      <c r="C208" s="3">
        <f>[1]Results!F1494</f>
        <v>21271.072240000001</v>
      </c>
      <c r="D208" s="3">
        <f>[1]Results!G1494</f>
        <v>21299.359769999999</v>
      </c>
      <c r="E208" s="3">
        <f>[1]Results!H1494</f>
        <v>21336.319309999999</v>
      </c>
      <c r="F208" s="3">
        <f>[1]Results!I1494</f>
        <v>21387.41073</v>
      </c>
      <c r="G208" s="3">
        <f>[1]Results!J1494</f>
        <v>21454.14385</v>
      </c>
      <c r="H208" s="3">
        <f>[1]Results!K1494</f>
        <v>21535.718349999999</v>
      </c>
      <c r="I208" s="3">
        <f>[1]Results!L1494</f>
        <v>21621.405200000001</v>
      </c>
      <c r="J208" s="3">
        <f>[1]Results!M1494</f>
        <v>21710.544809999999</v>
      </c>
      <c r="K208" s="3">
        <f>[1]Results!N1494</f>
        <v>21802.586329999998</v>
      </c>
      <c r="L208" s="3">
        <f>[1]Results!O1494</f>
        <v>21896.881109999998</v>
      </c>
      <c r="M208" s="3">
        <f>[1]Results!P1494</f>
        <v>22007.288769999999</v>
      </c>
      <c r="N208" s="3">
        <f>[1]Results!Q1494</f>
        <v>22115.67152</v>
      </c>
      <c r="O208" s="3">
        <f>[1]Results!R1494</f>
        <v>22221.31652</v>
      </c>
      <c r="P208" s="3">
        <f>[1]Results!S1494</f>
        <v>22324.315030000002</v>
      </c>
      <c r="Q208" s="3">
        <f>[1]Results!T1494</f>
        <v>22424.902310000001</v>
      </c>
      <c r="R208" s="3">
        <f>[1]Results!U1494</f>
        <v>22523.345880000001</v>
      </c>
      <c r="S208" s="3">
        <f>[1]Results!V1494</f>
        <v>22619.92769</v>
      </c>
      <c r="T208" s="3">
        <f>[1]Results!W1494</f>
        <v>22714.931909999999</v>
      </c>
      <c r="U208" s="3">
        <f>[1]Results!X1494</f>
        <v>22808.629349999999</v>
      </c>
      <c r="V208" s="3">
        <f>[1]Results!Y1494</f>
        <v>22901.263579999999</v>
      </c>
      <c r="W208" s="3">
        <f>[1]Results!Z1494</f>
        <v>22983.375039999999</v>
      </c>
      <c r="X208" s="3">
        <f>[1]Results!AA1494</f>
        <v>23066.784240000001</v>
      </c>
      <c r="Y208" s="3">
        <f>[1]Results!AB1494</f>
        <v>23151.761829999999</v>
      </c>
      <c r="Z208" s="3">
        <f>[1]Results!AC1494</f>
        <v>23238.08221</v>
      </c>
      <c r="AA208" s="3">
        <f>[1]Results!AD1494</f>
        <v>23325.465370000002</v>
      </c>
      <c r="AB208" s="3">
        <f>[1]Results!AE1494</f>
        <v>23387.216680000001</v>
      </c>
      <c r="AC208" s="3">
        <f>[1]Results!AF1494</f>
        <v>23442.536100000001</v>
      </c>
      <c r="AD208" s="3">
        <f>[1]Results!AG1494</f>
        <v>23494.12371</v>
      </c>
      <c r="AE208" s="3">
        <f>[1]Results!AH1494</f>
        <v>23543.6188</v>
      </c>
      <c r="AF208" s="3">
        <f>[1]Results!AI1494</f>
        <v>23592.186460000001</v>
      </c>
      <c r="AG208" s="3">
        <f>[1]Results!AJ1494</f>
        <v>23640.656480000001</v>
      </c>
      <c r="AH208" s="3">
        <f>[1]Results!AK1494</f>
        <v>23689.57763</v>
      </c>
      <c r="AI208" s="3">
        <f>[1]Results!AL1494</f>
        <v>23739.265589999999</v>
      </c>
      <c r="AJ208" s="3">
        <f>[1]Results!AM1494</f>
        <v>23789.85569</v>
      </c>
      <c r="AK208" s="3">
        <f>[1]Results!AN1494</f>
        <v>23841.355790000001</v>
      </c>
      <c r="AL208" s="3">
        <f>[1]Results!AO1494</f>
        <v>23893.693640000001</v>
      </c>
      <c r="AM208" s="3">
        <f>[1]Results!AP1494</f>
        <v>23941.09836</v>
      </c>
      <c r="AN208" s="3">
        <f>[1]Results!AQ1494</f>
        <v>23984.601070000001</v>
      </c>
      <c r="AO208" s="3">
        <f>[1]Results!AR1494</f>
        <v>24025.302199999998</v>
      </c>
      <c r="AP208" s="3">
        <f>[1]Results!AS1494</f>
        <v>24064.115870000001</v>
      </c>
      <c r="AQ208" s="3">
        <f>[1]Results!AT1494</f>
        <v>24101.766970000001</v>
      </c>
      <c r="AR208" s="3">
        <f>[1]Results!AU1494</f>
        <v>24139.191630000001</v>
      </c>
      <c r="AS208" s="3">
        <f>[1]Results!AV1494</f>
        <v>24177.07086</v>
      </c>
      <c r="AT208" s="3">
        <f>[1]Results!AW1494</f>
        <v>24215.74395</v>
      </c>
      <c r="AU208" s="3">
        <f>[1]Results!AX1494</f>
        <v>24255.286690000001</v>
      </c>
      <c r="AV208" s="3">
        <f>[1]Results!AY1494</f>
        <v>24295.637030000002</v>
      </c>
      <c r="AW208" s="3">
        <f>[1]Results!AZ1494</f>
        <v>24337.150679999999</v>
      </c>
      <c r="AX208" s="3">
        <f>[1]Results!BA1494</f>
        <v>24379.641350000002</v>
      </c>
      <c r="AY208" s="3">
        <f>[1]Results!BB1494</f>
        <v>24422.94025</v>
      </c>
      <c r="AZ208" s="3">
        <f>[1]Results!BC1494</f>
        <v>24466.9133</v>
      </c>
      <c r="BA208" s="3">
        <f>[1]Results!BD1494</f>
        <v>24511.452430000001</v>
      </c>
      <c r="BB208" s="3">
        <f>[1]Results!BE1494</f>
        <v>24069.530859999999</v>
      </c>
      <c r="BC208" s="3">
        <f>[1]Results!BF1494</f>
        <v>24095.26267</v>
      </c>
      <c r="BD208" s="3">
        <f>[1]Results!BG1494</f>
        <v>24120.821110000001</v>
      </c>
      <c r="BE208" s="3">
        <f>[1]Results!BH1494</f>
        <v>24146.22565</v>
      </c>
      <c r="BF208" s="3">
        <f>[1]Results!BI1494</f>
        <v>24171.505140000001</v>
      </c>
    </row>
    <row r="209" spans="1:58" x14ac:dyDescent="0.35">
      <c r="B209" t="s">
        <v>29</v>
      </c>
      <c r="C209" s="3">
        <f>C214-C210</f>
        <v>10.588037543599999</v>
      </c>
      <c r="D209" s="3">
        <f t="shared" ref="D209:AL209" si="95">D214-D210</f>
        <v>10.5677989012</v>
      </c>
      <c r="E209" s="3">
        <f t="shared" si="95"/>
        <v>10.527396424900001</v>
      </c>
      <c r="F209" s="3">
        <f t="shared" si="95"/>
        <v>10.482866035499999</v>
      </c>
      <c r="G209" s="3">
        <f t="shared" si="95"/>
        <v>10.444200889699999</v>
      </c>
      <c r="H209" s="3">
        <f t="shared" si="95"/>
        <v>10.4154441146</v>
      </c>
      <c r="I209" s="3">
        <f t="shared" si="95"/>
        <v>10.393689758100001</v>
      </c>
      <c r="J209" s="3">
        <f t="shared" si="95"/>
        <v>10.378640756400001</v>
      </c>
      <c r="K209" s="3">
        <f t="shared" si="95"/>
        <v>10.369294678199999</v>
      </c>
      <c r="L209" s="3">
        <f t="shared" si="95"/>
        <v>10.364357621299998</v>
      </c>
      <c r="M209" s="3">
        <f t="shared" si="95"/>
        <v>10.368545702999999</v>
      </c>
      <c r="N209" s="3">
        <f t="shared" si="95"/>
        <v>10.373439022399999</v>
      </c>
      <c r="O209" s="3">
        <f t="shared" si="95"/>
        <v>10.378245216799998</v>
      </c>
      <c r="P209" s="3">
        <f t="shared" si="95"/>
        <v>10.382846671300001</v>
      </c>
      <c r="Q209" s="3">
        <f t="shared" si="95"/>
        <v>10.387238838400002</v>
      </c>
      <c r="R209" s="3">
        <f t="shared" si="95"/>
        <v>10.391446323299999</v>
      </c>
      <c r="S209" s="3">
        <f t="shared" si="95"/>
        <v>10.395502876800002</v>
      </c>
      <c r="T209" s="3">
        <f t="shared" si="95"/>
        <v>10.399441912799999</v>
      </c>
      <c r="U209" s="3">
        <f t="shared" si="95"/>
        <v>10.403291434700002</v>
      </c>
      <c r="V209" s="3">
        <f t="shared" si="95"/>
        <v>10.407072468099999</v>
      </c>
      <c r="W209" s="3">
        <f t="shared" si="95"/>
        <v>10.4068983055</v>
      </c>
      <c r="X209" s="3">
        <f t="shared" si="95"/>
        <v>10.4076569742</v>
      </c>
      <c r="Y209" s="3">
        <f t="shared" si="95"/>
        <v>10.409373978999998</v>
      </c>
      <c r="Z209" s="3">
        <f t="shared" si="95"/>
        <v>10.411785097199999</v>
      </c>
      <c r="AA209" s="3">
        <f t="shared" si="95"/>
        <v>10.414672555799999</v>
      </c>
      <c r="AB209" s="3">
        <f t="shared" si="95"/>
        <v>10.407294024199999</v>
      </c>
      <c r="AC209" s="3">
        <f t="shared" si="95"/>
        <v>10.3978541005</v>
      </c>
      <c r="AD209" s="3">
        <f t="shared" si="95"/>
        <v>10.387579940299998</v>
      </c>
      <c r="AE209" s="3">
        <f t="shared" si="95"/>
        <v>10.3769607226</v>
      </c>
      <c r="AF209" s="3">
        <f t="shared" si="95"/>
        <v>10.366277118900001</v>
      </c>
      <c r="AG209" s="3">
        <f t="shared" si="95"/>
        <v>10.355720282600002</v>
      </c>
      <c r="AH209" s="3">
        <f t="shared" si="95"/>
        <v>10.345425434200001</v>
      </c>
      <c r="AI209" s="3">
        <f t="shared" si="95"/>
        <v>10.335484966500001</v>
      </c>
      <c r="AJ209" s="3">
        <f t="shared" si="95"/>
        <v>10.325956570599999</v>
      </c>
      <c r="AK209" s="3">
        <f t="shared" si="95"/>
        <v>10.316869981099998</v>
      </c>
      <c r="AL209" s="3">
        <f t="shared" si="95"/>
        <v>10.308233372099998</v>
      </c>
      <c r="AM209" s="3">
        <f t="shared" ref="AM209:BC209" si="96">AM214-AM210</f>
        <v>10.297802944000001</v>
      </c>
      <c r="AN209" s="3">
        <f t="shared" si="96"/>
        <v>10.286134754299997</v>
      </c>
      <c r="AO209" s="3">
        <f t="shared" si="96"/>
        <v>10.273856092199999</v>
      </c>
      <c r="AP209" s="3">
        <f t="shared" si="96"/>
        <v>10.261438654999999</v>
      </c>
      <c r="AQ209" s="3">
        <f t="shared" si="96"/>
        <v>10.249167246399999</v>
      </c>
      <c r="AR209" s="3">
        <f t="shared" si="96"/>
        <v>10.2369018395</v>
      </c>
      <c r="AS209" s="3">
        <f t="shared" si="96"/>
        <v>10.2245626397</v>
      </c>
      <c r="AT209" s="3">
        <f t="shared" si="96"/>
        <v>10.212160064500001</v>
      </c>
      <c r="AU209" s="3">
        <f t="shared" si="96"/>
        <v>10.199785179900001</v>
      </c>
      <c r="AV209" s="3">
        <f t="shared" si="96"/>
        <v>10.187576633799999</v>
      </c>
      <c r="AW209" s="3">
        <f t="shared" si="96"/>
        <v>10.175855881099999</v>
      </c>
      <c r="AX209" s="3">
        <f t="shared" si="96"/>
        <v>10.164689605000001</v>
      </c>
      <c r="AY209" s="3">
        <f t="shared" si="96"/>
        <v>10.154101598800001</v>
      </c>
      <c r="AZ209" s="3">
        <f t="shared" si="96"/>
        <v>10.144086343600001</v>
      </c>
      <c r="BA209" s="3">
        <f t="shared" si="96"/>
        <v>10.134615543700001</v>
      </c>
      <c r="BB209" s="3">
        <f t="shared" si="96"/>
        <v>10.1385891352</v>
      </c>
      <c r="BC209" s="3">
        <f t="shared" si="96"/>
        <v>10.1267563557</v>
      </c>
      <c r="BD209" s="3">
        <f t="shared" ref="BD209:BF209" si="97">BD214-BD210</f>
        <v>10.115161729</v>
      </c>
      <c r="BE209" s="3">
        <f t="shared" si="97"/>
        <v>10.1038212526</v>
      </c>
      <c r="BF209" s="3">
        <f t="shared" si="97"/>
        <v>10.092751701099999</v>
      </c>
    </row>
    <row r="210" spans="1:58" x14ac:dyDescent="0.35">
      <c r="B210" t="s">
        <v>36</v>
      </c>
      <c r="C210" s="3">
        <f>C212+C213</f>
        <v>7.4067106864000003</v>
      </c>
      <c r="D210" s="3">
        <f t="shared" ref="D210:AL210" si="98">D212+D213</f>
        <v>7.3839092987999999</v>
      </c>
      <c r="E210" s="3">
        <f t="shared" si="98"/>
        <v>7.3421374751000004</v>
      </c>
      <c r="F210" s="3">
        <f t="shared" si="98"/>
        <v>7.2969496144999999</v>
      </c>
      <c r="G210" s="3">
        <f t="shared" si="98"/>
        <v>7.2579323103000002</v>
      </c>
      <c r="H210" s="3">
        <f t="shared" si="98"/>
        <v>7.2288307753999996</v>
      </c>
      <c r="I210" s="3">
        <f t="shared" si="98"/>
        <v>7.2076577118999996</v>
      </c>
      <c r="J210" s="3">
        <f t="shared" si="98"/>
        <v>7.1934756336000003</v>
      </c>
      <c r="K210" s="3">
        <f t="shared" si="98"/>
        <v>7.1847910818000003</v>
      </c>
      <c r="L210" s="3">
        <f t="shared" si="98"/>
        <v>7.1800745686999994</v>
      </c>
      <c r="M210" s="3">
        <f t="shared" si="98"/>
        <v>7.1816899569999997</v>
      </c>
      <c r="N210" s="3">
        <f t="shared" si="98"/>
        <v>7.1841112375999998</v>
      </c>
      <c r="O210" s="3">
        <f t="shared" si="98"/>
        <v>7.1867128832000002</v>
      </c>
      <c r="P210" s="3">
        <f t="shared" si="98"/>
        <v>7.1892593186999996</v>
      </c>
      <c r="Q210" s="3">
        <f t="shared" si="98"/>
        <v>7.1916319715999997</v>
      </c>
      <c r="R210" s="3">
        <f t="shared" si="98"/>
        <v>7.1937718167</v>
      </c>
      <c r="S210" s="3">
        <f t="shared" si="98"/>
        <v>7.1956562931999999</v>
      </c>
      <c r="T210" s="3">
        <f t="shared" si="98"/>
        <v>7.1972842472000007</v>
      </c>
      <c r="U210" s="3">
        <f t="shared" si="98"/>
        <v>7.1986653353000003</v>
      </c>
      <c r="V210" s="3">
        <f t="shared" si="98"/>
        <v>7.1998131818999997</v>
      </c>
      <c r="W210" s="3">
        <f t="shared" si="98"/>
        <v>7.1983362245000002</v>
      </c>
      <c r="X210" s="3">
        <f t="shared" si="98"/>
        <v>7.1972514358000002</v>
      </c>
      <c r="Y210" s="3">
        <f t="shared" si="98"/>
        <v>7.1965262010000002</v>
      </c>
      <c r="Z210" s="3">
        <f t="shared" si="98"/>
        <v>7.1960231228000007</v>
      </c>
      <c r="AA210" s="3">
        <f t="shared" si="98"/>
        <v>7.1956374242000001</v>
      </c>
      <c r="AB210" s="3">
        <f t="shared" si="98"/>
        <v>7.1887601457999999</v>
      </c>
      <c r="AC210" s="3">
        <f t="shared" si="98"/>
        <v>7.1804629195</v>
      </c>
      <c r="AD210" s="3">
        <f t="shared" si="98"/>
        <v>7.1713602996999999</v>
      </c>
      <c r="AE210" s="3">
        <f t="shared" si="98"/>
        <v>7.1617414773999997</v>
      </c>
      <c r="AF210" s="3">
        <f t="shared" si="98"/>
        <v>7.1518054610999995</v>
      </c>
      <c r="AG210" s="3">
        <f t="shared" si="98"/>
        <v>7.1417065873999999</v>
      </c>
      <c r="AH210" s="3">
        <f t="shared" si="98"/>
        <v>7.1315644458000005</v>
      </c>
      <c r="AI210" s="3">
        <f t="shared" si="98"/>
        <v>7.1214678934999993</v>
      </c>
      <c r="AJ210" s="3">
        <f t="shared" si="98"/>
        <v>7.1114790094</v>
      </c>
      <c r="AK210" s="3">
        <f t="shared" si="98"/>
        <v>7.1016377089000002</v>
      </c>
      <c r="AL210" s="3">
        <f t="shared" si="98"/>
        <v>7.0919666379000006</v>
      </c>
      <c r="AM210" s="3">
        <f t="shared" ref="AM210:BC210" si="99">AM212+AM213</f>
        <v>7.0810940459999996</v>
      </c>
      <c r="AN210" s="3">
        <f t="shared" si="99"/>
        <v>7.0693777757000005</v>
      </c>
      <c r="AO210" s="3">
        <f t="shared" si="99"/>
        <v>7.0571438178000001</v>
      </c>
      <c r="AP210" s="3">
        <f t="shared" si="99"/>
        <v>7.0446274449999997</v>
      </c>
      <c r="AQ210" s="3">
        <f t="shared" si="99"/>
        <v>7.0319907335999998</v>
      </c>
      <c r="AR210" s="3">
        <f t="shared" si="99"/>
        <v>7.0191776805000003</v>
      </c>
      <c r="AS210" s="3">
        <f t="shared" si="99"/>
        <v>7.0062114902999992</v>
      </c>
      <c r="AT210" s="3">
        <f t="shared" si="99"/>
        <v>6.9931737254999993</v>
      </c>
      <c r="AU210" s="3">
        <f t="shared" si="99"/>
        <v>6.9801656201000002</v>
      </c>
      <c r="AV210" s="3">
        <f t="shared" si="99"/>
        <v>6.9672822461999999</v>
      </c>
      <c r="AW210" s="3">
        <f t="shared" si="99"/>
        <v>6.9547090189</v>
      </c>
      <c r="AX210" s="3">
        <f t="shared" si="99"/>
        <v>6.9424668450000002</v>
      </c>
      <c r="AY210" s="3">
        <f t="shared" si="99"/>
        <v>6.9305562611999996</v>
      </c>
      <c r="AZ210" s="3">
        <f t="shared" si="99"/>
        <v>6.9189664863999996</v>
      </c>
      <c r="BA210" s="3">
        <f t="shared" si="99"/>
        <v>6.9076789063000001</v>
      </c>
      <c r="BB210" s="3">
        <f t="shared" si="99"/>
        <v>6.9228504148000001</v>
      </c>
      <c r="BC210" s="3">
        <f t="shared" si="99"/>
        <v>6.9103832043000004</v>
      </c>
      <c r="BD210" s="3">
        <f t="shared" ref="BD210:BF210" si="100">BD212+BD213</f>
        <v>6.8980857909999997</v>
      </c>
      <c r="BE210" s="3">
        <f t="shared" si="100"/>
        <v>6.8859729474</v>
      </c>
      <c r="BF210" s="3">
        <f t="shared" si="100"/>
        <v>6.8740612289000005</v>
      </c>
    </row>
    <row r="211" spans="1:58" x14ac:dyDescent="0.35">
      <c r="B211" t="s">
        <v>33</v>
      </c>
      <c r="C211" s="3">
        <f>[1]Results!F1502</f>
        <v>86.955706300000003</v>
      </c>
      <c r="D211" s="3">
        <f>[1]Results!G1502</f>
        <v>86.768654400000003</v>
      </c>
      <c r="E211" s="3">
        <f>[1]Results!H1502</f>
        <v>86.381472860000002</v>
      </c>
      <c r="F211" s="3">
        <f>[1]Results!I1502</f>
        <v>85.908332549999997</v>
      </c>
      <c r="G211" s="3">
        <f>[1]Results!J1502</f>
        <v>85.429697259999998</v>
      </c>
      <c r="H211" s="3">
        <f>[1]Results!K1502</f>
        <v>84.98595195</v>
      </c>
      <c r="I211" s="3">
        <f>[1]Results!L1502</f>
        <v>84.568574130000002</v>
      </c>
      <c r="J211" s="3">
        <f>[1]Results!M1502</f>
        <v>84.183383039999995</v>
      </c>
      <c r="K211" s="3">
        <f>[1]Results!N1502</f>
        <v>83.831205479999994</v>
      </c>
      <c r="L211" s="3">
        <f>[1]Results!O1502</f>
        <v>83.508552120000004</v>
      </c>
      <c r="M211" s="3">
        <f>[1]Results!P1502</f>
        <v>83.253738979999994</v>
      </c>
      <c r="N211" s="3">
        <f>[1]Results!Q1502</f>
        <v>83.011913579999998</v>
      </c>
      <c r="O211" s="3">
        <f>[1]Results!R1502</f>
        <v>82.772458049999997</v>
      </c>
      <c r="P211" s="3">
        <f>[1]Results!S1502</f>
        <v>82.533652720000006</v>
      </c>
      <c r="Q211" s="3">
        <f>[1]Results!T1502</f>
        <v>82.295913949999999</v>
      </c>
      <c r="R211" s="3">
        <f>[1]Results!U1502</f>
        <v>82.060230970000006</v>
      </c>
      <c r="S211" s="3">
        <f>[1]Results!V1502</f>
        <v>81.827599230000004</v>
      </c>
      <c r="T211" s="3">
        <f>[1]Results!W1502</f>
        <v>81.598804869999995</v>
      </c>
      <c r="U211" s="3">
        <f>[1]Results!X1502</f>
        <v>81.37438496</v>
      </c>
      <c r="V211" s="3">
        <f>[1]Results!Y1502</f>
        <v>81.154673750000001</v>
      </c>
      <c r="W211" s="3">
        <f>[1]Results!Z1502</f>
        <v>80.911742340000004</v>
      </c>
      <c r="X211" s="3">
        <f>[1]Results!AA1502</f>
        <v>80.677734999999998</v>
      </c>
      <c r="Y211" s="3">
        <f>[1]Results!AB1502</f>
        <v>80.456642579999993</v>
      </c>
      <c r="Z211" s="3">
        <f>[1]Results!AC1502</f>
        <v>80.247503769999994</v>
      </c>
      <c r="AA211" s="3">
        <f>[1]Results!AD1502</f>
        <v>80.048735629999996</v>
      </c>
      <c r="AB211" s="3">
        <f>[1]Results!AE1502</f>
        <v>79.783288089999999</v>
      </c>
      <c r="AC211" s="3">
        <f>[1]Results!AF1502</f>
        <v>79.501063430000002</v>
      </c>
      <c r="AD211" s="3">
        <f>[1]Results!AG1502</f>
        <v>79.216770479999994</v>
      </c>
      <c r="AE211" s="3">
        <f>[1]Results!AH1502</f>
        <v>78.936853220000003</v>
      </c>
      <c r="AF211" s="3">
        <f>[1]Results!AI1502</f>
        <v>78.664705220000002</v>
      </c>
      <c r="AG211" s="3">
        <f>[1]Results!AJ1502</f>
        <v>78.402299769999999</v>
      </c>
      <c r="AH211" s="3">
        <f>[1]Results!AK1502</f>
        <v>78.150802100000007</v>
      </c>
      <c r="AI211" s="3">
        <f>[1]Results!AL1502</f>
        <v>77.910840390000004</v>
      </c>
      <c r="AJ211" s="3">
        <f>[1]Results!AM1502</f>
        <v>77.682649659999996</v>
      </c>
      <c r="AK211" s="3">
        <f>[1]Results!AN1502</f>
        <v>77.466167409999997</v>
      </c>
      <c r="AL211" s="3">
        <f>[1]Results!AO1502</f>
        <v>77.261111209999996</v>
      </c>
      <c r="AM211" s="3">
        <f>[1]Results!AP1502</f>
        <v>77.051297360000007</v>
      </c>
      <c r="AN211" s="3">
        <f>[1]Results!AQ1502</f>
        <v>76.838417219999997</v>
      </c>
      <c r="AO211" s="3">
        <f>[1]Results!AR1502</f>
        <v>76.627224530000007</v>
      </c>
      <c r="AP211" s="3">
        <f>[1]Results!AS1502</f>
        <v>76.42219523</v>
      </c>
      <c r="AQ211" s="3">
        <f>[1]Results!AT1502</f>
        <v>76.226340219999997</v>
      </c>
      <c r="AR211" s="3">
        <f>[1]Results!AU1502</f>
        <v>76.038104020000006</v>
      </c>
      <c r="AS211" s="3">
        <f>[1]Results!AV1502</f>
        <v>75.854812030000005</v>
      </c>
      <c r="AT211" s="3">
        <f>[1]Results!AW1502</f>
        <v>75.674697269999996</v>
      </c>
      <c r="AU211" s="3">
        <f>[1]Results!AX1502</f>
        <v>75.497809680000003</v>
      </c>
      <c r="AV211" s="3">
        <f>[1]Results!AY1502</f>
        <v>75.325670130000006</v>
      </c>
      <c r="AW211" s="3">
        <f>[1]Results!AZ1502</f>
        <v>75.161588170000002</v>
      </c>
      <c r="AX211" s="3">
        <f>[1]Results!BA1502</f>
        <v>75.00717831</v>
      </c>
      <c r="AY211" s="3">
        <f>[1]Results!BB1502</f>
        <v>74.863220709999993</v>
      </c>
      <c r="AZ211" s="3">
        <f>[1]Results!BC1502</f>
        <v>74.729824649999998</v>
      </c>
      <c r="BA211" s="3">
        <f>[1]Results!BD1502</f>
        <v>74.606602339999995</v>
      </c>
      <c r="BB211" s="3">
        <f>[1]Results!BE1502</f>
        <v>71.369933189999998</v>
      </c>
      <c r="BC211" s="3">
        <f>[1]Results!BF1502</f>
        <v>71.162944929999995</v>
      </c>
      <c r="BD211" s="3">
        <f>[1]Results!BG1502</f>
        <v>70.960819119999996</v>
      </c>
      <c r="BE211" s="3">
        <f>[1]Results!BH1502</f>
        <v>70.76353349</v>
      </c>
      <c r="BF211" s="3">
        <f>[1]Results!BI1502</f>
        <v>70.57103103</v>
      </c>
    </row>
    <row r="212" spans="1:58" x14ac:dyDescent="0.35">
      <c r="B212" t="s">
        <v>35</v>
      </c>
      <c r="C212" s="3">
        <f>[1]Results!F1499</f>
        <v>6.686560815</v>
      </c>
      <c r="D212" s="3">
        <f>[1]Results!G1499</f>
        <v>6.6642731450000001</v>
      </c>
      <c r="E212" s="3">
        <f>[1]Results!H1499</f>
        <v>6.6238980620000003</v>
      </c>
      <c r="F212" s="3">
        <f>[1]Results!I1499</f>
        <v>6.5803824390000001</v>
      </c>
      <c r="G212" s="3">
        <f>[1]Results!J1499</f>
        <v>6.542913456</v>
      </c>
      <c r="H212" s="3">
        <f>[1]Results!K1499</f>
        <v>6.5150541979999996</v>
      </c>
      <c r="I212" s="3">
        <f>[1]Results!L1499</f>
        <v>6.494980999</v>
      </c>
      <c r="J212" s="3">
        <f>[1]Results!M1499</f>
        <v>6.4816759480000004</v>
      </c>
      <c r="K212" s="3">
        <f>[1]Results!N1499</f>
        <v>6.4736162190000002</v>
      </c>
      <c r="L212" s="3">
        <f>[1]Results!O1499</f>
        <v>6.4692921009999997</v>
      </c>
      <c r="M212" s="3">
        <f>[1]Results!P1499</f>
        <v>6.4706469289999999</v>
      </c>
      <c r="N212" s="3">
        <f>[1]Results!Q1499</f>
        <v>6.4727627569999999</v>
      </c>
      <c r="O212" s="3">
        <f>[1]Results!R1499</f>
        <v>6.4750842080000002</v>
      </c>
      <c r="P212" s="3">
        <f>[1]Results!S1499</f>
        <v>6.47737725</v>
      </c>
      <c r="Q212" s="3">
        <f>[1]Results!T1499</f>
        <v>6.4795150750000001</v>
      </c>
      <c r="R212" s="3">
        <f>[1]Results!U1499</f>
        <v>6.481430445</v>
      </c>
      <c r="S212" s="3">
        <f>[1]Results!V1499</f>
        <v>6.4830948209999999</v>
      </c>
      <c r="T212" s="3">
        <f>[1]Results!W1499</f>
        <v>6.4845035270000002</v>
      </c>
      <c r="U212" s="3">
        <f>[1]Results!X1499</f>
        <v>6.485664667</v>
      </c>
      <c r="V212" s="3">
        <f>[1]Results!Y1499</f>
        <v>6.486591582</v>
      </c>
      <c r="W212" s="3">
        <f>[1]Results!Z1499</f>
        <v>6.4851940450000001</v>
      </c>
      <c r="X212" s="3">
        <f>[1]Results!AA1499</f>
        <v>6.4841235660000001</v>
      </c>
      <c r="Y212" s="3">
        <f>[1]Results!AB1499</f>
        <v>6.4833299000000002</v>
      </c>
      <c r="Z212" s="3">
        <f>[1]Results!AC1499</f>
        <v>6.4826954700000003</v>
      </c>
      <c r="AA212" s="3">
        <f>[1]Results!AD1499</f>
        <v>6.4821348490000004</v>
      </c>
      <c r="AB212" s="3">
        <f>[1]Results!AE1499</f>
        <v>6.475866452</v>
      </c>
      <c r="AC212" s="3">
        <f>[1]Results!AF1499</f>
        <v>6.4683608220000002</v>
      </c>
      <c r="AD212" s="3">
        <f>[1]Results!AG1499</f>
        <v>6.4601073629999997</v>
      </c>
      <c r="AE212" s="3">
        <f>[1]Results!AH1499</f>
        <v>6.4513471390000001</v>
      </c>
      <c r="AF212" s="3">
        <f>[1]Results!AI1499</f>
        <v>6.4422550019999996</v>
      </c>
      <c r="AG212" s="3">
        <f>[1]Results!AJ1499</f>
        <v>6.4329711710000002</v>
      </c>
      <c r="AH212" s="3">
        <f>[1]Results!AK1499</f>
        <v>6.4236063960000003</v>
      </c>
      <c r="AI212" s="3">
        <f>[1]Results!AL1499</f>
        <v>6.4142439739999997</v>
      </c>
      <c r="AJ212" s="3">
        <f>[1]Results!AM1499</f>
        <v>6.4049427330000004</v>
      </c>
      <c r="AK212" s="3">
        <f>[1]Results!AN1499</f>
        <v>6.3957410970000002</v>
      </c>
      <c r="AL212" s="3">
        <f>[1]Results!AO1499</f>
        <v>6.3866616010000001</v>
      </c>
      <c r="AM212" s="3">
        <f>[1]Results!AP1499</f>
        <v>6.3765035049999996</v>
      </c>
      <c r="AN212" s="3">
        <f>[1]Results!AQ1499</f>
        <v>6.3655886910000001</v>
      </c>
      <c r="AO212" s="3">
        <f>[1]Results!AR1499</f>
        <v>6.3541968940000002</v>
      </c>
      <c r="AP212" s="3">
        <f>[1]Results!AS1499</f>
        <v>6.342528615</v>
      </c>
      <c r="AQ212" s="3">
        <f>[1]Results!AT1499</f>
        <v>6.33072401</v>
      </c>
      <c r="AR212" s="3">
        <f>[1]Results!AU1499</f>
        <v>6.3187512190000001</v>
      </c>
      <c r="AS212" s="3">
        <f>[1]Results!AV1499</f>
        <v>6.3066522239999996</v>
      </c>
      <c r="AT212" s="3">
        <f>[1]Results!AW1499</f>
        <v>6.2945142799999996</v>
      </c>
      <c r="AU212" s="3">
        <f>[1]Results!AX1499</f>
        <v>6.282428371</v>
      </c>
      <c r="AV212" s="3">
        <f>[1]Results!AY1499</f>
        <v>6.2704677609999999</v>
      </c>
      <c r="AW212" s="3">
        <f>[1]Results!AZ1499</f>
        <v>6.2587793820000002</v>
      </c>
      <c r="AX212" s="3">
        <f>[1]Results!BA1499</f>
        <v>6.2473660249999998</v>
      </c>
      <c r="AY212" s="3">
        <f>[1]Results!BB1499</f>
        <v>6.236217957</v>
      </c>
      <c r="AZ212" s="3">
        <f>[1]Results!BC1499</f>
        <v>6.2253205759999997</v>
      </c>
      <c r="BA212" s="3">
        <f>[1]Results!BD1499</f>
        <v>6.2146564209999999</v>
      </c>
      <c r="BB212" s="3">
        <f>[1]Results!BE1499</f>
        <v>6.2314564189999997</v>
      </c>
      <c r="BC212" s="3">
        <f>[1]Results!BF1499</f>
        <v>6.21968941</v>
      </c>
      <c r="BD212" s="3">
        <f>[1]Results!BG1499</f>
        <v>6.2080740509999996</v>
      </c>
      <c r="BE212" s="3">
        <f>[1]Results!BH1499</f>
        <v>6.1966238159999998</v>
      </c>
      <c r="BF212" s="3">
        <f>[1]Results!BI1499</f>
        <v>6.1853541830000003</v>
      </c>
    </row>
    <row r="213" spans="1:58" x14ac:dyDescent="0.35">
      <c r="B213" t="s">
        <v>34</v>
      </c>
      <c r="C213" s="3">
        <f>[1]Results!F1501</f>
        <v>0.72014987139999997</v>
      </c>
      <c r="D213" s="3">
        <f>[1]Results!G1501</f>
        <v>0.71963615380000001</v>
      </c>
      <c r="E213" s="3">
        <f>[1]Results!H1501</f>
        <v>0.71823941309999995</v>
      </c>
      <c r="F213" s="3">
        <f>[1]Results!I1501</f>
        <v>0.71656717550000004</v>
      </c>
      <c r="G213" s="3">
        <f>[1]Results!J1501</f>
        <v>0.71501885430000001</v>
      </c>
      <c r="H213" s="3">
        <f>[1]Results!K1501</f>
        <v>0.7137765774</v>
      </c>
      <c r="I213" s="3">
        <f>[1]Results!L1501</f>
        <v>0.71267671290000001</v>
      </c>
      <c r="J213" s="3">
        <f>[1]Results!M1501</f>
        <v>0.71179968559999995</v>
      </c>
      <c r="K213" s="3">
        <f>[1]Results!N1501</f>
        <v>0.71117486279999997</v>
      </c>
      <c r="L213" s="3">
        <f>[1]Results!O1501</f>
        <v>0.71078246769999998</v>
      </c>
      <c r="M213" s="3">
        <f>[1]Results!P1501</f>
        <v>0.71104302799999997</v>
      </c>
      <c r="N213" s="3">
        <f>[1]Results!Q1501</f>
        <v>0.7113484806</v>
      </c>
      <c r="O213" s="3">
        <f>[1]Results!R1501</f>
        <v>0.71162867519999995</v>
      </c>
      <c r="P213" s="3">
        <f>[1]Results!S1501</f>
        <v>0.71188206870000004</v>
      </c>
      <c r="Q213" s="3">
        <f>[1]Results!T1501</f>
        <v>0.71211689659999999</v>
      </c>
      <c r="R213" s="3">
        <f>[1]Results!U1501</f>
        <v>0.7123413717</v>
      </c>
      <c r="S213" s="3">
        <f>[1]Results!V1501</f>
        <v>0.71256147219999999</v>
      </c>
      <c r="T213" s="3">
        <f>[1]Results!W1501</f>
        <v>0.71278072020000005</v>
      </c>
      <c r="U213" s="3">
        <f>[1]Results!X1501</f>
        <v>0.71300066829999997</v>
      </c>
      <c r="V213" s="3">
        <f>[1]Results!Y1501</f>
        <v>0.7132215999</v>
      </c>
      <c r="W213" s="3">
        <f>[1]Results!Z1501</f>
        <v>0.71314217950000003</v>
      </c>
      <c r="X213" s="3">
        <f>[1]Results!AA1501</f>
        <v>0.71312786979999998</v>
      </c>
      <c r="Y213" s="3">
        <f>[1]Results!AB1501</f>
        <v>0.71319630099999998</v>
      </c>
      <c r="Z213" s="3">
        <f>[1]Results!AC1501</f>
        <v>0.71332765279999999</v>
      </c>
      <c r="AA213" s="3">
        <f>[1]Results!AD1501</f>
        <v>0.71350257520000004</v>
      </c>
      <c r="AB213" s="3">
        <f>[1]Results!AE1501</f>
        <v>0.71289369380000001</v>
      </c>
      <c r="AC213" s="3">
        <f>[1]Results!AF1501</f>
        <v>0.71210209749999998</v>
      </c>
      <c r="AD213" s="3">
        <f>[1]Results!AG1501</f>
        <v>0.7112529367</v>
      </c>
      <c r="AE213" s="3">
        <f>[1]Results!AH1501</f>
        <v>0.71039433839999999</v>
      </c>
      <c r="AF213" s="3">
        <f>[1]Results!AI1501</f>
        <v>0.70955045910000003</v>
      </c>
      <c r="AG213" s="3">
        <f>[1]Results!AJ1501</f>
        <v>0.70873541640000004</v>
      </c>
      <c r="AH213" s="3">
        <f>[1]Results!AK1501</f>
        <v>0.70795804979999999</v>
      </c>
      <c r="AI213" s="3">
        <f>[1]Results!AL1501</f>
        <v>0.70722391949999996</v>
      </c>
      <c r="AJ213" s="3">
        <f>[1]Results!AM1501</f>
        <v>0.70653627640000005</v>
      </c>
      <c r="AK213" s="3">
        <f>[1]Results!AN1501</f>
        <v>0.70589661189999997</v>
      </c>
      <c r="AL213" s="3">
        <f>[1]Results!AO1501</f>
        <v>0.70530503690000002</v>
      </c>
      <c r="AM213" s="3">
        <f>[1]Results!AP1501</f>
        <v>0.70459054099999996</v>
      </c>
      <c r="AN213" s="3">
        <f>[1]Results!AQ1501</f>
        <v>0.70378908470000001</v>
      </c>
      <c r="AO213" s="3">
        <f>[1]Results!AR1501</f>
        <v>0.70294692380000001</v>
      </c>
      <c r="AP213" s="3">
        <f>[1]Results!AS1501</f>
        <v>0.70209882999999995</v>
      </c>
      <c r="AQ213" s="3">
        <f>[1]Results!AT1501</f>
        <v>0.70126672359999997</v>
      </c>
      <c r="AR213" s="3">
        <f>[1]Results!AU1501</f>
        <v>0.70042646149999999</v>
      </c>
      <c r="AS213" s="3">
        <f>[1]Results!AV1501</f>
        <v>0.69955926629999998</v>
      </c>
      <c r="AT213" s="3">
        <f>[1]Results!AW1501</f>
        <v>0.69865944550000003</v>
      </c>
      <c r="AU213" s="3">
        <f>[1]Results!AX1501</f>
        <v>0.69773724910000001</v>
      </c>
      <c r="AV213" s="3">
        <f>[1]Results!AY1501</f>
        <v>0.6968144852</v>
      </c>
      <c r="AW213" s="3">
        <f>[1]Results!AZ1501</f>
        <v>0.69592963689999998</v>
      </c>
      <c r="AX213" s="3">
        <f>[1]Results!BA1501</f>
        <v>0.69510081999999995</v>
      </c>
      <c r="AY213" s="3">
        <f>[1]Results!BB1501</f>
        <v>0.69433830419999998</v>
      </c>
      <c r="AZ213" s="3">
        <f>[1]Results!BC1501</f>
        <v>0.69364591040000001</v>
      </c>
      <c r="BA213" s="3">
        <f>[1]Results!BD1501</f>
        <v>0.69302248529999999</v>
      </c>
      <c r="BB213" s="3">
        <f>[1]Results!BE1501</f>
        <v>0.69139399580000005</v>
      </c>
      <c r="BC213" s="3">
        <f>[1]Results!BF1501</f>
        <v>0.6906937943</v>
      </c>
      <c r="BD213" s="3">
        <f>[1]Results!BG1501</f>
        <v>0.69001173999999998</v>
      </c>
      <c r="BE213" s="3">
        <f>[1]Results!BH1501</f>
        <v>0.68934913139999998</v>
      </c>
      <c r="BF213" s="3">
        <f>[1]Results!BI1501</f>
        <v>0.68870704589999998</v>
      </c>
    </row>
    <row r="214" spans="1:58" x14ac:dyDescent="0.35">
      <c r="B214" t="s">
        <v>37</v>
      </c>
      <c r="C214" s="3">
        <f>[1]Results!F1497</f>
        <v>17.994748229999999</v>
      </c>
      <c r="D214" s="3">
        <f>[1]Results!G1497</f>
        <v>17.951708199999999</v>
      </c>
      <c r="E214" s="3">
        <f>[1]Results!H1497</f>
        <v>17.8695339</v>
      </c>
      <c r="F214" s="3">
        <f>[1]Results!I1497</f>
        <v>17.77981565</v>
      </c>
      <c r="G214" s="3">
        <f>[1]Results!J1497</f>
        <v>17.702133199999999</v>
      </c>
      <c r="H214" s="3">
        <f>[1]Results!K1497</f>
        <v>17.644274889999998</v>
      </c>
      <c r="I214" s="3">
        <f>[1]Results!L1497</f>
        <v>17.60134747</v>
      </c>
      <c r="J214" s="3">
        <f>[1]Results!M1497</f>
        <v>17.572116390000001</v>
      </c>
      <c r="K214" s="3">
        <f>[1]Results!N1497</f>
        <v>17.55408576</v>
      </c>
      <c r="L214" s="3">
        <f>[1]Results!O1497</f>
        <v>17.544432189999998</v>
      </c>
      <c r="M214" s="3">
        <f>[1]Results!P1497</f>
        <v>17.550235659999998</v>
      </c>
      <c r="N214" s="3">
        <f>[1]Results!Q1497</f>
        <v>17.557550259999999</v>
      </c>
      <c r="O214" s="3">
        <f>[1]Results!R1497</f>
        <v>17.564958099999998</v>
      </c>
      <c r="P214" s="3">
        <f>[1]Results!S1497</f>
        <v>17.572105990000001</v>
      </c>
      <c r="Q214" s="3">
        <f>[1]Results!T1497</f>
        <v>17.578870810000002</v>
      </c>
      <c r="R214" s="3">
        <f>[1]Results!U1497</f>
        <v>17.585218139999998</v>
      </c>
      <c r="S214" s="3">
        <f>[1]Results!V1497</f>
        <v>17.591159170000001</v>
      </c>
      <c r="T214" s="3">
        <f>[1]Results!W1497</f>
        <v>17.596726159999999</v>
      </c>
      <c r="U214" s="3">
        <f>[1]Results!X1497</f>
        <v>17.601956770000001</v>
      </c>
      <c r="V214" s="3">
        <f>[1]Results!Y1497</f>
        <v>17.606885649999999</v>
      </c>
      <c r="W214" s="3">
        <f>[1]Results!Z1497</f>
        <v>17.605234530000001</v>
      </c>
      <c r="X214" s="3">
        <f>[1]Results!AA1497</f>
        <v>17.60490841</v>
      </c>
      <c r="Y214" s="3">
        <f>[1]Results!AB1497</f>
        <v>17.605900179999999</v>
      </c>
      <c r="Z214" s="3">
        <f>[1]Results!AC1497</f>
        <v>17.607808219999999</v>
      </c>
      <c r="AA214" s="3">
        <f>[1]Results!AD1497</f>
        <v>17.61030998</v>
      </c>
      <c r="AB214" s="3">
        <f>[1]Results!AE1497</f>
        <v>17.596054169999999</v>
      </c>
      <c r="AC214" s="3">
        <f>[1]Results!AF1497</f>
        <v>17.57831702</v>
      </c>
      <c r="AD214" s="3">
        <f>[1]Results!AG1497</f>
        <v>17.558940239999998</v>
      </c>
      <c r="AE214" s="3">
        <f>[1]Results!AH1497</f>
        <v>17.538702199999999</v>
      </c>
      <c r="AF214" s="3">
        <f>[1]Results!AI1497</f>
        <v>17.518082580000002</v>
      </c>
      <c r="AG214" s="3">
        <f>[1]Results!AJ1497</f>
        <v>17.497426870000002</v>
      </c>
      <c r="AH214" s="3">
        <f>[1]Results!AK1497</f>
        <v>17.476989880000001</v>
      </c>
      <c r="AI214" s="3">
        <f>[1]Results!AL1497</f>
        <v>17.456952860000001</v>
      </c>
      <c r="AJ214" s="3">
        <f>[1]Results!AM1497</f>
        <v>17.437435579999999</v>
      </c>
      <c r="AK214" s="3">
        <f>[1]Results!AN1497</f>
        <v>17.418507689999998</v>
      </c>
      <c r="AL214" s="3">
        <f>[1]Results!AO1497</f>
        <v>17.400200009999999</v>
      </c>
      <c r="AM214" s="3">
        <f>[1]Results!AP1497</f>
        <v>17.378896990000001</v>
      </c>
      <c r="AN214" s="3">
        <f>[1]Results!AQ1497</f>
        <v>17.355512529999999</v>
      </c>
      <c r="AO214" s="3">
        <f>[1]Results!AR1497</f>
        <v>17.330999909999999</v>
      </c>
      <c r="AP214" s="3">
        <f>[1]Results!AS1497</f>
        <v>17.306066099999999</v>
      </c>
      <c r="AQ214" s="3">
        <f>[1]Results!AT1497</f>
        <v>17.28115798</v>
      </c>
      <c r="AR214" s="3">
        <f>[1]Results!AU1497</f>
        <v>17.25607952</v>
      </c>
      <c r="AS214" s="3">
        <f>[1]Results!AV1497</f>
        <v>17.23077413</v>
      </c>
      <c r="AT214" s="3">
        <f>[1]Results!AW1497</f>
        <v>17.205333790000001</v>
      </c>
      <c r="AU214" s="3">
        <f>[1]Results!AX1497</f>
        <v>17.1799508</v>
      </c>
      <c r="AV214" s="3">
        <f>[1]Results!AY1497</f>
        <v>17.154858879999999</v>
      </c>
      <c r="AW214" s="3">
        <f>[1]Results!AZ1497</f>
        <v>17.1305649</v>
      </c>
      <c r="AX214" s="3">
        <f>[1]Results!BA1497</f>
        <v>17.107156450000002</v>
      </c>
      <c r="AY214" s="3">
        <f>[1]Results!BB1497</f>
        <v>17.08465786</v>
      </c>
      <c r="AZ214" s="3">
        <f>[1]Results!BC1497</f>
        <v>17.06305283</v>
      </c>
      <c r="BA214" s="3">
        <f>[1]Results!BD1497</f>
        <v>17.04229445</v>
      </c>
      <c r="BB214" s="3">
        <f>[1]Results!BE1497</f>
        <v>17.061439549999999</v>
      </c>
      <c r="BC214" s="3">
        <f>[1]Results!BF1497</f>
        <v>17.03713956</v>
      </c>
      <c r="BD214" s="3">
        <f>[1]Results!BG1497</f>
        <v>17.01324752</v>
      </c>
      <c r="BE214" s="3">
        <f>[1]Results!BH1497</f>
        <v>16.989794199999999</v>
      </c>
      <c r="BF214" s="3">
        <f>[1]Results!BI1497</f>
        <v>16.96681293</v>
      </c>
    </row>
    <row r="216" spans="1:58" x14ac:dyDescent="0.35">
      <c r="A216" s="12" t="s">
        <v>86</v>
      </c>
      <c r="B216" t="s">
        <v>27</v>
      </c>
      <c r="C216" s="5">
        <f t="shared" ref="C216:AL216" si="101">C192-C204</f>
        <v>1.9688999999998487</v>
      </c>
      <c r="D216" s="5">
        <f t="shared" si="101"/>
        <v>2.6610799999980372</v>
      </c>
      <c r="E216" s="5">
        <f t="shared" si="101"/>
        <v>2.828590000000986</v>
      </c>
      <c r="F216" s="5">
        <f t="shared" si="101"/>
        <v>2.8489899999985937</v>
      </c>
      <c r="G216" s="5">
        <f t="shared" si="101"/>
        <v>2.7762299999994866</v>
      </c>
      <c r="H216" s="5">
        <f t="shared" si="101"/>
        <v>2.5131399999991118</v>
      </c>
      <c r="I216" s="5">
        <f t="shared" si="101"/>
        <v>2.0212499999979627</v>
      </c>
      <c r="J216" s="5">
        <f t="shared" si="101"/>
        <v>1.3101500000011583</v>
      </c>
      <c r="K216" s="5">
        <f t="shared" si="101"/>
        <v>0.42195999999967171</v>
      </c>
      <c r="L216" s="5">
        <f t="shared" si="101"/>
        <v>-0.59115999999994528</v>
      </c>
      <c r="M216" s="5">
        <f t="shared" si="101"/>
        <v>-1.6824999999989814</v>
      </c>
      <c r="N216" s="5">
        <f t="shared" si="101"/>
        <v>-2.8010299999987183</v>
      </c>
      <c r="O216" s="5">
        <f t="shared" si="101"/>
        <v>-3.9362299999993411</v>
      </c>
      <c r="P216" s="5">
        <f t="shared" si="101"/>
        <v>-5.0871399999996356</v>
      </c>
      <c r="Q216" s="5">
        <f t="shared" si="101"/>
        <v>-6.2573599999996077</v>
      </c>
      <c r="R216" s="5">
        <f t="shared" si="101"/>
        <v>-7.4489400000020396</v>
      </c>
      <c r="S216" s="5">
        <f t="shared" si="101"/>
        <v>-8.6400100000028033</v>
      </c>
      <c r="T216" s="5">
        <f t="shared" si="101"/>
        <v>-9.8355800000026647</v>
      </c>
      <c r="U216" s="5">
        <f t="shared" si="101"/>
        <v>-11.037299999999959</v>
      </c>
      <c r="V216" s="5">
        <f t="shared" si="101"/>
        <v>-12.245620000001509</v>
      </c>
      <c r="W216" s="5">
        <f t="shared" si="101"/>
        <v>-13.457480000000942</v>
      </c>
      <c r="X216" s="5">
        <f t="shared" si="101"/>
        <v>-14.67554999999993</v>
      </c>
      <c r="Y216" s="5">
        <f t="shared" si="101"/>
        <v>-15.899720000001253</v>
      </c>
      <c r="Z216" s="5">
        <f t="shared" si="101"/>
        <v>-17.12865999999849</v>
      </c>
      <c r="AA216" s="5">
        <f t="shared" si="101"/>
        <v>-18.36055000000124</v>
      </c>
      <c r="AB216" s="5">
        <f t="shared" si="101"/>
        <v>-19.579879999997502</v>
      </c>
      <c r="AC216" s="5">
        <f t="shared" si="101"/>
        <v>-20.798699999999371</v>
      </c>
      <c r="AD216" s="5">
        <f t="shared" si="101"/>
        <v>-22.013039999998</v>
      </c>
      <c r="AE216" s="5">
        <f t="shared" si="101"/>
        <v>-23.219289999997272</v>
      </c>
      <c r="AF216" s="5">
        <f t="shared" si="101"/>
        <v>-24.4145099999987</v>
      </c>
      <c r="AG216" s="5">
        <f t="shared" si="101"/>
        <v>-25.596619999996619</v>
      </c>
      <c r="AH216" s="5">
        <f t="shared" si="101"/>
        <v>-26.769309999999678</v>
      </c>
      <c r="AI216" s="5">
        <f t="shared" si="101"/>
        <v>-27.929920000002312</v>
      </c>
      <c r="AJ216" s="5">
        <f t="shared" si="101"/>
        <v>-29.076779999999417</v>
      </c>
      <c r="AK216" s="5">
        <f t="shared" si="101"/>
        <v>-30.208679999999731</v>
      </c>
      <c r="AL216" s="5">
        <f t="shared" si="101"/>
        <v>-31.324710000000778</v>
      </c>
      <c r="AM216" s="5">
        <f t="shared" ref="AM216:BC216" si="102">AM192-AM204</f>
        <v>-32.462289999999484</v>
      </c>
      <c r="AN216" s="5">
        <f t="shared" si="102"/>
        <v>-33.601459999998042</v>
      </c>
      <c r="AO216" s="5">
        <f t="shared" si="102"/>
        <v>-34.713850000000093</v>
      </c>
      <c r="AP216" s="5">
        <f t="shared" si="102"/>
        <v>-35.768830000000889</v>
      </c>
      <c r="AQ216" s="5">
        <f t="shared" si="102"/>
        <v>-36.746020000002318</v>
      </c>
      <c r="AR216" s="5">
        <f t="shared" si="102"/>
        <v>-37.924280000002909</v>
      </c>
      <c r="AS216" s="5">
        <f t="shared" si="102"/>
        <v>-39.782259999999951</v>
      </c>
      <c r="AT216" s="5">
        <f t="shared" si="102"/>
        <v>-42.592900000003283</v>
      </c>
      <c r="AU216" s="5">
        <f t="shared" si="102"/>
        <v>-46.380600000000413</v>
      </c>
      <c r="AV216" s="5">
        <f t="shared" si="102"/>
        <v>-51.025050000000192</v>
      </c>
      <c r="AW216" s="5">
        <f t="shared" si="102"/>
        <v>-55.999579999999696</v>
      </c>
      <c r="AX216" s="5">
        <f t="shared" si="102"/>
        <v>-60.529099999999744</v>
      </c>
      <c r="AY216" s="5">
        <f t="shared" si="102"/>
        <v>-64.193449999998847</v>
      </c>
      <c r="AZ216" s="5">
        <f t="shared" si="102"/>
        <v>-66.944139999999607</v>
      </c>
      <c r="BA216" s="5">
        <f t="shared" si="102"/>
        <v>-68.927690000000439</v>
      </c>
      <c r="BB216" s="5">
        <f t="shared" si="102"/>
        <v>43.635760000001028</v>
      </c>
      <c r="BC216" s="5">
        <f t="shared" si="102"/>
        <v>45.909630000001926</v>
      </c>
      <c r="BD216" s="5">
        <f t="shared" ref="BD216:BF216" si="103">BD192-BD204</f>
        <v>48.272320000000036</v>
      </c>
      <c r="BE216" s="5">
        <f t="shared" si="103"/>
        <v>50.7316000000028</v>
      </c>
      <c r="BF216" s="5">
        <f t="shared" si="103"/>
        <v>53.282609999998385</v>
      </c>
    </row>
    <row r="217" spans="1:58" x14ac:dyDescent="0.35">
      <c r="A217" t="s">
        <v>87</v>
      </c>
      <c r="B217" t="s">
        <v>7</v>
      </c>
      <c r="C217" s="5">
        <f t="shared" ref="C217:AL217" si="104">C193-C205</f>
        <v>2.4784923999999364</v>
      </c>
      <c r="D217" s="5">
        <f t="shared" si="104"/>
        <v>4.2247659999999314</v>
      </c>
      <c r="E217" s="5">
        <f t="shared" si="104"/>
        <v>5.5590865000000349</v>
      </c>
      <c r="F217" s="5">
        <f t="shared" si="104"/>
        <v>6.692043300000023</v>
      </c>
      <c r="G217" s="5">
        <f t="shared" si="104"/>
        <v>7.7386258999999882</v>
      </c>
      <c r="H217" s="5">
        <f t="shared" si="104"/>
        <v>8.7576892999999245</v>
      </c>
      <c r="I217" s="5">
        <f t="shared" si="104"/>
        <v>9.7779656000000159</v>
      </c>
      <c r="J217" s="5">
        <f t="shared" si="104"/>
        <v>10.804455500000017</v>
      </c>
      <c r="K217" s="5">
        <f t="shared" si="104"/>
        <v>11.836913600000003</v>
      </c>
      <c r="L217" s="5">
        <f t="shared" si="104"/>
        <v>12.8738697</v>
      </c>
      <c r="M217" s="5">
        <f t="shared" si="104"/>
        <v>13.924343600000043</v>
      </c>
      <c r="N217" s="5">
        <f t="shared" si="104"/>
        <v>15.005992399999968</v>
      </c>
      <c r="O217" s="5">
        <f t="shared" si="104"/>
        <v>16.107029000000011</v>
      </c>
      <c r="P217" s="5">
        <f t="shared" si="104"/>
        <v>17.221607899999981</v>
      </c>
      <c r="Q217" s="5">
        <f t="shared" si="104"/>
        <v>18.34698549999996</v>
      </c>
      <c r="R217" s="5">
        <f t="shared" si="104"/>
        <v>19.481785100000025</v>
      </c>
      <c r="S217" s="5">
        <f t="shared" si="104"/>
        <v>20.65674869999998</v>
      </c>
      <c r="T217" s="5">
        <f t="shared" si="104"/>
        <v>21.859455799999978</v>
      </c>
      <c r="U217" s="5">
        <f t="shared" si="104"/>
        <v>23.082702599999948</v>
      </c>
      <c r="V217" s="5">
        <f t="shared" si="104"/>
        <v>24.3225099</v>
      </c>
      <c r="W217" s="5">
        <f t="shared" si="104"/>
        <v>25.564240999999924</v>
      </c>
      <c r="X217" s="5">
        <f t="shared" si="104"/>
        <v>26.82155970000008</v>
      </c>
      <c r="Y217" s="5">
        <f t="shared" si="104"/>
        <v>28.09450430000004</v>
      </c>
      <c r="Z217" s="5">
        <f t="shared" si="104"/>
        <v>29.382741200000055</v>
      </c>
      <c r="AA217" s="5">
        <f t="shared" si="104"/>
        <v>30.686005600000044</v>
      </c>
      <c r="AB217" s="5">
        <f t="shared" si="104"/>
        <v>31.961000399999989</v>
      </c>
      <c r="AC217" s="5">
        <f t="shared" si="104"/>
        <v>33.225723599999924</v>
      </c>
      <c r="AD217" s="5">
        <f t="shared" si="104"/>
        <v>34.490615300000059</v>
      </c>
      <c r="AE217" s="5">
        <f t="shared" si="104"/>
        <v>35.761689400000023</v>
      </c>
      <c r="AF217" s="5">
        <f t="shared" si="104"/>
        <v>37.042374700000096</v>
      </c>
      <c r="AG217" s="5">
        <f t="shared" si="104"/>
        <v>38.334622200000013</v>
      </c>
      <c r="AH217" s="5">
        <f t="shared" si="104"/>
        <v>39.631686400000035</v>
      </c>
      <c r="AI217" s="5">
        <f t="shared" si="104"/>
        <v>40.937178300000028</v>
      </c>
      <c r="AJ217" s="5">
        <f t="shared" si="104"/>
        <v>42.253259100000037</v>
      </c>
      <c r="AK217" s="5">
        <f t="shared" si="104"/>
        <v>43.581216700000027</v>
      </c>
      <c r="AL217" s="5">
        <f t="shared" si="104"/>
        <v>44.921817300000043</v>
      </c>
      <c r="AM217" s="5">
        <f t="shared" ref="AM217:BC217" si="105">AM193-AM205</f>
        <v>46.191608100000053</v>
      </c>
      <c r="AN217" s="5">
        <f t="shared" si="105"/>
        <v>47.421392500000024</v>
      </c>
      <c r="AO217" s="5">
        <f t="shared" si="105"/>
        <v>48.628007400000001</v>
      </c>
      <c r="AP217" s="5">
        <f t="shared" si="105"/>
        <v>49.820631700000035</v>
      </c>
      <c r="AQ217" s="5">
        <f t="shared" si="105"/>
        <v>51.005560299999956</v>
      </c>
      <c r="AR217" s="5">
        <f t="shared" si="105"/>
        <v>52.395196800000008</v>
      </c>
      <c r="AS217" s="5">
        <f t="shared" si="105"/>
        <v>53.945259999999962</v>
      </c>
      <c r="AT217" s="5">
        <f t="shared" si="105"/>
        <v>55.555312800000024</v>
      </c>
      <c r="AU217" s="5">
        <f t="shared" si="105"/>
        <v>57.142480599999999</v>
      </c>
      <c r="AV217" s="5">
        <f t="shared" si="105"/>
        <v>58.656837799999948</v>
      </c>
      <c r="AW217" s="5">
        <f t="shared" si="105"/>
        <v>59.771105200000079</v>
      </c>
      <c r="AX217" s="5">
        <f t="shared" si="105"/>
        <v>60.582648500000005</v>
      </c>
      <c r="AY217" s="5">
        <f t="shared" si="105"/>
        <v>61.2574939000001</v>
      </c>
      <c r="AZ217" s="5">
        <f t="shared" si="105"/>
        <v>61.930680900000084</v>
      </c>
      <c r="BA217" s="5">
        <f t="shared" si="105"/>
        <v>62.686374999999998</v>
      </c>
      <c r="BB217" s="5">
        <f t="shared" si="105"/>
        <v>-0.16417460000002393</v>
      </c>
      <c r="BC217" s="5">
        <f t="shared" si="105"/>
        <v>-0.16895409999995081</v>
      </c>
      <c r="BD217" s="5">
        <f t="shared" ref="BD217:BF217" si="106">BD193-BD205</f>
        <v>-0.17318269999998392</v>
      </c>
      <c r="BE217" s="5">
        <f t="shared" si="106"/>
        <v>-0.17673520000005283</v>
      </c>
      <c r="BF217" s="5">
        <f t="shared" si="106"/>
        <v>-0.17985069999997449</v>
      </c>
    </row>
    <row r="218" spans="1:58" x14ac:dyDescent="0.35">
      <c r="B218" t="s">
        <v>30</v>
      </c>
      <c r="C218" s="5">
        <f t="shared" ref="C218:AL218" si="107">C194-C206</f>
        <v>5.9781000000839413E-2</v>
      </c>
      <c r="D218" s="5">
        <f t="shared" si="107"/>
        <v>4.1272000000390108E-2</v>
      </c>
      <c r="E218" s="5">
        <f t="shared" si="107"/>
        <v>-2.9869999999391439E-2</v>
      </c>
      <c r="F218" s="5">
        <f t="shared" si="107"/>
        <v>-0.13476799999989453</v>
      </c>
      <c r="G218" s="5">
        <f t="shared" si="107"/>
        <v>-0.27574100000038015</v>
      </c>
      <c r="H218" s="5">
        <f t="shared" si="107"/>
        <v>-0.46963700000014796</v>
      </c>
      <c r="I218" s="5">
        <f t="shared" si="107"/>
        <v>-0.72581799999989016</v>
      </c>
      <c r="J218" s="5">
        <f t="shared" si="107"/>
        <v>-1.0458109999999579</v>
      </c>
      <c r="K218" s="5">
        <f t="shared" si="107"/>
        <v>-1.4244759999992311</v>
      </c>
      <c r="L218" s="5">
        <f t="shared" si="107"/>
        <v>-1.8523940000004586</v>
      </c>
      <c r="M218" s="5">
        <f t="shared" si="107"/>
        <v>-2.3194970000004105</v>
      </c>
      <c r="N218" s="5">
        <f t="shared" si="107"/>
        <v>-2.8130759999994552</v>
      </c>
      <c r="O218" s="5">
        <f t="shared" si="107"/>
        <v>-3.3241310000003068</v>
      </c>
      <c r="P218" s="5">
        <f t="shared" si="107"/>
        <v>-3.8464789999998175</v>
      </c>
      <c r="Q218" s="5">
        <f t="shared" si="107"/>
        <v>-4.3761510000003909</v>
      </c>
      <c r="R218" s="5">
        <f t="shared" si="107"/>
        <v>-4.9103650000006382</v>
      </c>
      <c r="S218" s="5">
        <f t="shared" si="107"/>
        <v>-5.4453830000002199</v>
      </c>
      <c r="T218" s="5">
        <f t="shared" si="107"/>
        <v>-5.9796720000003916</v>
      </c>
      <c r="U218" s="5">
        <f t="shared" si="107"/>
        <v>-6.5127210000000559</v>
      </c>
      <c r="V218" s="5">
        <f t="shared" si="107"/>
        <v>-7.0447690000000875</v>
      </c>
      <c r="W218" s="5">
        <f t="shared" si="107"/>
        <v>-7.5742259999997259</v>
      </c>
      <c r="X218" s="5">
        <f t="shared" si="107"/>
        <v>-8.1041570000006686</v>
      </c>
      <c r="Y218" s="5">
        <f t="shared" si="107"/>
        <v>-8.6357010000001537</v>
      </c>
      <c r="Z218" s="5">
        <f t="shared" si="107"/>
        <v>-9.1695839999993041</v>
      </c>
      <c r="AA218" s="5">
        <f t="shared" si="107"/>
        <v>-9.7061640000001717</v>
      </c>
      <c r="AB218" s="5">
        <f t="shared" si="107"/>
        <v>-10.237004000000525</v>
      </c>
      <c r="AC218" s="5">
        <f t="shared" si="107"/>
        <v>-10.766773000000285</v>
      </c>
      <c r="AD218" s="5">
        <f t="shared" si="107"/>
        <v>-11.295928000000458</v>
      </c>
      <c r="AE218" s="5">
        <f t="shared" si="107"/>
        <v>-11.824352000000545</v>
      </c>
      <c r="AF218" s="5">
        <f t="shared" si="107"/>
        <v>-12.35145300000022</v>
      </c>
      <c r="AG218" s="5">
        <f t="shared" si="107"/>
        <v>-12.876365000000078</v>
      </c>
      <c r="AH218" s="5">
        <f t="shared" si="107"/>
        <v>-13.398502000000008</v>
      </c>
      <c r="AI218" s="5">
        <f t="shared" si="107"/>
        <v>-13.91689100000076</v>
      </c>
      <c r="AJ218" s="5">
        <f t="shared" si="107"/>
        <v>-14.430518999999549</v>
      </c>
      <c r="AK218" s="5">
        <f t="shared" si="107"/>
        <v>-14.938407999999981</v>
      </c>
      <c r="AL218" s="5">
        <f t="shared" si="107"/>
        <v>-15.439691999999923</v>
      </c>
      <c r="AM218" s="5">
        <f t="shared" ref="AM218:BC218" si="108">AM194-AM206</f>
        <v>-15.933815000000322</v>
      </c>
      <c r="AN218" s="5">
        <f t="shared" si="108"/>
        <v>-16.419434000000365</v>
      </c>
      <c r="AO218" s="5">
        <f t="shared" si="108"/>
        <v>-16.892273000000387</v>
      </c>
      <c r="AP218" s="5">
        <f t="shared" si="108"/>
        <v>-17.34686899999997</v>
      </c>
      <c r="AQ218" s="5">
        <f t="shared" si="108"/>
        <v>-17.778978000000279</v>
      </c>
      <c r="AR218" s="5">
        <f t="shared" si="108"/>
        <v>-18.292613000000529</v>
      </c>
      <c r="AS218" s="5">
        <f t="shared" si="108"/>
        <v>-19.033374999999978</v>
      </c>
      <c r="AT218" s="5">
        <f t="shared" si="108"/>
        <v>-20.102308999999877</v>
      </c>
      <c r="AU218" s="5">
        <f t="shared" si="108"/>
        <v>-21.529679999999644</v>
      </c>
      <c r="AV218" s="5">
        <f t="shared" si="108"/>
        <v>-23.289710999999443</v>
      </c>
      <c r="AW218" s="5">
        <f t="shared" si="108"/>
        <v>-25.18406799999957</v>
      </c>
      <c r="AX218" s="5">
        <f t="shared" si="108"/>
        <v>-26.955855999999585</v>
      </c>
      <c r="AY218" s="5">
        <f t="shared" si="108"/>
        <v>-28.420310000000427</v>
      </c>
      <c r="AZ218" s="5">
        <f t="shared" si="108"/>
        <v>-29.500820999999632</v>
      </c>
      <c r="BA218" s="5">
        <f t="shared" si="108"/>
        <v>-30.205293999999412</v>
      </c>
      <c r="BB218" s="5">
        <f t="shared" si="108"/>
        <v>8.6910689999995157</v>
      </c>
      <c r="BC218" s="5">
        <f t="shared" si="108"/>
        <v>9.6807890000000043</v>
      </c>
      <c r="BD218" s="5">
        <f t="shared" ref="BD218:BF218" si="109">BD194-BD206</f>
        <v>10.731380999999601</v>
      </c>
      <c r="BE218" s="5">
        <f t="shared" si="109"/>
        <v>11.842853999999534</v>
      </c>
      <c r="BF218" s="5">
        <f t="shared" si="109"/>
        <v>13.012241999999787</v>
      </c>
    </row>
    <row r="219" spans="1:58" x14ac:dyDescent="0.35">
      <c r="B219" t="s">
        <v>28</v>
      </c>
      <c r="C219" s="5">
        <f t="shared" ref="C219:AL219" si="110">C195-C207</f>
        <v>-3.1275100000016209E-2</v>
      </c>
      <c r="D219" s="5">
        <f t="shared" si="110"/>
        <v>-7.2314900000037596E-2</v>
      </c>
      <c r="E219" s="5">
        <f t="shared" si="110"/>
        <v>-0.11498500000004697</v>
      </c>
      <c r="F219" s="5">
        <f t="shared" si="110"/>
        <v>-0.15628019999996923</v>
      </c>
      <c r="G219" s="5">
        <f t="shared" si="110"/>
        <v>-0.19852769999999964</v>
      </c>
      <c r="H219" s="5">
        <f t="shared" si="110"/>
        <v>-0.24594839999997475</v>
      </c>
      <c r="I219" s="5">
        <f t="shared" si="110"/>
        <v>-0.30074550000006184</v>
      </c>
      <c r="J219" s="5">
        <f t="shared" si="110"/>
        <v>-0.36299829999995836</v>
      </c>
      <c r="K219" s="5">
        <f t="shared" si="110"/>
        <v>-0.43162919999997484</v>
      </c>
      <c r="L219" s="5">
        <f t="shared" si="110"/>
        <v>-0.5051879000000099</v>
      </c>
      <c r="M219" s="5">
        <f t="shared" si="110"/>
        <v>-0.58286309999994046</v>
      </c>
      <c r="N219" s="5">
        <f t="shared" si="110"/>
        <v>-0.6638821999999891</v>
      </c>
      <c r="O219" s="5">
        <f t="shared" si="110"/>
        <v>-0.74735850000001847</v>
      </c>
      <c r="P219" s="5">
        <f t="shared" si="110"/>
        <v>-0.83292429999994511</v>
      </c>
      <c r="Q219" s="5">
        <f t="shared" si="110"/>
        <v>-0.92047660000002907</v>
      </c>
      <c r="R219" s="5">
        <f t="shared" si="110"/>
        <v>-1.0099461000000929</v>
      </c>
      <c r="S219" s="5">
        <f t="shared" si="110"/>
        <v>-1.1020123999999214</v>
      </c>
      <c r="T219" s="5">
        <f t="shared" si="110"/>
        <v>-1.1961030999999593</v>
      </c>
      <c r="U219" s="5">
        <f t="shared" si="110"/>
        <v>-1.2918300999999701</v>
      </c>
      <c r="V219" s="5">
        <f t="shared" si="110"/>
        <v>-1.3889437999999927</v>
      </c>
      <c r="W219" s="5">
        <f t="shared" si="110"/>
        <v>-1.4865118999999822</v>
      </c>
      <c r="X219" s="5">
        <f t="shared" si="110"/>
        <v>-1.5853989999999385</v>
      </c>
      <c r="Y219" s="5">
        <f t="shared" si="110"/>
        <v>-1.6855252999999948</v>
      </c>
      <c r="Z219" s="5">
        <f t="shared" si="110"/>
        <v>-1.7868105999999671</v>
      </c>
      <c r="AA219" s="5">
        <f t="shared" si="110"/>
        <v>-1.889206100000024</v>
      </c>
      <c r="AB219" s="5">
        <f t="shared" si="110"/>
        <v>-1.9899010000000317</v>
      </c>
      <c r="AC219" s="5">
        <f t="shared" si="110"/>
        <v>-2.0907000999999354</v>
      </c>
      <c r="AD219" s="5">
        <f t="shared" si="110"/>
        <v>-2.1920418999999356</v>
      </c>
      <c r="AE219" s="5">
        <f t="shared" si="110"/>
        <v>-2.2941425999999865</v>
      </c>
      <c r="AF219" s="5">
        <f t="shared" si="110"/>
        <v>-2.3971135000000459</v>
      </c>
      <c r="AG219" s="5">
        <f t="shared" si="110"/>
        <v>-2.5010220000000345</v>
      </c>
      <c r="AH219" s="5">
        <f t="shared" si="110"/>
        <v>-2.6057035000000042</v>
      </c>
      <c r="AI219" s="5">
        <f t="shared" si="110"/>
        <v>-2.7112971000000243</v>
      </c>
      <c r="AJ219" s="5">
        <f t="shared" si="110"/>
        <v>-2.8178801999999905</v>
      </c>
      <c r="AK219" s="5">
        <f t="shared" si="110"/>
        <v>-2.9254856999999674</v>
      </c>
      <c r="AL219" s="5">
        <f t="shared" si="110"/>
        <v>-3.0341204999999718</v>
      </c>
      <c r="AM219" s="5">
        <f t="shared" ref="AM219:BC219" si="111">AM195-AM207</f>
        <v>-3.140883600000052</v>
      </c>
      <c r="AN219" s="5">
        <f t="shared" si="111"/>
        <v>-3.2468812000000753</v>
      </c>
      <c r="AO219" s="5">
        <f t="shared" si="111"/>
        <v>-3.3524505999999974</v>
      </c>
      <c r="AP219" s="5">
        <f t="shared" si="111"/>
        <v>-3.4574314000000186</v>
      </c>
      <c r="AQ219" s="5">
        <f t="shared" si="111"/>
        <v>-3.5615880999999945</v>
      </c>
      <c r="AR219" s="5">
        <f t="shared" si="111"/>
        <v>-3.6825251000000208</v>
      </c>
      <c r="AS219" s="5">
        <f t="shared" si="111"/>
        <v>-3.8337545999999065</v>
      </c>
      <c r="AT219" s="5">
        <f t="shared" si="111"/>
        <v>-4.0198211000000583</v>
      </c>
      <c r="AU219" s="5">
        <f t="shared" si="111"/>
        <v>-4.2384385000000293</v>
      </c>
      <c r="AV219" s="5">
        <f t="shared" si="111"/>
        <v>-4.4845053000000235</v>
      </c>
      <c r="AW219" s="5">
        <f t="shared" si="111"/>
        <v>-4.7284839000000147</v>
      </c>
      <c r="AX219" s="5">
        <f t="shared" si="111"/>
        <v>-4.9497611000000461</v>
      </c>
      <c r="AY219" s="5">
        <f t="shared" si="111"/>
        <v>-5.1413058999999066</v>
      </c>
      <c r="AZ219" s="5">
        <f t="shared" si="111"/>
        <v>-5.3059693000000152</v>
      </c>
      <c r="BA219" s="5">
        <f t="shared" si="111"/>
        <v>-5.4501587000000882</v>
      </c>
      <c r="BB219" s="5">
        <f t="shared" si="111"/>
        <v>-9.4779999999445863E-3</v>
      </c>
      <c r="BC219" s="5">
        <f t="shared" si="111"/>
        <v>-2.0267799999942326E-2</v>
      </c>
      <c r="BD219" s="5">
        <f t="shared" ref="BD219:BF219" si="112">BD195-BD207</f>
        <v>-3.0122600000026978E-2</v>
      </c>
      <c r="BE219" s="5">
        <f t="shared" si="112"/>
        <v>-3.8734399999952984E-2</v>
      </c>
      <c r="BF219" s="5">
        <f t="shared" si="112"/>
        <v>-4.615200000000641E-2</v>
      </c>
    </row>
    <row r="220" spans="1:58" x14ac:dyDescent="0.35">
      <c r="B220" t="s">
        <v>10</v>
      </c>
      <c r="C220" s="5">
        <f t="shared" ref="C220:AL220" si="113">C196-C208</f>
        <v>-0.5448900000010326</v>
      </c>
      <c r="D220" s="5">
        <f t="shared" si="113"/>
        <v>-1.6092900000003283</v>
      </c>
      <c r="E220" s="5">
        <f t="shared" si="113"/>
        <v>-2.7357300000003306</v>
      </c>
      <c r="F220" s="5">
        <f t="shared" si="113"/>
        <v>-3.760229999999865</v>
      </c>
      <c r="G220" s="5">
        <f t="shared" si="113"/>
        <v>-4.7420500000007451</v>
      </c>
      <c r="H220" s="5">
        <f t="shared" si="113"/>
        <v>-5.8265900000005786</v>
      </c>
      <c r="I220" s="5">
        <f t="shared" si="113"/>
        <v>-7.0727499999993597</v>
      </c>
      <c r="J220" s="5">
        <f t="shared" si="113"/>
        <v>-8.4738199999992503</v>
      </c>
      <c r="K220" s="5">
        <f t="shared" si="113"/>
        <v>-9.9922499999993306</v>
      </c>
      <c r="L220" s="5">
        <f t="shared" si="113"/>
        <v>-11.584199999997509</v>
      </c>
      <c r="M220" s="5">
        <f t="shared" si="113"/>
        <v>-13.22240999999849</v>
      </c>
      <c r="N220" s="5">
        <f t="shared" si="113"/>
        <v>-14.887309999998251</v>
      </c>
      <c r="O220" s="5">
        <f t="shared" si="113"/>
        <v>-16.566820000000007</v>
      </c>
      <c r="P220" s="5">
        <f t="shared" si="113"/>
        <v>-18.261100000003353</v>
      </c>
      <c r="Q220" s="5">
        <f t="shared" si="113"/>
        <v>-19.975270000002638</v>
      </c>
      <c r="R220" s="5">
        <f t="shared" si="113"/>
        <v>-21.712760000002163</v>
      </c>
      <c r="S220" s="5">
        <f t="shared" si="113"/>
        <v>-23.485459999999875</v>
      </c>
      <c r="T220" s="5">
        <f t="shared" si="113"/>
        <v>-25.287759999999253</v>
      </c>
      <c r="U220" s="5">
        <f t="shared" si="113"/>
        <v>-27.114859999997861</v>
      </c>
      <c r="V220" s="5">
        <f t="shared" si="113"/>
        <v>-28.963169999999081</v>
      </c>
      <c r="W220" s="5">
        <f t="shared" si="113"/>
        <v>-30.817660000000615</v>
      </c>
      <c r="X220" s="5">
        <f t="shared" si="113"/>
        <v>-32.690969999999652</v>
      </c>
      <c r="Y220" s="5">
        <f t="shared" si="113"/>
        <v>-34.582249999999476</v>
      </c>
      <c r="Z220" s="5">
        <f t="shared" si="113"/>
        <v>-36.489389999998821</v>
      </c>
      <c r="AA220" s="5">
        <f t="shared" si="113"/>
        <v>-38.410100000000966</v>
      </c>
      <c r="AB220" s="5">
        <f t="shared" si="113"/>
        <v>-40.296780000000581</v>
      </c>
      <c r="AC220" s="5">
        <f t="shared" si="113"/>
        <v>-42.172870000002149</v>
      </c>
      <c r="AD220" s="5">
        <f t="shared" si="113"/>
        <v>-44.043920000000071</v>
      </c>
      <c r="AE220" s="5">
        <f t="shared" si="113"/>
        <v>-45.912209999998595</v>
      </c>
      <c r="AF220" s="5">
        <f t="shared" si="113"/>
        <v>-47.778630000000703</v>
      </c>
      <c r="AG220" s="5">
        <f t="shared" si="113"/>
        <v>-49.6437900000019</v>
      </c>
      <c r="AH220" s="5">
        <f t="shared" si="113"/>
        <v>-51.505189999999857</v>
      </c>
      <c r="AI220" s="5">
        <f t="shared" si="113"/>
        <v>-53.36449999999968</v>
      </c>
      <c r="AJ220" s="5">
        <f t="shared" si="113"/>
        <v>-55.223079999999754</v>
      </c>
      <c r="AK220" s="5">
        <f t="shared" si="113"/>
        <v>-57.081890000001295</v>
      </c>
      <c r="AL220" s="5">
        <f t="shared" si="113"/>
        <v>-58.941620000001421</v>
      </c>
      <c r="AM220" s="5">
        <f t="shared" ref="AM220:BC220" si="114">AM196-AM208</f>
        <v>-60.759070000000065</v>
      </c>
      <c r="AN220" s="5">
        <f t="shared" si="114"/>
        <v>-62.545219999999972</v>
      </c>
      <c r="AO220" s="5">
        <f t="shared" si="114"/>
        <v>-64.291539999998349</v>
      </c>
      <c r="AP220" s="5">
        <f t="shared" si="114"/>
        <v>-65.980900000002293</v>
      </c>
      <c r="AQ220" s="5">
        <f t="shared" si="114"/>
        <v>-67.602880000002187</v>
      </c>
      <c r="AR220" s="5">
        <f t="shared" si="114"/>
        <v>-69.530420000002778</v>
      </c>
      <c r="AS220" s="5">
        <f t="shared" si="114"/>
        <v>-72.042359999999462</v>
      </c>
      <c r="AT220" s="5">
        <f t="shared" si="114"/>
        <v>-75.207719999998517</v>
      </c>
      <c r="AU220" s="5">
        <f t="shared" si="114"/>
        <v>-78.939910000000964</v>
      </c>
      <c r="AV220" s="5">
        <f t="shared" si="114"/>
        <v>-83.097680000002583</v>
      </c>
      <c r="AW220" s="5">
        <f t="shared" si="114"/>
        <v>-87.048469999997906</v>
      </c>
      <c r="AX220" s="5">
        <f t="shared" si="114"/>
        <v>-90.389090000000579</v>
      </c>
      <c r="AY220" s="5">
        <f t="shared" si="114"/>
        <v>-93.05764999999883</v>
      </c>
      <c r="AZ220" s="5">
        <f t="shared" si="114"/>
        <v>-95.216730000000098</v>
      </c>
      <c r="BA220" s="5">
        <f t="shared" si="114"/>
        <v>-97.085250000000087</v>
      </c>
      <c r="BB220" s="5">
        <f t="shared" si="114"/>
        <v>36.307130000001052</v>
      </c>
      <c r="BC220" s="5">
        <f t="shared" si="114"/>
        <v>37.62279000000126</v>
      </c>
      <c r="BD220" s="5">
        <f t="shared" ref="BD220:BF220" si="115">BD196-BD208</f>
        <v>38.963700000000244</v>
      </c>
      <c r="BE220" s="5">
        <f t="shared" si="115"/>
        <v>40.337459999998828</v>
      </c>
      <c r="BF220" s="5">
        <f t="shared" si="115"/>
        <v>41.742719999998371</v>
      </c>
    </row>
    <row r="221" spans="1:58" x14ac:dyDescent="0.35">
      <c r="B221" t="s">
        <v>31</v>
      </c>
      <c r="C221" s="5">
        <f>C197-C209</f>
        <v>1.2797128000023861E-3</v>
      </c>
      <c r="D221" s="5">
        <f t="shared" ref="D221:AL221" si="116">D197-D209</f>
        <v>4.7640745000023799E-3</v>
      </c>
      <c r="E221" s="5">
        <f t="shared" si="116"/>
        <v>8.3855764000002608E-3</v>
      </c>
      <c r="F221" s="5">
        <f t="shared" si="116"/>
        <v>1.1541614599998695E-2</v>
      </c>
      <c r="G221" s="5">
        <f t="shared" si="116"/>
        <v>1.4344416400000171E-2</v>
      </c>
      <c r="H221" s="5">
        <f t="shared" si="116"/>
        <v>1.7170479499998947E-2</v>
      </c>
      <c r="I221" s="5">
        <f t="shared" si="116"/>
        <v>1.997608149999941E-2</v>
      </c>
      <c r="J221" s="5">
        <f t="shared" si="116"/>
        <v>2.2658855199997774E-2</v>
      </c>
      <c r="K221" s="5">
        <f t="shared" si="116"/>
        <v>2.5166158799999394E-2</v>
      </c>
      <c r="L221" s="5">
        <f t="shared" si="116"/>
        <v>2.7491093500003672E-2</v>
      </c>
      <c r="M221" s="5">
        <f t="shared" si="116"/>
        <v>2.965960070000051E-2</v>
      </c>
      <c r="N221" s="5">
        <f t="shared" si="116"/>
        <v>3.1718642400001329E-2</v>
      </c>
      <c r="O221" s="5">
        <f t="shared" si="116"/>
        <v>3.3698425100004314E-2</v>
      </c>
      <c r="P221" s="5">
        <f t="shared" si="116"/>
        <v>3.5624009899999365E-2</v>
      </c>
      <c r="Q221" s="5">
        <f t="shared" si="116"/>
        <v>3.7509540399998542E-2</v>
      </c>
      <c r="R221" s="5">
        <f t="shared" si="116"/>
        <v>3.935025990000085E-2</v>
      </c>
      <c r="S221" s="5">
        <f t="shared" si="116"/>
        <v>4.1154921599996896E-2</v>
      </c>
      <c r="T221" s="5">
        <f t="shared" si="116"/>
        <v>4.2909014100002807E-2</v>
      </c>
      <c r="U221" s="5">
        <f t="shared" si="116"/>
        <v>4.4602155399996235E-2</v>
      </c>
      <c r="V221" s="5">
        <f t="shared" si="116"/>
        <v>4.6233246800001737E-2</v>
      </c>
      <c r="W221" s="5">
        <f t="shared" si="116"/>
        <v>4.7802731799999165E-2</v>
      </c>
      <c r="X221" s="5">
        <f t="shared" si="116"/>
        <v>4.9329274299998005E-2</v>
      </c>
      <c r="Y221" s="5">
        <f t="shared" si="116"/>
        <v>5.0828239800001285E-2</v>
      </c>
      <c r="Z221" s="5">
        <f t="shared" si="116"/>
        <v>5.2311189300002781E-2</v>
      </c>
      <c r="AA221" s="5">
        <f t="shared" si="116"/>
        <v>5.3785270900000626E-2</v>
      </c>
      <c r="AB221" s="5">
        <f t="shared" si="116"/>
        <v>5.523205990000335E-2</v>
      </c>
      <c r="AC221" s="5">
        <f t="shared" si="116"/>
        <v>5.6653354100001607E-2</v>
      </c>
      <c r="AD221" s="5">
        <f t="shared" si="116"/>
        <v>5.8054415900000933E-2</v>
      </c>
      <c r="AE221" s="5">
        <f t="shared" si="116"/>
        <v>5.9437632299999876E-2</v>
      </c>
      <c r="AF221" s="5">
        <f t="shared" si="116"/>
        <v>6.0802201799999622E-2</v>
      </c>
      <c r="AG221" s="5">
        <f t="shared" si="116"/>
        <v>6.214508999999957E-2</v>
      </c>
      <c r="AH221" s="5">
        <f t="shared" si="116"/>
        <v>6.3456528099997911E-2</v>
      </c>
      <c r="AI221" s="5">
        <f t="shared" si="116"/>
        <v>6.4732787099998745E-2</v>
      </c>
      <c r="AJ221" s="5">
        <f t="shared" si="116"/>
        <v>6.5971605600001482E-2</v>
      </c>
      <c r="AK221" s="5">
        <f t="shared" si="116"/>
        <v>6.7171558800003695E-2</v>
      </c>
      <c r="AL221" s="5">
        <f t="shared" si="116"/>
        <v>6.8331844300002942E-2</v>
      </c>
      <c r="AM221" s="5">
        <f t="shared" ref="AM221:BC221" si="117">AM197-AM209</f>
        <v>6.9397073599997583E-2</v>
      </c>
      <c r="AN221" s="5">
        <f t="shared" si="117"/>
        <v>7.0373312500001006E-2</v>
      </c>
      <c r="AO221" s="5">
        <f t="shared" si="117"/>
        <v>7.1199029500002453E-2</v>
      </c>
      <c r="AP221" s="5">
        <f t="shared" si="117"/>
        <v>7.1803226700000167E-2</v>
      </c>
      <c r="AQ221" s="5">
        <f t="shared" si="117"/>
        <v>7.2164531700000367E-2</v>
      </c>
      <c r="AR221" s="5">
        <f t="shared" si="117"/>
        <v>7.2583706300001438E-2</v>
      </c>
      <c r="AS221" s="5">
        <f t="shared" si="117"/>
        <v>7.3246412099999603E-2</v>
      </c>
      <c r="AT221" s="5">
        <f t="shared" si="117"/>
        <v>7.4206598699998239E-2</v>
      </c>
      <c r="AU221" s="5">
        <f t="shared" si="117"/>
        <v>7.5408031599998537E-2</v>
      </c>
      <c r="AV221" s="5">
        <f t="shared" si="117"/>
        <v>7.6726165800003798E-2</v>
      </c>
      <c r="AW221" s="5">
        <f t="shared" si="117"/>
        <v>7.7671859500002327E-2</v>
      </c>
      <c r="AX221" s="5">
        <f t="shared" si="117"/>
        <v>7.8088192799999234E-2</v>
      </c>
      <c r="AY221" s="5">
        <f t="shared" si="117"/>
        <v>7.8043719699998348E-2</v>
      </c>
      <c r="AZ221" s="5">
        <f t="shared" si="117"/>
        <v>7.7694681399997023E-2</v>
      </c>
      <c r="BA221" s="5">
        <f t="shared" si="117"/>
        <v>7.7201596500000136E-2</v>
      </c>
      <c r="BB221" s="5">
        <f t="shared" si="117"/>
        <v>1.7359366700000933E-2</v>
      </c>
      <c r="BC221" s="5">
        <f t="shared" si="117"/>
        <v>1.8674377900001815E-2</v>
      </c>
      <c r="BD221" s="5">
        <f t="shared" ref="BD221:BF221" si="118">BD197-BD209</f>
        <v>2.0024306199999842E-2</v>
      </c>
      <c r="BE221" s="5">
        <f t="shared" si="118"/>
        <v>2.1408881100001054E-2</v>
      </c>
      <c r="BF221" s="5">
        <f t="shared" si="118"/>
        <v>2.2827946200001392E-2</v>
      </c>
    </row>
    <row r="222" spans="1:58" x14ac:dyDescent="0.35">
      <c r="B222" t="s">
        <v>36</v>
      </c>
      <c r="C222" s="5">
        <f>C198-C210</f>
        <v>8.2942719999934411E-4</v>
      </c>
      <c r="D222" s="5">
        <f t="shared" ref="D222:AL222" si="119">D198-D210</f>
        <v>1.9367055000003575E-3</v>
      </c>
      <c r="E222" s="5">
        <f t="shared" si="119"/>
        <v>2.9455335999992727E-3</v>
      </c>
      <c r="F222" s="5">
        <f t="shared" si="119"/>
        <v>3.7926353999999662E-3</v>
      </c>
      <c r="G222" s="5">
        <f t="shared" si="119"/>
        <v>4.5357635999998536E-3</v>
      </c>
      <c r="H222" s="5">
        <f t="shared" si="119"/>
        <v>5.268760500000802E-3</v>
      </c>
      <c r="I222" s="5">
        <f t="shared" si="119"/>
        <v>5.9824785000008873E-3</v>
      </c>
      <c r="J222" s="5">
        <f t="shared" si="119"/>
        <v>6.6538847999995099E-3</v>
      </c>
      <c r="K222" s="5">
        <f t="shared" si="119"/>
        <v>7.2744211999999919E-3</v>
      </c>
      <c r="L222" s="5">
        <f t="shared" si="119"/>
        <v>7.847676499999956E-3</v>
      </c>
      <c r="M222" s="5">
        <f t="shared" si="119"/>
        <v>8.3860993000008932E-3</v>
      </c>
      <c r="N222" s="5">
        <f t="shared" si="119"/>
        <v>8.9063575999999145E-3</v>
      </c>
      <c r="O222" s="5">
        <f t="shared" si="119"/>
        <v>9.4137748999996163E-3</v>
      </c>
      <c r="P222" s="5">
        <f t="shared" si="119"/>
        <v>9.9117501000005603E-3</v>
      </c>
      <c r="Q222" s="5">
        <f t="shared" si="119"/>
        <v>1.0401719600000803E-2</v>
      </c>
      <c r="R222" s="5">
        <f t="shared" si="119"/>
        <v>1.0882290100000525E-2</v>
      </c>
      <c r="S222" s="5">
        <f t="shared" si="119"/>
        <v>1.1362038400000607E-2</v>
      </c>
      <c r="T222" s="5">
        <f t="shared" si="119"/>
        <v>1.1837335899999246E-2</v>
      </c>
      <c r="U222" s="5">
        <f t="shared" si="119"/>
        <v>1.230598459999932E-2</v>
      </c>
      <c r="V222" s="5">
        <f t="shared" si="119"/>
        <v>1.2768563200000749E-2</v>
      </c>
      <c r="W222" s="5">
        <f t="shared" si="119"/>
        <v>1.3224088199999429E-2</v>
      </c>
      <c r="X222" s="5">
        <f t="shared" si="119"/>
        <v>1.3680035700000204E-2</v>
      </c>
      <c r="Y222" s="5">
        <f t="shared" si="119"/>
        <v>1.4141140200000457E-2</v>
      </c>
      <c r="Z222" s="5">
        <f t="shared" si="119"/>
        <v>1.4610690699999651E-2</v>
      </c>
      <c r="AA222" s="5">
        <f t="shared" si="119"/>
        <v>1.5090769100000401E-2</v>
      </c>
      <c r="AB222" s="5">
        <f t="shared" si="119"/>
        <v>1.5570480100000061E-2</v>
      </c>
      <c r="AC222" s="5">
        <f t="shared" si="119"/>
        <v>1.6052395900000072E-2</v>
      </c>
      <c r="AD222" s="5">
        <f t="shared" si="119"/>
        <v>1.6540174100000193E-2</v>
      </c>
      <c r="AE222" s="5">
        <f t="shared" si="119"/>
        <v>1.7035497700000235E-2</v>
      </c>
      <c r="AF222" s="5">
        <f t="shared" si="119"/>
        <v>1.7538468200000601E-2</v>
      </c>
      <c r="AG222" s="5">
        <f t="shared" si="119"/>
        <v>1.8048280000000361E-2</v>
      </c>
      <c r="AH222" s="5">
        <f t="shared" si="119"/>
        <v>1.8561081899999721E-2</v>
      </c>
      <c r="AI222" s="5">
        <f t="shared" si="119"/>
        <v>1.9076262900000529E-2</v>
      </c>
      <c r="AJ222" s="5">
        <f t="shared" si="119"/>
        <v>1.9593544400000162E-2</v>
      </c>
      <c r="AK222" s="5">
        <f t="shared" si="119"/>
        <v>2.0112731199999345E-2</v>
      </c>
      <c r="AL222" s="5">
        <f t="shared" si="119"/>
        <v>2.0633765699999529E-2</v>
      </c>
      <c r="AM222" s="5">
        <f t="shared" ref="AM222:BC222" si="120">AM198-AM210</f>
        <v>2.1129326400000537E-2</v>
      </c>
      <c r="AN222" s="5">
        <f t="shared" si="120"/>
        <v>2.1605317499999721E-2</v>
      </c>
      <c r="AO222" s="5">
        <f t="shared" si="120"/>
        <v>2.2064810499999865E-2</v>
      </c>
      <c r="AP222" s="5">
        <f t="shared" si="120"/>
        <v>2.2507853300000491E-2</v>
      </c>
      <c r="AQ222" s="5">
        <f t="shared" si="120"/>
        <v>2.2935838300000455E-2</v>
      </c>
      <c r="AR222" s="5">
        <f t="shared" si="120"/>
        <v>2.351509369999949E-2</v>
      </c>
      <c r="AS222" s="5">
        <f t="shared" si="120"/>
        <v>2.4302797900001671E-2</v>
      </c>
      <c r="AT222" s="5">
        <f t="shared" si="120"/>
        <v>2.5272601300000197E-2</v>
      </c>
      <c r="AU222" s="5">
        <f t="shared" si="120"/>
        <v>2.6358928399999648E-2</v>
      </c>
      <c r="AV222" s="5">
        <f t="shared" si="120"/>
        <v>2.7487364199999753E-2</v>
      </c>
      <c r="AW222" s="5">
        <f t="shared" si="120"/>
        <v>2.8372800500000572E-2</v>
      </c>
      <c r="AX222" s="5">
        <f t="shared" si="120"/>
        <v>2.8932547200000158E-2</v>
      </c>
      <c r="AY222" s="5">
        <f t="shared" si="120"/>
        <v>2.9213340300000112E-2</v>
      </c>
      <c r="AZ222" s="5">
        <f t="shared" si="120"/>
        <v>2.9307668600000447E-2</v>
      </c>
      <c r="BA222" s="5">
        <f t="shared" si="120"/>
        <v>2.9306643500000007E-2</v>
      </c>
      <c r="BB222" s="5">
        <f t="shared" si="120"/>
        <v>2.7924103299999281E-2</v>
      </c>
      <c r="BC222" s="5">
        <f t="shared" si="120"/>
        <v>2.9139782099999678E-2</v>
      </c>
      <c r="BD222" s="5">
        <f t="shared" ref="BD222:BF222" si="121">BD198-BD210</f>
        <v>3.0374093799999891E-2</v>
      </c>
      <c r="BE222" s="5">
        <f t="shared" si="121"/>
        <v>3.1631748899999756E-2</v>
      </c>
      <c r="BF222" s="5">
        <f t="shared" si="121"/>
        <v>3.2915973799999776E-2</v>
      </c>
    </row>
    <row r="223" spans="1:58" x14ac:dyDescent="0.35">
      <c r="B223" t="s">
        <v>11</v>
      </c>
      <c r="C223" s="5">
        <f>C199-C211</f>
        <v>4.6909599999906959E-3</v>
      </c>
      <c r="D223" s="5">
        <f t="shared" ref="D223:AL223" si="122">D199-D211</f>
        <v>6.9959109999999214E-2</v>
      </c>
      <c r="E223" s="5">
        <f t="shared" si="122"/>
        <v>0.13876430999999911</v>
      </c>
      <c r="F223" s="5">
        <f t="shared" si="122"/>
        <v>0.1929024900000087</v>
      </c>
      <c r="G223" s="5">
        <f t="shared" si="122"/>
        <v>0.23504893000000493</v>
      </c>
      <c r="H223" s="5">
        <f t="shared" si="122"/>
        <v>0.27519279999999924</v>
      </c>
      <c r="I223" s="5">
        <f t="shared" si="122"/>
        <v>0.31663935000000265</v>
      </c>
      <c r="J223" s="5">
        <f t="shared" si="122"/>
        <v>0.35900793000000419</v>
      </c>
      <c r="K223" s="5">
        <f t="shared" si="122"/>
        <v>0.40095723000000305</v>
      </c>
      <c r="L223" s="5">
        <f t="shared" si="122"/>
        <v>0.44140596999999104</v>
      </c>
      <c r="M223" s="5">
        <f t="shared" si="122"/>
        <v>0.47988745000000677</v>
      </c>
      <c r="N223" s="5">
        <f t="shared" si="122"/>
        <v>0.51662009000000353</v>
      </c>
      <c r="O223" s="5">
        <f t="shared" si="122"/>
        <v>0.55193832000000498</v>
      </c>
      <c r="P223" s="5">
        <f t="shared" si="122"/>
        <v>0.58620879000000059</v>
      </c>
      <c r="Q223" s="5">
        <f t="shared" si="122"/>
        <v>0.61964758000000586</v>
      </c>
      <c r="R223" s="5">
        <f t="shared" si="122"/>
        <v>0.65211968999999215</v>
      </c>
      <c r="S223" s="5">
        <f t="shared" si="122"/>
        <v>0.68356654000000105</v>
      </c>
      <c r="T223" s="5">
        <f t="shared" si="122"/>
        <v>0.71374891000000673</v>
      </c>
      <c r="U223" s="5">
        <f t="shared" si="122"/>
        <v>0.74248681999999633</v>
      </c>
      <c r="V223" s="5">
        <f t="shared" si="122"/>
        <v>0.76975641999999311</v>
      </c>
      <c r="W223" s="5">
        <f t="shared" si="122"/>
        <v>0.79565422999999669</v>
      </c>
      <c r="X223" s="5">
        <f t="shared" si="122"/>
        <v>0.82041277000000434</v>
      </c>
      <c r="Y223" s="5">
        <f t="shared" si="122"/>
        <v>0.84428271000000166</v>
      </c>
      <c r="Z223" s="5">
        <f t="shared" si="122"/>
        <v>0.86745755000001168</v>
      </c>
      <c r="AA223" s="5">
        <f t="shared" si="122"/>
        <v>0.89004732000000786</v>
      </c>
      <c r="AB223" s="5">
        <f t="shared" si="122"/>
        <v>0.91200591000000486</v>
      </c>
      <c r="AC223" s="5">
        <f t="shared" si="122"/>
        <v>0.9332145799999978</v>
      </c>
      <c r="AD223" s="5">
        <f t="shared" si="122"/>
        <v>0.9536398700000035</v>
      </c>
      <c r="AE223" s="5">
        <f t="shared" si="122"/>
        <v>0.97324770000000171</v>
      </c>
      <c r="AF223" s="5">
        <f t="shared" si="122"/>
        <v>0.99197739999999612</v>
      </c>
      <c r="AG223" s="5">
        <f t="shared" si="122"/>
        <v>1.0097404100000062</v>
      </c>
      <c r="AH223" s="5">
        <f t="shared" si="122"/>
        <v>1.0263760699999978</v>
      </c>
      <c r="AI223" s="5">
        <f t="shared" si="122"/>
        <v>1.0417773399999959</v>
      </c>
      <c r="AJ223" s="5">
        <f t="shared" si="122"/>
        <v>1.0558727100000027</v>
      </c>
      <c r="AK223" s="5">
        <f t="shared" si="122"/>
        <v>1.0686109500000072</v>
      </c>
      <c r="AL223" s="5">
        <f t="shared" si="122"/>
        <v>1.0799506500000007</v>
      </c>
      <c r="AM223" s="5">
        <f t="shared" ref="AM223:BC223" si="123">AM199-AM211</f>
        <v>1.0893395399999974</v>
      </c>
      <c r="AN223" s="5">
        <f t="shared" si="123"/>
        <v>1.0966999299999998</v>
      </c>
      <c r="AO223" s="5">
        <f t="shared" si="123"/>
        <v>1.1011420199999975</v>
      </c>
      <c r="AP223" s="5">
        <f t="shared" si="123"/>
        <v>1.1014332200000041</v>
      </c>
      <c r="AQ223" s="5">
        <f t="shared" si="123"/>
        <v>1.0967733500000065</v>
      </c>
      <c r="AR223" s="5">
        <f t="shared" si="123"/>
        <v>1.0899756899999886</v>
      </c>
      <c r="AS223" s="5">
        <f t="shared" si="123"/>
        <v>1.0844126100000011</v>
      </c>
      <c r="AT223" s="5">
        <f t="shared" si="123"/>
        <v>1.0821525599999973</v>
      </c>
      <c r="AU223" s="5">
        <f t="shared" si="123"/>
        <v>1.0831725299999988</v>
      </c>
      <c r="AV223" s="5">
        <f t="shared" si="123"/>
        <v>1.0857944699999962</v>
      </c>
      <c r="AW223" s="5">
        <f t="shared" si="123"/>
        <v>1.0842918499999996</v>
      </c>
      <c r="AX223" s="5">
        <f t="shared" si="123"/>
        <v>1.0759316200000058</v>
      </c>
      <c r="AY223" s="5">
        <f t="shared" si="123"/>
        <v>1.0610725200000104</v>
      </c>
      <c r="AZ223" s="5">
        <f t="shared" si="123"/>
        <v>1.0416987899999981</v>
      </c>
      <c r="BA223" s="5">
        <f t="shared" si="123"/>
        <v>1.0201296900000045</v>
      </c>
      <c r="BB223" s="5">
        <f t="shared" si="123"/>
        <v>-1.2340731399999925</v>
      </c>
      <c r="BC223" s="5">
        <f t="shared" si="123"/>
        <v>-1.2525495099999944</v>
      </c>
      <c r="BD223" s="5">
        <f t="shared" ref="BD223:BF223" si="124">BD199-BD211</f>
        <v>-1.2698560799999967</v>
      </c>
      <c r="BE223" s="5">
        <f t="shared" si="124"/>
        <v>-1.2862876399999976</v>
      </c>
      <c r="BF223" s="5">
        <f t="shared" si="124"/>
        <v>-1.302085610000006</v>
      </c>
    </row>
    <row r="225" spans="1:58" x14ac:dyDescent="0.35">
      <c r="A225" s="12" t="s">
        <v>86</v>
      </c>
      <c r="B225" t="s">
        <v>14</v>
      </c>
      <c r="C225" s="7" t="s">
        <v>15</v>
      </c>
      <c r="D225" s="7" t="s">
        <v>16</v>
      </c>
      <c r="E225" s="7" t="s">
        <v>17</v>
      </c>
    </row>
    <row r="226" spans="1:58" x14ac:dyDescent="0.35">
      <c r="A226" t="s">
        <v>87</v>
      </c>
      <c r="B226" t="s">
        <v>27</v>
      </c>
      <c r="C226" s="6">
        <f t="shared" ref="C226:C232" si="125">R216</f>
        <v>-7.4489400000020396</v>
      </c>
      <c r="D226" s="6">
        <f t="shared" ref="D226:D232" si="126">AB216</f>
        <v>-19.579879999997502</v>
      </c>
      <c r="E226" s="6">
        <f>AL216</f>
        <v>-31.324710000000778</v>
      </c>
    </row>
    <row r="227" spans="1:58" x14ac:dyDescent="0.35">
      <c r="B227" t="s">
        <v>7</v>
      </c>
      <c r="C227" s="6">
        <f t="shared" si="125"/>
        <v>19.481785100000025</v>
      </c>
      <c r="D227" s="6">
        <f t="shared" si="126"/>
        <v>31.961000399999989</v>
      </c>
      <c r="E227" s="6">
        <f t="shared" ref="E227:E231" si="127">AL217</f>
        <v>44.921817300000043</v>
      </c>
    </row>
    <row r="228" spans="1:58" x14ac:dyDescent="0.35">
      <c r="B228" t="s">
        <v>30</v>
      </c>
      <c r="C228" s="6">
        <f t="shared" si="125"/>
        <v>-4.9103650000006382</v>
      </c>
      <c r="D228" s="6">
        <f t="shared" si="126"/>
        <v>-10.237004000000525</v>
      </c>
      <c r="E228" s="6">
        <f t="shared" si="127"/>
        <v>-15.439691999999923</v>
      </c>
    </row>
    <row r="229" spans="1:58" x14ac:dyDescent="0.35">
      <c r="B229" t="s">
        <v>28</v>
      </c>
      <c r="C229" s="6">
        <f t="shared" si="125"/>
        <v>-1.0099461000000929</v>
      </c>
      <c r="D229" s="6">
        <f t="shared" si="126"/>
        <v>-1.9899010000000317</v>
      </c>
      <c r="E229" s="6">
        <f t="shared" si="127"/>
        <v>-3.0341204999999718</v>
      </c>
    </row>
    <row r="230" spans="1:58" x14ac:dyDescent="0.35">
      <c r="B230" t="s">
        <v>10</v>
      </c>
      <c r="C230" s="6">
        <f t="shared" si="125"/>
        <v>-21.712760000002163</v>
      </c>
      <c r="D230" s="6">
        <f t="shared" si="126"/>
        <v>-40.296780000000581</v>
      </c>
      <c r="E230" s="6">
        <f t="shared" si="127"/>
        <v>-58.941620000001421</v>
      </c>
    </row>
    <row r="231" spans="1:58" x14ac:dyDescent="0.35">
      <c r="B231" t="s">
        <v>29</v>
      </c>
      <c r="C231" s="1">
        <f t="shared" si="125"/>
        <v>3.935025990000085E-2</v>
      </c>
      <c r="D231" s="1">
        <f t="shared" si="126"/>
        <v>5.523205990000335E-2</v>
      </c>
      <c r="E231" s="1">
        <f t="shared" si="127"/>
        <v>6.8331844300002942E-2</v>
      </c>
    </row>
    <row r="232" spans="1:58" x14ac:dyDescent="0.35">
      <c r="B232" t="s">
        <v>32</v>
      </c>
      <c r="C232" s="1">
        <f t="shared" si="125"/>
        <v>1.0882290100000525E-2</v>
      </c>
      <c r="D232" s="1">
        <f t="shared" si="126"/>
        <v>1.5570480100000061E-2</v>
      </c>
      <c r="E232" s="1">
        <f t="shared" ref="E232" si="128">AL222</f>
        <v>2.0633765699999529E-2</v>
      </c>
    </row>
    <row r="233" spans="1:58" x14ac:dyDescent="0.35">
      <c r="B233" t="s">
        <v>33</v>
      </c>
      <c r="C233" s="1">
        <f t="shared" ref="C233" si="129">R223</f>
        <v>0.65211968999999215</v>
      </c>
      <c r="D233" s="1">
        <f t="shared" ref="D233" si="130">AB223</f>
        <v>0.91200591000000486</v>
      </c>
      <c r="E233" s="1">
        <f t="shared" ref="E233" si="131">AL223</f>
        <v>1.0799506500000007</v>
      </c>
    </row>
    <row r="235" spans="1:58" x14ac:dyDescent="0.35">
      <c r="A235" s="12" t="s">
        <v>43</v>
      </c>
      <c r="B235" t="s">
        <v>26</v>
      </c>
      <c r="C235" s="5">
        <f>C236+C237+C238+C239</f>
        <v>98.051183647999991</v>
      </c>
      <c r="D235" s="5">
        <f t="shared" ref="D235:AL235" si="132">D236+D237+D238+D239</f>
        <v>99.213851605000002</v>
      </c>
      <c r="E235" s="5">
        <f t="shared" si="132"/>
        <v>100.46900773500001</v>
      </c>
      <c r="F235" s="5">
        <f t="shared" si="132"/>
        <v>101.821406106</v>
      </c>
      <c r="G235" s="5">
        <f t="shared" si="132"/>
        <v>103.272843876</v>
      </c>
      <c r="H235" s="5">
        <f t="shared" si="132"/>
        <v>104.81808795400001</v>
      </c>
      <c r="I235" s="5">
        <f t="shared" si="132"/>
        <v>106.382409001</v>
      </c>
      <c r="J235" s="5">
        <f t="shared" si="132"/>
        <v>107.994797691</v>
      </c>
      <c r="K235" s="5">
        <f t="shared" si="132"/>
        <v>109.655623698</v>
      </c>
      <c r="L235" s="5">
        <f t="shared" si="132"/>
        <v>111.360952114</v>
      </c>
      <c r="M235" s="5">
        <f t="shared" si="132"/>
        <v>113.221822304</v>
      </c>
      <c r="N235" s="5">
        <f t="shared" si="132"/>
        <v>115.05082155300001</v>
      </c>
      <c r="O235" s="5">
        <f t="shared" si="132"/>
        <v>116.89696208399999</v>
      </c>
      <c r="P235" s="5">
        <f t="shared" si="132"/>
        <v>118.767639231</v>
      </c>
      <c r="Q235" s="5">
        <f t="shared" si="132"/>
        <v>120.663208091</v>
      </c>
      <c r="R235" s="5">
        <f t="shared" si="132"/>
        <v>122.58308020399998</v>
      </c>
      <c r="S235" s="5">
        <f t="shared" si="132"/>
        <v>124.527081333</v>
      </c>
      <c r="T235" s="5">
        <f t="shared" si="132"/>
        <v>126.494713069</v>
      </c>
      <c r="U235" s="5">
        <f t="shared" si="132"/>
        <v>128.48593220700002</v>
      </c>
      <c r="V235" s="5">
        <f t="shared" si="132"/>
        <v>130.50090662400001</v>
      </c>
      <c r="W235" s="5">
        <f t="shared" si="132"/>
        <v>132.45404763299999</v>
      </c>
      <c r="X235" s="5">
        <f t="shared" si="132"/>
        <v>134.48331859199999</v>
      </c>
      <c r="Y235" s="5">
        <f t="shared" si="132"/>
        <v>136.55055721300002</v>
      </c>
      <c r="Z235" s="5">
        <f t="shared" si="132"/>
        <v>138.649251222</v>
      </c>
      <c r="AA235" s="5">
        <f t="shared" si="132"/>
        <v>140.77849018999999</v>
      </c>
      <c r="AB235" s="5">
        <f t="shared" si="132"/>
        <v>142.68959563199996</v>
      </c>
      <c r="AC235" s="5">
        <f t="shared" si="132"/>
        <v>144.66266991800001</v>
      </c>
      <c r="AD235" s="5">
        <f t="shared" si="132"/>
        <v>146.65564266199999</v>
      </c>
      <c r="AE235" s="5">
        <f t="shared" si="132"/>
        <v>148.66551264399999</v>
      </c>
      <c r="AF235" s="5">
        <f t="shared" si="132"/>
        <v>150.69565169699999</v>
      </c>
      <c r="AG235" s="5">
        <f t="shared" si="132"/>
        <v>152.749938929</v>
      </c>
      <c r="AH235" s="5">
        <f t="shared" si="132"/>
        <v>154.83158370800001</v>
      </c>
      <c r="AI235" s="5">
        <f t="shared" si="132"/>
        <v>156.94321484999998</v>
      </c>
      <c r="AJ235" s="5">
        <f t="shared" si="132"/>
        <v>159.086689108</v>
      </c>
      <c r="AK235" s="5">
        <f t="shared" si="132"/>
        <v>161.263252212</v>
      </c>
      <c r="AL235" s="5">
        <f t="shared" si="132"/>
        <v>163.473667398</v>
      </c>
      <c r="AM235" s="5">
        <f t="shared" ref="AM235:BC235" si="133">AM236+AM237+AM238+AM239</f>
        <v>165.657088407</v>
      </c>
      <c r="AN235" s="5">
        <f t="shared" si="133"/>
        <v>167.84994358700001</v>
      </c>
      <c r="AO235" s="5">
        <f t="shared" si="133"/>
        <v>170.061071368</v>
      </c>
      <c r="AP235" s="5">
        <f t="shared" si="133"/>
        <v>172.29421479900003</v>
      </c>
      <c r="AQ235" s="5">
        <f t="shared" si="133"/>
        <v>174.551965424</v>
      </c>
      <c r="AR235" s="5">
        <f t="shared" si="133"/>
        <v>176.83628653900001</v>
      </c>
      <c r="AS235" s="5">
        <f t="shared" si="133"/>
        <v>179.14901258999998</v>
      </c>
      <c r="AT235" s="5">
        <f t="shared" si="133"/>
        <v>181.49149012800001</v>
      </c>
      <c r="AU235" s="5">
        <f t="shared" si="133"/>
        <v>183.86470352299997</v>
      </c>
      <c r="AV235" s="5">
        <f t="shared" si="133"/>
        <v>186.26934480200001</v>
      </c>
      <c r="AW235" s="5">
        <f t="shared" si="133"/>
        <v>188.69732580799999</v>
      </c>
      <c r="AX235" s="5">
        <f t="shared" si="133"/>
        <v>191.151068541</v>
      </c>
      <c r="AY235" s="5">
        <f t="shared" si="133"/>
        <v>193.63786564999998</v>
      </c>
      <c r="AZ235" s="5">
        <f t="shared" si="133"/>
        <v>196.16397109299999</v>
      </c>
      <c r="BA235" s="5">
        <f t="shared" si="133"/>
        <v>198.73350910900001</v>
      </c>
      <c r="BB235" s="5">
        <f t="shared" si="133"/>
        <v>219.54593958000001</v>
      </c>
      <c r="BC235" s="5">
        <f t="shared" si="133"/>
        <v>223.20089697</v>
      </c>
      <c r="BD235" s="5">
        <f t="shared" ref="BD235:BF235" si="134">BD236+BD237+BD238+BD239</f>
        <v>226.91325506999999</v>
      </c>
      <c r="BE235" s="5">
        <f t="shared" si="134"/>
        <v>230.68433690999996</v>
      </c>
      <c r="BF235" s="5">
        <f t="shared" si="134"/>
        <v>234.51543447</v>
      </c>
    </row>
    <row r="236" spans="1:58" x14ac:dyDescent="0.35">
      <c r="A236" t="s">
        <v>39</v>
      </c>
      <c r="B236" t="s">
        <v>7</v>
      </c>
      <c r="C236" s="5">
        <f>[1]Results!F378</f>
        <v>4.9216962180000001</v>
      </c>
      <c r="D236" s="5">
        <f>[1]Results!G378</f>
        <v>4.9732832250000003</v>
      </c>
      <c r="E236" s="5">
        <f>[1]Results!H378</f>
        <v>5.0206145250000001</v>
      </c>
      <c r="F236" s="5">
        <f>[1]Results!I378</f>
        <v>5.0669122460000002</v>
      </c>
      <c r="G236" s="5">
        <f>[1]Results!J378</f>
        <v>5.1138805060000001</v>
      </c>
      <c r="H236" s="5">
        <f>[1]Results!K378</f>
        <v>5.162323464</v>
      </c>
      <c r="I236" s="5">
        <f>[1]Results!L378</f>
        <v>5.2085093809999998</v>
      </c>
      <c r="J236" s="5">
        <f>[1]Results!M378</f>
        <v>5.2555895809999997</v>
      </c>
      <c r="K236" s="5">
        <f>[1]Results!N378</f>
        <v>5.3041076880000002</v>
      </c>
      <c r="L236" s="5">
        <f>[1]Results!O378</f>
        <v>5.3541682039999996</v>
      </c>
      <c r="M236" s="5">
        <f>[1]Results!P378</f>
        <v>5.4127935740000002</v>
      </c>
      <c r="N236" s="5">
        <f>[1]Results!Q378</f>
        <v>5.4677714230000003</v>
      </c>
      <c r="O236" s="5">
        <f>[1]Results!R378</f>
        <v>5.5232243739999998</v>
      </c>
      <c r="P236" s="5">
        <f>[1]Results!S378</f>
        <v>5.5797204310000001</v>
      </c>
      <c r="Q236" s="5">
        <f>[1]Results!T378</f>
        <v>5.6373099809999996</v>
      </c>
      <c r="R236" s="5">
        <f>[1]Results!U378</f>
        <v>5.6959338539999997</v>
      </c>
      <c r="S236" s="5">
        <f>[1]Results!V378</f>
        <v>5.7558403130000002</v>
      </c>
      <c r="T236" s="5">
        <f>[1]Results!W378</f>
        <v>5.8166641090000004</v>
      </c>
      <c r="U236" s="5">
        <f>[1]Results!X378</f>
        <v>5.8782786270000003</v>
      </c>
      <c r="V236" s="5">
        <f>[1]Results!Y378</f>
        <v>5.940599604</v>
      </c>
      <c r="W236" s="5">
        <f>[1]Results!Z378</f>
        <v>5.998549723</v>
      </c>
      <c r="X236" s="5">
        <f>[1]Results!AA378</f>
        <v>6.0609791819999996</v>
      </c>
      <c r="Y236" s="5">
        <f>[1]Results!AB378</f>
        <v>6.1246732530000001</v>
      </c>
      <c r="Z236" s="5">
        <f>[1]Results!AC378</f>
        <v>6.1891374819999996</v>
      </c>
      <c r="AA236" s="5">
        <f>[1]Results!AD378</f>
        <v>6.2542735399999998</v>
      </c>
      <c r="AB236" s="5">
        <f>[1]Results!AE378</f>
        <v>6.3058590219999999</v>
      </c>
      <c r="AC236" s="5">
        <f>[1]Results!AF378</f>
        <v>6.3622833080000003</v>
      </c>
      <c r="AD236" s="5">
        <f>[1]Results!AG378</f>
        <v>6.4197895520000001</v>
      </c>
      <c r="AE236" s="5">
        <f>[1]Results!AH378</f>
        <v>6.4779667940000003</v>
      </c>
      <c r="AF236" s="5">
        <f>[1]Results!AI378</f>
        <v>6.5368212669999997</v>
      </c>
      <c r="AG236" s="5">
        <f>[1]Results!AJ378</f>
        <v>6.5964214290000003</v>
      </c>
      <c r="AH236" s="5">
        <f>[1]Results!AK378</f>
        <v>6.6567475380000003</v>
      </c>
      <c r="AI236" s="5">
        <f>[1]Results!AL378</f>
        <v>6.7179597400000004</v>
      </c>
      <c r="AJ236" s="5">
        <f>[1]Results!AM378</f>
        <v>6.7801452580000001</v>
      </c>
      <c r="AK236" s="5">
        <f>[1]Results!AN378</f>
        <v>6.8433737920000004</v>
      </c>
      <c r="AL236" s="5">
        <f>[1]Results!AO378</f>
        <v>6.9077020280000001</v>
      </c>
      <c r="AM236" s="5">
        <f>[1]Results!AP378</f>
        <v>6.9689252870000002</v>
      </c>
      <c r="AN236" s="5">
        <f>[1]Results!AQ378</f>
        <v>7.0303652269999999</v>
      </c>
      <c r="AO236" s="5">
        <f>[1]Results!AR378</f>
        <v>7.0925699379999996</v>
      </c>
      <c r="AP236" s="5">
        <f>[1]Results!AS378</f>
        <v>7.1556834790000003</v>
      </c>
      <c r="AQ236" s="5">
        <f>[1]Results!AT378</f>
        <v>7.2197644240000001</v>
      </c>
      <c r="AR236" s="5">
        <f>[1]Results!AU378</f>
        <v>7.2846795289999999</v>
      </c>
      <c r="AS236" s="5">
        <f>[1]Results!AV378</f>
        <v>7.3505698600000002</v>
      </c>
      <c r="AT236" s="5">
        <f>[1]Results!AW378</f>
        <v>7.4174610080000001</v>
      </c>
      <c r="AU236" s="5">
        <f>[1]Results!AX378</f>
        <v>7.4853609729999997</v>
      </c>
      <c r="AV236" s="5">
        <f>[1]Results!AY378</f>
        <v>7.5542728219999997</v>
      </c>
      <c r="AW236" s="5">
        <f>[1]Results!AZ378</f>
        <v>7.6188477380000004</v>
      </c>
      <c r="AX236" s="5">
        <f>[1]Results!BA378</f>
        <v>7.6823406710000004</v>
      </c>
      <c r="AY236" s="5">
        <f>[1]Results!BB378</f>
        <v>7.7469529100000001</v>
      </c>
      <c r="AZ236" s="5">
        <f>[1]Results!BC378</f>
        <v>7.8138063730000002</v>
      </c>
      <c r="BA236" s="5">
        <f>[1]Results!BD378</f>
        <v>7.8833779389999998</v>
      </c>
      <c r="BB236" s="5">
        <f>[1]Results!BE378</f>
        <v>10.89254086</v>
      </c>
      <c r="BC236" s="5">
        <f>[1]Results!BF378</f>
        <v>11.071818240000001</v>
      </c>
      <c r="BD236" s="5">
        <f>[1]Results!BG378</f>
        <v>11.25394421</v>
      </c>
      <c r="BE236" s="5">
        <f>[1]Results!BH378</f>
        <v>11.439009499999999</v>
      </c>
      <c r="BF236" s="5">
        <f>[1]Results!BI378</f>
        <v>11.62710313</v>
      </c>
    </row>
    <row r="237" spans="1:58" x14ac:dyDescent="0.35">
      <c r="B237" t="s">
        <v>8</v>
      </c>
      <c r="C237" s="5">
        <f>[1]Results!F390</f>
        <v>44.245747209999998</v>
      </c>
      <c r="D237" s="5">
        <f>[1]Results!G390</f>
        <v>44.771013269999997</v>
      </c>
      <c r="E237" s="5">
        <f>[1]Results!H390</f>
        <v>45.351188100000002</v>
      </c>
      <c r="F237" s="5">
        <f>[1]Results!I390</f>
        <v>45.98341748</v>
      </c>
      <c r="G237" s="5">
        <f>[1]Results!J390</f>
        <v>46.66608093</v>
      </c>
      <c r="H237" s="5">
        <f>[1]Results!K390</f>
        <v>47.395638920000003</v>
      </c>
      <c r="I237" s="5">
        <f>[1]Results!L390</f>
        <v>48.136658079999997</v>
      </c>
      <c r="J237" s="5">
        <f>[1]Results!M390</f>
        <v>48.902873339999999</v>
      </c>
      <c r="K237" s="5">
        <f>[1]Results!N390</f>
        <v>49.694062539999997</v>
      </c>
      <c r="L237" s="5">
        <f>[1]Results!O390</f>
        <v>50.508038030000002</v>
      </c>
      <c r="M237" s="5">
        <f>[1]Results!P390</f>
        <v>51.396420489999997</v>
      </c>
      <c r="N237" s="5">
        <f>[1]Results!Q390</f>
        <v>52.27038031</v>
      </c>
      <c r="O237" s="5">
        <f>[1]Results!R390</f>
        <v>53.154033210000001</v>
      </c>
      <c r="P237" s="5">
        <f>[1]Results!S390</f>
        <v>54.050794830000001</v>
      </c>
      <c r="Q237" s="5">
        <f>[1]Results!T390</f>
        <v>54.96067232</v>
      </c>
      <c r="R237" s="5">
        <f>[1]Results!U390</f>
        <v>55.883239519999997</v>
      </c>
      <c r="S237" s="5">
        <f>[1]Results!V390</f>
        <v>56.81817839</v>
      </c>
      <c r="T237" s="5">
        <f>[1]Results!W390</f>
        <v>57.765230440000003</v>
      </c>
      <c r="U237" s="5">
        <f>[1]Results!X390</f>
        <v>58.724313610000003</v>
      </c>
      <c r="V237" s="5">
        <f>[1]Results!Y390</f>
        <v>59.69547077</v>
      </c>
      <c r="W237" s="5">
        <f>[1]Results!Z390</f>
        <v>60.638528719999996</v>
      </c>
      <c r="X237" s="5">
        <f>[1]Results!AA390</f>
        <v>61.618922980000001</v>
      </c>
      <c r="Y237" s="5">
        <f>[1]Results!AB390</f>
        <v>62.617824460000001</v>
      </c>
      <c r="Z237" s="5">
        <f>[1]Results!AC390</f>
        <v>63.632163800000001</v>
      </c>
      <c r="AA237" s="5">
        <f>[1]Results!AD390</f>
        <v>64.661597929999999</v>
      </c>
      <c r="AB237" s="5">
        <f>[1]Results!AE390</f>
        <v>65.589319509999996</v>
      </c>
      <c r="AC237" s="5">
        <f>[1]Results!AF390</f>
        <v>66.549025599999993</v>
      </c>
      <c r="AD237" s="5">
        <f>[1]Results!AG390</f>
        <v>67.519184379999999</v>
      </c>
      <c r="AE237" s="5">
        <f>[1]Results!AH390</f>
        <v>68.497963189999993</v>
      </c>
      <c r="AF237" s="5">
        <f>[1]Results!AI390</f>
        <v>69.486727299999998</v>
      </c>
      <c r="AG237" s="5">
        <f>[1]Results!AJ390</f>
        <v>70.487155310000006</v>
      </c>
      <c r="AH237" s="5">
        <f>[1]Results!AK390</f>
        <v>71.500700730000005</v>
      </c>
      <c r="AI237" s="5">
        <f>[1]Results!AL390</f>
        <v>72.528527209999993</v>
      </c>
      <c r="AJ237" s="5">
        <f>[1]Results!AM390</f>
        <v>73.571468080000002</v>
      </c>
      <c r="AK237" s="5">
        <f>[1]Results!AN390</f>
        <v>74.630065529999996</v>
      </c>
      <c r="AL237" s="5">
        <f>[1]Results!AO390</f>
        <v>75.704619359999995</v>
      </c>
      <c r="AM237" s="5">
        <f>[1]Results!AP390</f>
        <v>76.766631930000003</v>
      </c>
      <c r="AN237" s="5">
        <f>[1]Results!AQ390</f>
        <v>77.833435230000006</v>
      </c>
      <c r="AO237" s="5">
        <f>[1]Results!AR390</f>
        <v>78.908891310000001</v>
      </c>
      <c r="AP237" s="5">
        <f>[1]Results!AS390</f>
        <v>79.994447129999998</v>
      </c>
      <c r="AQ237" s="5">
        <f>[1]Results!AT390</f>
        <v>81.091053149999993</v>
      </c>
      <c r="AR237" s="5">
        <f>[1]Results!AU390</f>
        <v>82.19946985</v>
      </c>
      <c r="AS237" s="5">
        <f>[1]Results!AV390</f>
        <v>83.320364819999995</v>
      </c>
      <c r="AT237" s="5">
        <f>[1]Results!AW390</f>
        <v>84.4542541</v>
      </c>
      <c r="AU237" s="5">
        <f>[1]Results!AX390</f>
        <v>85.601523409999999</v>
      </c>
      <c r="AV237" s="5">
        <f>[1]Results!AY390</f>
        <v>86.762449480000001</v>
      </c>
      <c r="AW237" s="5">
        <f>[1]Results!AZ390</f>
        <v>87.934511369999996</v>
      </c>
      <c r="AX237" s="5">
        <f>[1]Results!BA390</f>
        <v>89.118211520000003</v>
      </c>
      <c r="AY237" s="5">
        <f>[1]Results!BB390</f>
        <v>90.317242210000003</v>
      </c>
      <c r="AZ237" s="5">
        <f>[1]Results!BC390</f>
        <v>91.534918809999994</v>
      </c>
      <c r="BA237" s="5">
        <f>[1]Results!BD390</f>
        <v>92.773352380000006</v>
      </c>
      <c r="BB237" s="5">
        <f>[1]Results!BE390</f>
        <v>101.8741746</v>
      </c>
      <c r="BC237" s="5">
        <f>[1]Results!BF390</f>
        <v>103.62538499999999</v>
      </c>
      <c r="BD237" s="5">
        <f>[1]Results!BG390</f>
        <v>105.40327739999999</v>
      </c>
      <c r="BE237" s="5">
        <f>[1]Results!BH390</f>
        <v>107.20839049999999</v>
      </c>
      <c r="BF237" s="5">
        <f>[1]Results!BI390</f>
        <v>109.0412402</v>
      </c>
    </row>
    <row r="238" spans="1:58" x14ac:dyDescent="0.35">
      <c r="B238" t="s">
        <v>28</v>
      </c>
      <c r="C238" s="5">
        <f>[1]Results!F366</f>
        <v>26.379269040000001</v>
      </c>
      <c r="D238" s="5">
        <f>[1]Results!G366</f>
        <v>26.691263429999999</v>
      </c>
      <c r="E238" s="5">
        <f>[1]Results!H366</f>
        <v>27.022738310000001</v>
      </c>
      <c r="F238" s="5">
        <f>[1]Results!I366</f>
        <v>27.375716430000001</v>
      </c>
      <c r="G238" s="5">
        <f>[1]Results!J366</f>
        <v>27.75047726</v>
      </c>
      <c r="H238" s="5">
        <f>[1]Results!K366</f>
        <v>28.145591830000001</v>
      </c>
      <c r="I238" s="5">
        <f>[1]Results!L366</f>
        <v>28.542948679999999</v>
      </c>
      <c r="J238" s="5">
        <f>[1]Results!M366</f>
        <v>28.94972971</v>
      </c>
      <c r="K238" s="5">
        <f>[1]Results!N366</f>
        <v>29.366442240000001</v>
      </c>
      <c r="L238" s="5">
        <f>[1]Results!O366</f>
        <v>29.792372050000001</v>
      </c>
      <c r="M238" s="5">
        <f>[1]Results!P366</f>
        <v>30.25469623</v>
      </c>
      <c r="N238" s="5">
        <f>[1]Results!Q366</f>
        <v>30.70792797</v>
      </c>
      <c r="O238" s="5">
        <f>[1]Results!R366</f>
        <v>31.16360207</v>
      </c>
      <c r="P238" s="5">
        <f>[1]Results!S366</f>
        <v>31.623786020000001</v>
      </c>
      <c r="Q238" s="5">
        <f>[1]Results!T366</f>
        <v>32.088779619999997</v>
      </c>
      <c r="R238" s="5">
        <f>[1]Results!U366</f>
        <v>32.558664069999999</v>
      </c>
      <c r="S238" s="5">
        <f>[1]Results!V366</f>
        <v>33.033538100000001</v>
      </c>
      <c r="T238" s="5">
        <f>[1]Results!W366</f>
        <v>33.513656709999999</v>
      </c>
      <c r="U238" s="5">
        <f>[1]Results!X366</f>
        <v>33.999287340000002</v>
      </c>
      <c r="V238" s="5">
        <f>[1]Results!Y366</f>
        <v>34.490711300000001</v>
      </c>
      <c r="W238" s="5">
        <f>[1]Results!Z366</f>
        <v>34.967311580000001</v>
      </c>
      <c r="X238" s="5">
        <f>[1]Results!AA366</f>
        <v>35.462749330000001</v>
      </c>
      <c r="Y238" s="5">
        <f>[1]Results!AB366</f>
        <v>35.968268260000002</v>
      </c>
      <c r="Z238" s="5">
        <f>[1]Results!AC366</f>
        <v>36.482258899999998</v>
      </c>
      <c r="AA238" s="5">
        <f>[1]Results!AD366</f>
        <v>37.004508029999997</v>
      </c>
      <c r="AB238" s="5">
        <f>[1]Results!AE366</f>
        <v>37.474508649999997</v>
      </c>
      <c r="AC238" s="5">
        <f>[1]Results!AF366</f>
        <v>37.960267360000003</v>
      </c>
      <c r="AD238" s="5">
        <f>[1]Results!AG366</f>
        <v>38.4524635</v>
      </c>
      <c r="AE238" s="5">
        <f>[1]Results!AH366</f>
        <v>38.950355100000003</v>
      </c>
      <c r="AF238" s="5">
        <f>[1]Results!AI366</f>
        <v>39.454764220000001</v>
      </c>
      <c r="AG238" s="5">
        <f>[1]Results!AJ366</f>
        <v>39.966612509999997</v>
      </c>
      <c r="AH238" s="5">
        <f>[1]Results!AK366</f>
        <v>40.486635790000001</v>
      </c>
      <c r="AI238" s="5">
        <f>[1]Results!AL366</f>
        <v>41.01531275</v>
      </c>
      <c r="AJ238" s="5">
        <f>[1]Results!AM366</f>
        <v>41.55293588</v>
      </c>
      <c r="AK238" s="5">
        <f>[1]Results!AN366</f>
        <v>42.099652620000001</v>
      </c>
      <c r="AL238" s="5">
        <f>[1]Results!AO366</f>
        <v>42.655511840000003</v>
      </c>
      <c r="AM238" s="5">
        <f>[1]Results!AP366</f>
        <v>43.205889169999999</v>
      </c>
      <c r="AN238" s="5">
        <f>[1]Results!AQ366</f>
        <v>43.75927867</v>
      </c>
      <c r="AO238" s="5">
        <f>[1]Results!AR366</f>
        <v>44.317992420000003</v>
      </c>
      <c r="AP238" s="5">
        <f>[1]Results!AS366</f>
        <v>44.88306686</v>
      </c>
      <c r="AQ238" s="5">
        <f>[1]Results!AT366</f>
        <v>45.45522699</v>
      </c>
      <c r="AR238" s="5">
        <f>[1]Results!AU366</f>
        <v>46.035076760000003</v>
      </c>
      <c r="AS238" s="5">
        <f>[1]Results!AV366</f>
        <v>46.623054260000004</v>
      </c>
      <c r="AT238" s="5">
        <f>[1]Results!AW366</f>
        <v>47.219495639999998</v>
      </c>
      <c r="AU238" s="5">
        <f>[1]Results!AX366</f>
        <v>47.824633210000002</v>
      </c>
      <c r="AV238" s="5">
        <f>[1]Results!AY366</f>
        <v>48.438613580000002</v>
      </c>
      <c r="AW238" s="5">
        <f>[1]Results!AZ366</f>
        <v>49.064414669999998</v>
      </c>
      <c r="AX238" s="5">
        <f>[1]Results!BA366</f>
        <v>49.701865429999998</v>
      </c>
      <c r="AY238" s="5">
        <f>[1]Results!BB366</f>
        <v>50.350774029999997</v>
      </c>
      <c r="AZ238" s="5">
        <f>[1]Results!BC366</f>
        <v>51.010795039999998</v>
      </c>
      <c r="BA238" s="5">
        <f>[1]Results!BD366</f>
        <v>51.681632999999998</v>
      </c>
      <c r="BB238" s="5">
        <f>[1]Results!BE366</f>
        <v>55.400333269999997</v>
      </c>
      <c r="BC238" s="5">
        <f>[1]Results!BF366</f>
        <v>56.275190469999998</v>
      </c>
      <c r="BD238" s="5">
        <f>[1]Results!BG366</f>
        <v>57.165000159999998</v>
      </c>
      <c r="BE238" s="5">
        <f>[1]Results!BH366</f>
        <v>58.070065749999998</v>
      </c>
      <c r="BF238" s="5">
        <f>[1]Results!BI366</f>
        <v>58.990694609999998</v>
      </c>
    </row>
    <row r="239" spans="1:58" x14ac:dyDescent="0.35">
      <c r="B239" t="s">
        <v>10</v>
      </c>
      <c r="C239" s="5">
        <f>[1]Results!F402</f>
        <v>22.504471179999999</v>
      </c>
      <c r="D239" s="5">
        <f>[1]Results!G402</f>
        <v>22.778291679999999</v>
      </c>
      <c r="E239" s="5">
        <f>[1]Results!H402</f>
        <v>23.0744668</v>
      </c>
      <c r="F239" s="5">
        <f>[1]Results!I402</f>
        <v>23.39535995</v>
      </c>
      <c r="G239" s="5">
        <f>[1]Results!J402</f>
        <v>23.742405179999999</v>
      </c>
      <c r="H239" s="5">
        <f>[1]Results!K402</f>
        <v>24.114533739999999</v>
      </c>
      <c r="I239" s="5">
        <f>[1]Results!L402</f>
        <v>24.494292860000002</v>
      </c>
      <c r="J239" s="5">
        <f>[1]Results!M402</f>
        <v>24.886605060000001</v>
      </c>
      <c r="K239" s="5">
        <f>[1]Results!N402</f>
        <v>25.291011229999999</v>
      </c>
      <c r="L239" s="5">
        <f>[1]Results!O402</f>
        <v>25.70637383</v>
      </c>
      <c r="M239" s="5">
        <f>[1]Results!P402</f>
        <v>26.15791201</v>
      </c>
      <c r="N239" s="5">
        <f>[1]Results!Q402</f>
        <v>26.60474185</v>
      </c>
      <c r="O239" s="5">
        <f>[1]Results!R402</f>
        <v>27.056102429999999</v>
      </c>
      <c r="P239" s="5">
        <f>[1]Results!S402</f>
        <v>27.51333795</v>
      </c>
      <c r="Q239" s="5">
        <f>[1]Results!T402</f>
        <v>27.976446169999999</v>
      </c>
      <c r="R239" s="5">
        <f>[1]Results!U402</f>
        <v>28.445242759999999</v>
      </c>
      <c r="S239" s="5">
        <f>[1]Results!V402</f>
        <v>28.91952453</v>
      </c>
      <c r="T239" s="5">
        <f>[1]Results!W402</f>
        <v>29.399161809999999</v>
      </c>
      <c r="U239" s="5">
        <f>[1]Results!X402</f>
        <v>29.884052629999999</v>
      </c>
      <c r="V239" s="5">
        <f>[1]Results!Y402</f>
        <v>30.374124949999999</v>
      </c>
      <c r="W239" s="5">
        <f>[1]Results!Z402</f>
        <v>30.849657610000001</v>
      </c>
      <c r="X239" s="5">
        <f>[1]Results!AA402</f>
        <v>31.340667100000001</v>
      </c>
      <c r="Y239" s="5">
        <f>[1]Results!AB402</f>
        <v>31.83979124</v>
      </c>
      <c r="Z239" s="5">
        <f>[1]Results!AC402</f>
        <v>32.345691039999998</v>
      </c>
      <c r="AA239" s="5">
        <f>[1]Results!AD402</f>
        <v>32.858110689999997</v>
      </c>
      <c r="AB239" s="5">
        <f>[1]Results!AE402</f>
        <v>33.31990845</v>
      </c>
      <c r="AC239" s="5">
        <f>[1]Results!AF402</f>
        <v>33.791093650000001</v>
      </c>
      <c r="AD239" s="5">
        <f>[1]Results!AG402</f>
        <v>34.264205230000002</v>
      </c>
      <c r="AE239" s="5">
        <f>[1]Results!AH402</f>
        <v>34.739227560000003</v>
      </c>
      <c r="AF239" s="5">
        <f>[1]Results!AI402</f>
        <v>35.217338910000002</v>
      </c>
      <c r="AG239" s="5">
        <f>[1]Results!AJ402</f>
        <v>35.699749679999996</v>
      </c>
      <c r="AH239" s="5">
        <f>[1]Results!AK402</f>
        <v>36.187499649999999</v>
      </c>
      <c r="AI239" s="5">
        <f>[1]Results!AL402</f>
        <v>36.681415149999999</v>
      </c>
      <c r="AJ239" s="5">
        <f>[1]Results!AM402</f>
        <v>37.182139890000002</v>
      </c>
      <c r="AK239" s="5">
        <f>[1]Results!AN402</f>
        <v>37.69016027</v>
      </c>
      <c r="AL239" s="5">
        <f>[1]Results!AO402</f>
        <v>38.205834170000003</v>
      </c>
      <c r="AM239" s="5">
        <f>[1]Results!AP402</f>
        <v>38.715642019999997</v>
      </c>
      <c r="AN239" s="5">
        <f>[1]Results!AQ402</f>
        <v>39.226864460000002</v>
      </c>
      <c r="AO239" s="5">
        <f>[1]Results!AR402</f>
        <v>39.741617699999999</v>
      </c>
      <c r="AP239" s="5">
        <f>[1]Results!AS402</f>
        <v>40.261017330000001</v>
      </c>
      <c r="AQ239" s="5">
        <f>[1]Results!AT402</f>
        <v>40.785920859999997</v>
      </c>
      <c r="AR239" s="5">
        <f>[1]Results!AU402</f>
        <v>41.317060400000003</v>
      </c>
      <c r="AS239" s="5">
        <f>[1]Results!AV402</f>
        <v>41.85502365</v>
      </c>
      <c r="AT239" s="5">
        <f>[1]Results!AW402</f>
        <v>42.400279380000001</v>
      </c>
      <c r="AU239" s="5">
        <f>[1]Results!AX402</f>
        <v>42.953185929999997</v>
      </c>
      <c r="AV239" s="5">
        <f>[1]Results!AY402</f>
        <v>43.514008920000002</v>
      </c>
      <c r="AW239" s="5">
        <f>[1]Results!AZ402</f>
        <v>44.079552030000002</v>
      </c>
      <c r="AX239" s="5">
        <f>[1]Results!BA402</f>
        <v>44.648650920000001</v>
      </c>
      <c r="AY239" s="5">
        <f>[1]Results!BB402</f>
        <v>45.222896499999997</v>
      </c>
      <c r="AZ239" s="5">
        <f>[1]Results!BC402</f>
        <v>45.804450869999997</v>
      </c>
      <c r="BA239" s="5">
        <f>[1]Results!BD402</f>
        <v>46.395145790000001</v>
      </c>
      <c r="BB239" s="5">
        <f>[1]Results!BE402</f>
        <v>51.378890849999998</v>
      </c>
      <c r="BC239" s="5">
        <f>[1]Results!BF402</f>
        <v>52.228503259999997</v>
      </c>
      <c r="BD239" s="5">
        <f>[1]Results!BG402</f>
        <v>53.091033299999999</v>
      </c>
      <c r="BE239" s="5">
        <f>[1]Results!BH402</f>
        <v>53.966871159999997</v>
      </c>
      <c r="BF239" s="5">
        <f>[1]Results!BI402</f>
        <v>54.856396529999998</v>
      </c>
    </row>
    <row r="240" spans="1:58" x14ac:dyDescent="0.35">
      <c r="B240" t="s">
        <v>44</v>
      </c>
      <c r="C240" s="5">
        <f>[1]Results!F353</f>
        <v>64.301440170000006</v>
      </c>
      <c r="D240" s="5">
        <f>[1]Results!G353</f>
        <v>64.336084330000006</v>
      </c>
      <c r="E240" s="5">
        <f>[1]Results!H353</f>
        <v>64.145511519999999</v>
      </c>
      <c r="F240" s="5">
        <f>[1]Results!I353</f>
        <v>63.947403770000001</v>
      </c>
      <c r="G240" s="5">
        <f>[1]Results!J353</f>
        <v>63.811244479999999</v>
      </c>
      <c r="H240" s="5">
        <f>[1]Results!K353</f>
        <v>63.748327570000001</v>
      </c>
      <c r="I240" s="5">
        <f>[1]Results!L353</f>
        <v>63.730823309999998</v>
      </c>
      <c r="J240" s="5">
        <f>[1]Results!M353</f>
        <v>63.751596200000002</v>
      </c>
      <c r="K240" s="5">
        <f>[1]Results!N353</f>
        <v>63.800604679999999</v>
      </c>
      <c r="L240" s="5">
        <f>[1]Results!O353</f>
        <v>63.869186849999998</v>
      </c>
      <c r="M240" s="5">
        <f>[1]Results!P353</f>
        <v>63.980496590000001</v>
      </c>
      <c r="N240" s="5">
        <f>[1]Results!Q353</f>
        <v>64.086701390000002</v>
      </c>
      <c r="O240" s="5">
        <f>[1]Results!R353</f>
        <v>64.192856680000006</v>
      </c>
      <c r="P240" s="5">
        <f>[1]Results!S353</f>
        <v>64.300830340000005</v>
      </c>
      <c r="Q240" s="5">
        <f>[1]Results!T353</f>
        <v>64.411139489999996</v>
      </c>
      <c r="R240" s="5">
        <f>[1]Results!U353</f>
        <v>64.523767789999994</v>
      </c>
      <c r="S240" s="5">
        <f>[1]Results!V353</f>
        <v>64.638843039999998</v>
      </c>
      <c r="T240" s="5">
        <f>[1]Results!W353</f>
        <v>64.756226359999999</v>
      </c>
      <c r="U240" s="5">
        <f>[1]Results!X353</f>
        <v>64.875857710000005</v>
      </c>
      <c r="V240" s="5">
        <f>[1]Results!Y353</f>
        <v>64.997793650000006</v>
      </c>
      <c r="W240" s="5">
        <f>[1]Results!Z353</f>
        <v>65.102521830000001</v>
      </c>
      <c r="X240" s="5">
        <f>[1]Results!AA353</f>
        <v>65.219381369999994</v>
      </c>
      <c r="Y240" s="5">
        <f>[1]Results!AB353</f>
        <v>65.343390299999996</v>
      </c>
      <c r="Z240" s="5">
        <f>[1]Results!AC353</f>
        <v>65.472190479999995</v>
      </c>
      <c r="AA240" s="5">
        <f>[1]Results!AD353</f>
        <v>65.604600439999999</v>
      </c>
      <c r="AB240" s="5">
        <f>[1]Results!AE353</f>
        <v>65.686136309999995</v>
      </c>
      <c r="AC240" s="5">
        <f>[1]Results!AF353</f>
        <v>65.770775159999999</v>
      </c>
      <c r="AD240" s="5">
        <f>[1]Results!AG353</f>
        <v>65.856555689999993</v>
      </c>
      <c r="AE240" s="5">
        <f>[1]Results!AH353</f>
        <v>65.942591870000001</v>
      </c>
      <c r="AF240" s="5">
        <f>[1]Results!AI353</f>
        <v>66.028566850000004</v>
      </c>
      <c r="AG240" s="5">
        <f>[1]Results!AJ353</f>
        <v>66.114440250000001</v>
      </c>
      <c r="AH240" s="5">
        <f>[1]Results!AK353</f>
        <v>66.200210760000004</v>
      </c>
      <c r="AI240" s="5">
        <f>[1]Results!AL353</f>
        <v>66.286019539999998</v>
      </c>
      <c r="AJ240" s="5">
        <f>[1]Results!AM353</f>
        <v>66.372035960000005</v>
      </c>
      <c r="AK240" s="5">
        <f>[1]Results!AN353</f>
        <v>66.458421909999998</v>
      </c>
      <c r="AL240" s="5">
        <f>[1]Results!AO353</f>
        <v>66.545327529999994</v>
      </c>
      <c r="AM240" s="5">
        <f>[1]Results!AP353</f>
        <v>66.620588280000007</v>
      </c>
      <c r="AN240" s="5">
        <f>[1]Results!AQ353</f>
        <v>66.690043610000004</v>
      </c>
      <c r="AO240" s="5">
        <f>[1]Results!AR353</f>
        <v>66.75676043</v>
      </c>
      <c r="AP240" s="5">
        <f>[1]Results!AS353</f>
        <v>66.822371390000001</v>
      </c>
      <c r="AQ240" s="5">
        <f>[1]Results!AT353</f>
        <v>66.887787070000002</v>
      </c>
      <c r="AR240" s="5">
        <f>[1]Results!AU353</f>
        <v>66.953436330000002</v>
      </c>
      <c r="AS240" s="5">
        <f>[1]Results!AV353</f>
        <v>67.01972078</v>
      </c>
      <c r="AT240" s="5">
        <f>[1]Results!AW353</f>
        <v>67.086970930000007</v>
      </c>
      <c r="AU240" s="5">
        <f>[1]Results!AX353</f>
        <v>67.155441850000003</v>
      </c>
      <c r="AV240" s="5">
        <f>[1]Results!AY353</f>
        <v>67.225323380000006</v>
      </c>
      <c r="AW240" s="5">
        <f>[1]Results!AZ353</f>
        <v>67.295934750000001</v>
      </c>
      <c r="AX240" s="5">
        <f>[1]Results!BA353</f>
        <v>67.366615949999996</v>
      </c>
      <c r="AY240" s="5">
        <f>[1]Results!BB353</f>
        <v>67.437275459999995</v>
      </c>
      <c r="AZ240" s="5">
        <f>[1]Results!BC353</f>
        <v>67.507963880000005</v>
      </c>
      <c r="BA240" s="5">
        <f>[1]Results!BD353</f>
        <v>67.578791710000004</v>
      </c>
      <c r="BB240" s="5">
        <f>[1]Results!BE353</f>
        <v>64.419719540000003</v>
      </c>
      <c r="BC240" s="5">
        <f>[1]Results!BF353</f>
        <v>64.521376770000003</v>
      </c>
      <c r="BD240" s="5">
        <f>[1]Results!BG353</f>
        <v>64.626029189999997</v>
      </c>
      <c r="BE240" s="5">
        <f>[1]Results!BH353</f>
        <v>64.733579050000003</v>
      </c>
      <c r="BF240" s="5">
        <f>[1]Results!BI353</f>
        <v>64.844110799999996</v>
      </c>
    </row>
    <row r="241" spans="1:58" x14ac:dyDescent="0.35">
      <c r="B241" t="s">
        <v>45</v>
      </c>
      <c r="C241" s="5">
        <f>[1]Results!F354</f>
        <v>42.52087744</v>
      </c>
      <c r="D241" s="5">
        <f>[1]Results!G354</f>
        <v>42.833507409999996</v>
      </c>
      <c r="E241" s="5">
        <f>[1]Results!H354</f>
        <v>42.783074520000007</v>
      </c>
      <c r="F241" s="5">
        <f>[1]Results!I354</f>
        <v>42.631935370000001</v>
      </c>
      <c r="G241" s="5">
        <f>[1]Results!J354</f>
        <v>42.479195969999999</v>
      </c>
      <c r="H241" s="5">
        <f>[1]Results!K354</f>
        <v>42.355510889999998</v>
      </c>
      <c r="I241" s="5">
        <f>[1]Results!L354</f>
        <v>42.248297090000001</v>
      </c>
      <c r="J241" s="5">
        <f>[1]Results!M354</f>
        <v>42.158787539999999</v>
      </c>
      <c r="K241" s="5">
        <f>[1]Results!N354</f>
        <v>42.08258395</v>
      </c>
      <c r="L241" s="5">
        <f>[1]Results!O354</f>
        <v>42.014906680000003</v>
      </c>
      <c r="M241" s="5">
        <f>[1]Results!P354</f>
        <v>41.977206209999999</v>
      </c>
      <c r="N241" s="5">
        <f>[1]Results!Q354</f>
        <v>41.928350009999996</v>
      </c>
      <c r="O241" s="5">
        <f>[1]Results!R354</f>
        <v>41.874992470000002</v>
      </c>
      <c r="P241" s="5">
        <f>[1]Results!S354</f>
        <v>41.820289070000001</v>
      </c>
      <c r="Q241" s="5">
        <f>[1]Results!T354</f>
        <v>41.765730820000002</v>
      </c>
      <c r="R241" s="5">
        <f>[1]Results!U354</f>
        <v>41.712008560000001</v>
      </c>
      <c r="S241" s="5">
        <f>[1]Results!V354</f>
        <v>41.659755939999997</v>
      </c>
      <c r="T241" s="5">
        <f>[1]Results!W354</f>
        <v>41.609196020000006</v>
      </c>
      <c r="U241" s="5">
        <f>[1]Results!X354</f>
        <v>41.560534450000006</v>
      </c>
      <c r="V241" s="5">
        <f>[1]Results!Y354</f>
        <v>41.514031619999997</v>
      </c>
      <c r="W241" s="5">
        <f>[1]Results!Z354</f>
        <v>41.453491479999997</v>
      </c>
      <c r="X241" s="5">
        <f>[1]Results!AA354</f>
        <v>41.405018590000005</v>
      </c>
      <c r="Y241" s="5">
        <f>[1]Results!AB354</f>
        <v>41.363681110000002</v>
      </c>
      <c r="Z241" s="5">
        <f>[1]Results!AC354</f>
        <v>41.327126649999997</v>
      </c>
      <c r="AA241" s="5">
        <f>[1]Results!AD354</f>
        <v>41.294202820000002</v>
      </c>
      <c r="AB241" s="5">
        <f>[1]Results!AE354</f>
        <v>41.219332829999999</v>
      </c>
      <c r="AC241" s="5">
        <f>[1]Results!AF354</f>
        <v>41.151282399999999</v>
      </c>
      <c r="AD241" s="5">
        <f>[1]Results!AG354</f>
        <v>41.087726240000002</v>
      </c>
      <c r="AE241" s="5">
        <f>[1]Results!AH354</f>
        <v>41.027244170000003</v>
      </c>
      <c r="AF241" s="5">
        <f>[1]Results!AI354</f>
        <v>40.968957259999996</v>
      </c>
      <c r="AG241" s="5">
        <f>[1]Results!AJ354</f>
        <v>40.912314100000003</v>
      </c>
      <c r="AH241" s="5">
        <f>[1]Results!AK354</f>
        <v>40.856882929999998</v>
      </c>
      <c r="AI241" s="5">
        <f>[1]Results!AL354</f>
        <v>40.802457539999999</v>
      </c>
      <c r="AJ241" s="5">
        <f>[1]Results!AM354</f>
        <v>40.748930819999998</v>
      </c>
      <c r="AK241" s="5">
        <f>[1]Results!AN354</f>
        <v>40.696241860000001</v>
      </c>
      <c r="AL241" s="5">
        <f>[1]Results!AO354</f>
        <v>40.644355689999998</v>
      </c>
      <c r="AM241" s="5">
        <f>[1]Results!AP354</f>
        <v>40.582934409999993</v>
      </c>
      <c r="AN241" s="5">
        <f>[1]Results!AQ354</f>
        <v>40.517536770000007</v>
      </c>
      <c r="AO241" s="5">
        <f>[1]Results!AR354</f>
        <v>40.450919670000005</v>
      </c>
      <c r="AP241" s="5">
        <f>[1]Results!AS354</f>
        <v>40.384358399999996</v>
      </c>
      <c r="AQ241" s="5">
        <f>[1]Results!AT354</f>
        <v>40.318386049999994</v>
      </c>
      <c r="AR241" s="5">
        <f>[1]Results!AU354</f>
        <v>40.253065360000001</v>
      </c>
      <c r="AS241" s="5">
        <f>[1]Results!AV354</f>
        <v>40.188467930000002</v>
      </c>
      <c r="AT241" s="5">
        <f>[1]Results!AW354</f>
        <v>40.124642710000003</v>
      </c>
      <c r="AU241" s="5">
        <f>[1]Results!AX354</f>
        <v>40.061614329999998</v>
      </c>
      <c r="AV241" s="5">
        <f>[1]Results!AY354</f>
        <v>39.99939071</v>
      </c>
      <c r="AW241" s="5">
        <f>[1]Results!AZ354</f>
        <v>39.93696121</v>
      </c>
      <c r="AX241" s="5">
        <f>[1]Results!BA354</f>
        <v>39.873613420000005</v>
      </c>
      <c r="AY241" s="5">
        <f>[1]Results!BB354</f>
        <v>39.809586189999997</v>
      </c>
      <c r="AZ241" s="5">
        <f>[1]Results!BC354</f>
        <v>39.745289110000002</v>
      </c>
      <c r="BA241" s="5">
        <f>[1]Results!BD354</f>
        <v>39.681057380000006</v>
      </c>
      <c r="BB241" s="5">
        <f>[1]Results!BE354</f>
        <v>34.849368820000002</v>
      </c>
      <c r="BC241" s="5">
        <f>[1]Results!BF354</f>
        <v>34.745864249999997</v>
      </c>
      <c r="BD241" s="5">
        <f>[1]Results!BG354</f>
        <v>34.643640210000001</v>
      </c>
      <c r="BE241" s="5">
        <f>[1]Results!BH354</f>
        <v>34.542457280000001</v>
      </c>
      <c r="BF241" s="5">
        <f>[1]Results!BI354</f>
        <v>34.442238750000001</v>
      </c>
    </row>
    <row r="242" spans="1:58" x14ac:dyDescent="0.35">
      <c r="B242" t="s">
        <v>46</v>
      </c>
      <c r="C242" s="5">
        <f>[1]Results!F362</f>
        <v>21.78056273</v>
      </c>
      <c r="D242" s="5">
        <f>[1]Results!G362</f>
        <v>21.502576920000003</v>
      </c>
      <c r="E242" s="5">
        <f>[1]Results!H362</f>
        <v>21.362437</v>
      </c>
      <c r="F242" s="5">
        <f>[1]Results!I362</f>
        <v>21.315468410000001</v>
      </c>
      <c r="G242" s="5">
        <f>[1]Results!J362</f>
        <v>21.33204851</v>
      </c>
      <c r="H242" s="5">
        <f>[1]Results!K362</f>
        <v>21.392816679999999</v>
      </c>
      <c r="I242" s="5">
        <f>[1]Results!L362</f>
        <v>21.48252622</v>
      </c>
      <c r="J242" s="5">
        <f>[1]Results!M362</f>
        <v>21.592808659999999</v>
      </c>
      <c r="K242" s="5">
        <f>[1]Results!N362</f>
        <v>21.718020729999999</v>
      </c>
      <c r="L242" s="5">
        <f>[1]Results!O362</f>
        <v>21.854280160000002</v>
      </c>
      <c r="M242" s="5">
        <f>[1]Results!P362</f>
        <v>22.003290379999999</v>
      </c>
      <c r="N242" s="5">
        <f>[1]Results!Q362</f>
        <v>22.158351379999999</v>
      </c>
      <c r="O242" s="5">
        <f>[1]Results!R362</f>
        <v>22.31786421</v>
      </c>
      <c r="P242" s="5">
        <f>[1]Results!S362</f>
        <v>22.48054127</v>
      </c>
      <c r="Q242" s="5">
        <f>[1]Results!T362</f>
        <v>22.645408660000001</v>
      </c>
      <c r="R242" s="5">
        <f>[1]Results!U362</f>
        <v>22.81175923</v>
      </c>
      <c r="S242" s="5">
        <f>[1]Results!V362</f>
        <v>22.979087100000001</v>
      </c>
      <c r="T242" s="5">
        <f>[1]Results!W362</f>
        <v>23.147030340000001</v>
      </c>
      <c r="U242" s="5">
        <f>[1]Results!X362</f>
        <v>23.315323260000003</v>
      </c>
      <c r="V242" s="5">
        <f>[1]Results!Y362</f>
        <v>23.483762039999998</v>
      </c>
      <c r="W242" s="5">
        <f>[1]Results!Z362</f>
        <v>23.64903035</v>
      </c>
      <c r="X242" s="5">
        <f>[1]Results!AA362</f>
        <v>23.81436278</v>
      </c>
      <c r="Y242" s="5">
        <f>[1]Results!AB362</f>
        <v>23.979709190000001</v>
      </c>
      <c r="Z242" s="5">
        <f>[1]Results!AC362</f>
        <v>24.145063820000001</v>
      </c>
      <c r="AA242" s="5">
        <f>[1]Results!AD362</f>
        <v>24.31039762</v>
      </c>
      <c r="AB242" s="5">
        <f>[1]Results!AE362</f>
        <v>24.466803479999999</v>
      </c>
      <c r="AC242" s="5">
        <f>[1]Results!AF362</f>
        <v>24.61949276</v>
      </c>
      <c r="AD242" s="5">
        <f>[1]Results!AG362</f>
        <v>24.768829449999998</v>
      </c>
      <c r="AE242" s="5">
        <f>[1]Results!AH362</f>
        <v>24.915347699999998</v>
      </c>
      <c r="AF242" s="5">
        <f>[1]Results!AI362</f>
        <v>25.059609590000001</v>
      </c>
      <c r="AG242" s="5">
        <f>[1]Results!AJ362</f>
        <v>25.202126149999998</v>
      </c>
      <c r="AH242" s="5">
        <f>[1]Results!AK362</f>
        <v>25.34332783</v>
      </c>
      <c r="AI242" s="5">
        <f>[1]Results!AL362</f>
        <v>25.483561989999998</v>
      </c>
      <c r="AJ242" s="5">
        <f>[1]Results!AM362</f>
        <v>25.623105129999999</v>
      </c>
      <c r="AK242" s="5">
        <f>[1]Results!AN362</f>
        <v>25.762180050000001</v>
      </c>
      <c r="AL242" s="5">
        <f>[1]Results!AO362</f>
        <v>25.90097184</v>
      </c>
      <c r="AM242" s="5">
        <f>[1]Results!AP362</f>
        <v>26.03765387</v>
      </c>
      <c r="AN242" s="5">
        <f>[1]Results!AQ362</f>
        <v>26.17250684</v>
      </c>
      <c r="AO242" s="5">
        <f>[1]Results!AR362</f>
        <v>26.30584077</v>
      </c>
      <c r="AP242" s="5">
        <f>[1]Results!AS362</f>
        <v>26.438012989999997</v>
      </c>
      <c r="AQ242" s="5">
        <f>[1]Results!AT362</f>
        <v>26.569401020000001</v>
      </c>
      <c r="AR242" s="5">
        <f>[1]Results!AU362</f>
        <v>26.700370969999998</v>
      </c>
      <c r="AS242" s="5">
        <f>[1]Results!AV362</f>
        <v>26.831252850000002</v>
      </c>
      <c r="AT242" s="5">
        <f>[1]Results!AW362</f>
        <v>26.96232822</v>
      </c>
      <c r="AU242" s="5">
        <f>[1]Results!AX362</f>
        <v>27.093827519999998</v>
      </c>
      <c r="AV242" s="5">
        <f>[1]Results!AY362</f>
        <v>27.225932670000002</v>
      </c>
      <c r="AW242" s="5">
        <f>[1]Results!AZ362</f>
        <v>27.35897353</v>
      </c>
      <c r="AX242" s="5">
        <f>[1]Results!BA362</f>
        <v>27.493002520000001</v>
      </c>
      <c r="AY242" s="5">
        <f>[1]Results!BB362</f>
        <v>27.627689270000001</v>
      </c>
      <c r="AZ242" s="5">
        <f>[1]Results!BC362</f>
        <v>27.76267477</v>
      </c>
      <c r="BA242" s="5">
        <f>[1]Results!BD362</f>
        <v>27.897734329999999</v>
      </c>
      <c r="BB242" s="5">
        <f>[1]Results!BE362</f>
        <v>29.57035072</v>
      </c>
      <c r="BC242" s="5">
        <f>[1]Results!BF362</f>
        <v>29.775512519999999</v>
      </c>
      <c r="BD242" s="5">
        <f>[1]Results!BG362</f>
        <v>29.98238898</v>
      </c>
      <c r="BE242" s="5">
        <f>[1]Results!BH362</f>
        <v>30.191121769999999</v>
      </c>
      <c r="BF242" s="5">
        <f>[1]Results!BI362</f>
        <v>30.401872050000001</v>
      </c>
    </row>
    <row r="244" spans="1:58" x14ac:dyDescent="0.35">
      <c r="A244" s="12" t="s">
        <v>43</v>
      </c>
      <c r="B244" t="s">
        <v>26</v>
      </c>
      <c r="C244" s="5">
        <f>C245+C246+C247+C248</f>
        <v>98.031709027999995</v>
      </c>
      <c r="D244" s="5">
        <f t="shared" ref="D244:AL244" si="135">D245+D246+D247+D248</f>
        <v>99.193460415000004</v>
      </c>
      <c r="E244" s="5">
        <f t="shared" si="135"/>
        <v>100.45059543500001</v>
      </c>
      <c r="F244" s="5">
        <f t="shared" si="135"/>
        <v>101.804370494</v>
      </c>
      <c r="G244" s="5">
        <f t="shared" si="135"/>
        <v>103.25579915299998</v>
      </c>
      <c r="H244" s="5">
        <f t="shared" si="135"/>
        <v>104.799962337</v>
      </c>
      <c r="I244" s="5">
        <f t="shared" si="135"/>
        <v>106.36249618100001</v>
      </c>
      <c r="J244" s="5">
        <f t="shared" si="135"/>
        <v>107.972943555</v>
      </c>
      <c r="K244" s="5">
        <f t="shared" si="135"/>
        <v>109.63212353500001</v>
      </c>
      <c r="L244" s="5">
        <f t="shared" si="135"/>
        <v>111.336413884</v>
      </c>
      <c r="M244" s="5">
        <f t="shared" si="135"/>
        <v>113.196990379</v>
      </c>
      <c r="N244" s="5">
        <f t="shared" si="135"/>
        <v>115.02632222100002</v>
      </c>
      <c r="O244" s="5">
        <f t="shared" si="135"/>
        <v>116.87364407300001</v>
      </c>
      <c r="P244" s="5">
        <f t="shared" si="135"/>
        <v>118.746324079</v>
      </c>
      <c r="Q244" s="5">
        <f t="shared" si="135"/>
        <v>120.64462589199999</v>
      </c>
      <c r="R244" s="5">
        <f t="shared" si="135"/>
        <v>122.56783596699999</v>
      </c>
      <c r="S244" s="5">
        <f t="shared" si="135"/>
        <v>124.51533515899999</v>
      </c>
      <c r="T244" s="5">
        <f t="shared" si="135"/>
        <v>126.486747916</v>
      </c>
      <c r="U244" s="5">
        <f t="shared" si="135"/>
        <v>128.48192714500001</v>
      </c>
      <c r="V244" s="5">
        <f t="shared" si="135"/>
        <v>130.50091857199999</v>
      </c>
      <c r="W244" s="5">
        <f t="shared" si="135"/>
        <v>132.45806461500001</v>
      </c>
      <c r="X244" s="5">
        <f t="shared" si="135"/>
        <v>134.491205885</v>
      </c>
      <c r="Y244" s="5">
        <f t="shared" si="135"/>
        <v>136.56214921200001</v>
      </c>
      <c r="Z244" s="5">
        <f t="shared" si="135"/>
        <v>138.66437499599999</v>
      </c>
      <c r="AA244" s="5">
        <f t="shared" si="135"/>
        <v>140.796977228</v>
      </c>
      <c r="AB244" s="5">
        <f t="shared" si="135"/>
        <v>142.71137340499999</v>
      </c>
      <c r="AC244" s="5">
        <f t="shared" si="135"/>
        <v>144.68769070500002</v>
      </c>
      <c r="AD244" s="5">
        <f t="shared" si="135"/>
        <v>146.68374029699999</v>
      </c>
      <c r="AE244" s="5">
        <f t="shared" si="135"/>
        <v>148.696552591</v>
      </c>
      <c r="AF244" s="5">
        <f t="shared" si="135"/>
        <v>150.729554267</v>
      </c>
      <c r="AG244" s="5">
        <f t="shared" si="135"/>
        <v>152.78667298799999</v>
      </c>
      <c r="AH244" s="5">
        <f t="shared" si="135"/>
        <v>154.87124229399998</v>
      </c>
      <c r="AI244" s="5">
        <f t="shared" si="135"/>
        <v>156.98583695900001</v>
      </c>
      <c r="AJ244" s="5">
        <f t="shared" si="135"/>
        <v>159.13231894200001</v>
      </c>
      <c r="AK244" s="5">
        <f t="shared" si="135"/>
        <v>161.31194144299999</v>
      </c>
      <c r="AL244" s="5">
        <f t="shared" si="135"/>
        <v>163.52546825500002</v>
      </c>
      <c r="AM244" s="5">
        <f t="shared" ref="AM244:BC244" si="136">AM245+AM246+AM247+AM248</f>
        <v>165.71290436800001</v>
      </c>
      <c r="AN244" s="5">
        <f t="shared" si="136"/>
        <v>167.90989177299997</v>
      </c>
      <c r="AO244" s="5">
        <f t="shared" si="136"/>
        <v>170.12506736700001</v>
      </c>
      <c r="AP244" s="5">
        <f t="shared" si="136"/>
        <v>172.36205782899998</v>
      </c>
      <c r="AQ244" s="5">
        <f t="shared" si="136"/>
        <v>174.62338682399999</v>
      </c>
      <c r="AR244" s="5">
        <f t="shared" si="136"/>
        <v>176.90147774500002</v>
      </c>
      <c r="AS244" s="5">
        <f t="shared" si="136"/>
        <v>179.201541623</v>
      </c>
      <c r="AT244" s="5">
        <f t="shared" si="136"/>
        <v>181.530558716</v>
      </c>
      <c r="AU244" s="5">
        <f t="shared" si="136"/>
        <v>183.894182433</v>
      </c>
      <c r="AV244" s="5">
        <f t="shared" si="136"/>
        <v>186.296133623</v>
      </c>
      <c r="AW244" s="5">
        <f t="shared" si="136"/>
        <v>188.74396548300001</v>
      </c>
      <c r="AX244" s="5">
        <f t="shared" si="136"/>
        <v>191.235346002</v>
      </c>
      <c r="AY244" s="5">
        <f t="shared" si="136"/>
        <v>193.76967480600001</v>
      </c>
      <c r="AZ244" s="5">
        <f t="shared" si="136"/>
        <v>196.34641195</v>
      </c>
      <c r="BA244" s="5">
        <f t="shared" si="136"/>
        <v>198.96493205200002</v>
      </c>
      <c r="BB244" s="5">
        <f t="shared" si="136"/>
        <v>219.62979436000001</v>
      </c>
      <c r="BC244" s="5">
        <f t="shared" si="136"/>
        <v>223.28244995</v>
      </c>
      <c r="BD244" s="5">
        <f t="shared" ref="BD244:BF244" si="137">BD245+BD246+BD247+BD248</f>
        <v>226.99166742999998</v>
      </c>
      <c r="BE244" s="5">
        <f t="shared" si="137"/>
        <v>230.75868786000001</v>
      </c>
      <c r="BF244" s="5">
        <f t="shared" si="137"/>
        <v>234.58481332999997</v>
      </c>
    </row>
    <row r="245" spans="1:58" x14ac:dyDescent="0.35">
      <c r="A245" t="s">
        <v>38</v>
      </c>
      <c r="B245" t="s">
        <v>7</v>
      </c>
      <c r="C245" s="5">
        <f>[1]Results!F439</f>
        <v>4.9018418080000004</v>
      </c>
      <c r="D245" s="5">
        <f>[1]Results!G439</f>
        <v>4.9472254250000001</v>
      </c>
      <c r="E245" s="5">
        <f>[1]Results!H439</f>
        <v>4.989664715</v>
      </c>
      <c r="F245" s="5">
        <f>[1]Results!I439</f>
        <v>5.0308256839999999</v>
      </c>
      <c r="G245" s="5">
        <f>[1]Results!J439</f>
        <v>5.0722545229999998</v>
      </c>
      <c r="H245" s="5">
        <f>[1]Results!K439</f>
        <v>5.1147593369999997</v>
      </c>
      <c r="I245" s="5">
        <f>[1]Results!L439</f>
        <v>5.1546236609999996</v>
      </c>
      <c r="J245" s="5">
        <f>[1]Results!M439</f>
        <v>5.1950983449999999</v>
      </c>
      <c r="K245" s="5">
        <f>[1]Results!N439</f>
        <v>5.2367736650000003</v>
      </c>
      <c r="L245" s="5">
        <f>[1]Results!O439</f>
        <v>5.2797809740000003</v>
      </c>
      <c r="M245" s="5">
        <f>[1]Results!P439</f>
        <v>5.3310587590000003</v>
      </c>
      <c r="N245" s="5">
        <f>[1]Results!Q439</f>
        <v>5.3782448010000001</v>
      </c>
      <c r="O245" s="5">
        <f>[1]Results!R439</f>
        <v>5.4256564230000004</v>
      </c>
      <c r="P245" s="5">
        <f>[1]Results!S439</f>
        <v>5.4738744390000003</v>
      </c>
      <c r="Q245" s="5">
        <f>[1]Results!T439</f>
        <v>5.5229412419999999</v>
      </c>
      <c r="R245" s="5">
        <f>[1]Results!U439</f>
        <v>5.5727892170000004</v>
      </c>
      <c r="S245" s="5">
        <f>[1]Results!V439</f>
        <v>5.623318029</v>
      </c>
      <c r="T245" s="5">
        <f>[1]Results!W439</f>
        <v>5.6744195260000003</v>
      </c>
      <c r="U245" s="5">
        <f>[1]Results!X439</f>
        <v>5.7259906650000003</v>
      </c>
      <c r="V245" s="5">
        <f>[1]Results!Y439</f>
        <v>5.7779412719999996</v>
      </c>
      <c r="W245" s="5">
        <f>[1]Results!Z439</f>
        <v>5.825321755</v>
      </c>
      <c r="X245" s="5">
        <f>[1]Results!AA439</f>
        <v>5.8767585650000003</v>
      </c>
      <c r="Y245" s="5">
        <f>[1]Results!AB439</f>
        <v>5.9290840920000001</v>
      </c>
      <c r="Z245" s="5">
        <f>[1]Results!AC439</f>
        <v>5.9818044959999996</v>
      </c>
      <c r="AA245" s="5">
        <f>[1]Results!AD439</f>
        <v>6.0348140780000001</v>
      </c>
      <c r="AB245" s="5">
        <f>[1]Results!AE439</f>
        <v>6.0743853950000002</v>
      </c>
      <c r="AC245" s="5">
        <f>[1]Results!AF439</f>
        <v>6.1185028949999998</v>
      </c>
      <c r="AD245" s="5">
        <f>[1]Results!AG439</f>
        <v>6.1633526569999999</v>
      </c>
      <c r="AE245" s="5">
        <f>[1]Results!AH439</f>
        <v>6.2085086409999999</v>
      </c>
      <c r="AF245" s="5">
        <f>[1]Results!AI439</f>
        <v>6.2539666570000003</v>
      </c>
      <c r="AG245" s="5">
        <f>[1]Results!AJ439</f>
        <v>6.2997848779999996</v>
      </c>
      <c r="AH245" s="5">
        <f>[1]Results!AK439</f>
        <v>6.3460337840000003</v>
      </c>
      <c r="AI245" s="5">
        <f>[1]Results!AL439</f>
        <v>6.3927844890000003</v>
      </c>
      <c r="AJ245" s="5">
        <f>[1]Results!AM439</f>
        <v>6.4401028020000002</v>
      </c>
      <c r="AK245" s="5">
        <f>[1]Results!AN439</f>
        <v>6.4880451529999998</v>
      </c>
      <c r="AL245" s="5">
        <f>[1]Results!AO439</f>
        <v>6.5366559950000003</v>
      </c>
      <c r="AM245" s="5">
        <f>[1]Results!AP439</f>
        <v>6.582856058</v>
      </c>
      <c r="AN245" s="5">
        <f>[1]Results!AQ439</f>
        <v>6.6290980929999996</v>
      </c>
      <c r="AO245" s="5">
        <f>[1]Results!AR439</f>
        <v>6.6758290669999996</v>
      </c>
      <c r="AP245" s="5">
        <f>[1]Results!AS439</f>
        <v>6.7231785689999999</v>
      </c>
      <c r="AQ245" s="5">
        <f>[1]Results!AT439</f>
        <v>6.7711842539999996</v>
      </c>
      <c r="AR245" s="5">
        <f>[1]Results!AU439</f>
        <v>6.8160030850000002</v>
      </c>
      <c r="AS245" s="5">
        <f>[1]Results!AV439</f>
        <v>6.8597038530000001</v>
      </c>
      <c r="AT245" s="5">
        <f>[1]Results!AW439</f>
        <v>6.9037969459999999</v>
      </c>
      <c r="AU245" s="5">
        <f>[1]Results!AX439</f>
        <v>6.9490648430000004</v>
      </c>
      <c r="AV245" s="5">
        <f>[1]Results!AY439</f>
        <v>6.9958457230000004</v>
      </c>
      <c r="AW245" s="5">
        <f>[1]Results!AZ439</f>
        <v>7.0444987430000001</v>
      </c>
      <c r="AX245" s="5">
        <f>[1]Results!BA439</f>
        <v>7.0947818619999996</v>
      </c>
      <c r="AY245" s="5">
        <f>[1]Results!BB439</f>
        <v>7.146570466</v>
      </c>
      <c r="AZ245" s="5">
        <f>[1]Results!BC439</f>
        <v>7.1997472699999996</v>
      </c>
      <c r="BA245" s="5">
        <f>[1]Results!BD439</f>
        <v>7.254201772</v>
      </c>
      <c r="BB245" s="5">
        <f>[1]Results!BE439</f>
        <v>10.78471672</v>
      </c>
      <c r="BC245" s="5">
        <f>[1]Results!BF439</f>
        <v>10.958941790000001</v>
      </c>
      <c r="BD245" s="5">
        <f>[1]Results!BG439</f>
        <v>11.13593225</v>
      </c>
      <c r="BE245" s="5">
        <f>[1]Results!BH439</f>
        <v>11.315761910000001</v>
      </c>
      <c r="BF245" s="5">
        <f>[1]Results!BI439</f>
        <v>11.498509670000001</v>
      </c>
    </row>
    <row r="246" spans="1:58" x14ac:dyDescent="0.35">
      <c r="B246" t="s">
        <v>30</v>
      </c>
      <c r="C246" s="5">
        <f>[1]Results!F451</f>
        <v>44.245240760000002</v>
      </c>
      <c r="D246" s="5">
        <f>[1]Results!G451</f>
        <v>44.773603700000002</v>
      </c>
      <c r="E246" s="5">
        <f>[1]Results!H451</f>
        <v>45.357763400000003</v>
      </c>
      <c r="F246" s="5">
        <f>[1]Results!I451</f>
        <v>45.993532000000002</v>
      </c>
      <c r="G246" s="5">
        <f>[1]Results!J451</f>
        <v>46.678901779999997</v>
      </c>
      <c r="H246" s="5">
        <f>[1]Results!K451</f>
        <v>47.410557949999998</v>
      </c>
      <c r="I246" s="5">
        <f>[1]Results!L451</f>
        <v>48.153377339999999</v>
      </c>
      <c r="J246" s="5">
        <f>[1]Results!M451</f>
        <v>48.921465329999997</v>
      </c>
      <c r="K246" s="5">
        <f>[1]Results!N451</f>
        <v>49.714895730000002</v>
      </c>
      <c r="L246" s="5">
        <f>[1]Results!O451</f>
        <v>50.531670869999999</v>
      </c>
      <c r="M246" s="5">
        <f>[1]Results!P451</f>
        <v>51.423525320000003</v>
      </c>
      <c r="N246" s="5">
        <f>[1]Results!Q451</f>
        <v>52.30159441</v>
      </c>
      <c r="O246" s="5">
        <f>[1]Results!R451</f>
        <v>53.190019229999997</v>
      </c>
      <c r="P246" s="5">
        <f>[1]Results!S451</f>
        <v>54.09217057</v>
      </c>
      <c r="Q246" s="5">
        <f>[1]Results!T451</f>
        <v>55.00798503</v>
      </c>
      <c r="R246" s="5">
        <f>[1]Results!U451</f>
        <v>55.936954129999997</v>
      </c>
      <c r="S246" s="5">
        <f>[1]Results!V451</f>
        <v>56.878638649999999</v>
      </c>
      <c r="T246" s="5">
        <f>[1]Results!W451</f>
        <v>57.832746219999997</v>
      </c>
      <c r="U246" s="5">
        <f>[1]Results!X451</f>
        <v>58.799128549999999</v>
      </c>
      <c r="V246" s="5">
        <f>[1]Results!Y451</f>
        <v>59.777763649999997</v>
      </c>
      <c r="W246" s="5">
        <f>[1]Results!Z451</f>
        <v>60.728381210000002</v>
      </c>
      <c r="X246" s="5">
        <f>[1]Results!AA451</f>
        <v>61.716455609999997</v>
      </c>
      <c r="Y246" s="5">
        <f>[1]Results!AB451</f>
        <v>62.72312179</v>
      </c>
      <c r="Z246" s="5">
        <f>[1]Results!AC451</f>
        <v>63.745310570000001</v>
      </c>
      <c r="AA246" s="5">
        <f>[1]Results!AD451</f>
        <v>64.782688710000002</v>
      </c>
      <c r="AB246" s="5">
        <f>[1]Results!AE451</f>
        <v>65.718273150000002</v>
      </c>
      <c r="AC246" s="5">
        <f>[1]Results!AF451</f>
        <v>66.685977449999996</v>
      </c>
      <c r="AD246" s="5">
        <f>[1]Results!AG451</f>
        <v>67.664217399999998</v>
      </c>
      <c r="AE246" s="5">
        <f>[1]Results!AH451</f>
        <v>68.651185769999998</v>
      </c>
      <c r="AF246" s="5">
        <f>[1]Results!AI451</f>
        <v>69.648285119999997</v>
      </c>
      <c r="AG246" s="5">
        <f>[1]Results!AJ451</f>
        <v>70.657226649999998</v>
      </c>
      <c r="AH246" s="5">
        <f>[1]Results!AK451</f>
        <v>71.679498179999996</v>
      </c>
      <c r="AI246" s="5">
        <f>[1]Results!AL451</f>
        <v>72.71626612</v>
      </c>
      <c r="AJ246" s="5">
        <f>[1]Results!AM451</f>
        <v>73.76837381</v>
      </c>
      <c r="AK246" s="5">
        <f>[1]Results!AN451</f>
        <v>74.836372359999999</v>
      </c>
      <c r="AL246" s="5">
        <f>[1]Results!AO451</f>
        <v>75.920566500000007</v>
      </c>
      <c r="AM246" s="5">
        <f>[1]Results!AP451</f>
        <v>76.992478289999994</v>
      </c>
      <c r="AN246" s="5">
        <f>[1]Results!AQ451</f>
        <v>78.06933119</v>
      </c>
      <c r="AO246" s="5">
        <f>[1]Results!AR451</f>
        <v>79.154915220000007</v>
      </c>
      <c r="AP246" s="5">
        <f>[1]Results!AS451</f>
        <v>80.250630599999994</v>
      </c>
      <c r="AQ246" s="5">
        <f>[1]Results!AT451</f>
        <v>81.357408179999993</v>
      </c>
      <c r="AR246" s="5">
        <f>[1]Results!AU451</f>
        <v>82.472333250000005</v>
      </c>
      <c r="AS246" s="5">
        <f>[1]Results!AV451</f>
        <v>83.597403439999994</v>
      </c>
      <c r="AT246" s="5">
        <f>[1]Results!AW451</f>
        <v>84.735983439999998</v>
      </c>
      <c r="AU246" s="5">
        <f>[1]Results!AX451</f>
        <v>85.890917860000002</v>
      </c>
      <c r="AV246" s="5">
        <f>[1]Results!AY451</f>
        <v>87.064027530000004</v>
      </c>
      <c r="AW246" s="5">
        <f>[1]Results!AZ451</f>
        <v>88.258836090000003</v>
      </c>
      <c r="AX246" s="5">
        <f>[1]Results!BA451</f>
        <v>89.474054390000006</v>
      </c>
      <c r="AY246" s="5">
        <f>[1]Results!BB451</f>
        <v>90.709262960000004</v>
      </c>
      <c r="AZ246" s="5">
        <f>[1]Results!BC451</f>
        <v>91.964092269999995</v>
      </c>
      <c r="BA246" s="5">
        <f>[1]Results!BD451</f>
        <v>93.238159390000007</v>
      </c>
      <c r="BB246" s="5">
        <f>[1]Results!BE451</f>
        <v>101.9694488</v>
      </c>
      <c r="BC246" s="5">
        <f>[1]Results!BF451</f>
        <v>103.7202384</v>
      </c>
      <c r="BD246" s="5">
        <f>[1]Results!BG451</f>
        <v>105.4971243</v>
      </c>
      <c r="BE246" s="5">
        <f>[1]Results!BH451</f>
        <v>107.30059749999999</v>
      </c>
      <c r="BF246" s="5">
        <f>[1]Results!BI451</f>
        <v>109.13117939999999</v>
      </c>
    </row>
    <row r="247" spans="1:58" x14ac:dyDescent="0.35">
      <c r="B247" t="s">
        <v>28</v>
      </c>
      <c r="C247" s="5">
        <f>[1]Results!F427</f>
        <v>26.380502450000002</v>
      </c>
      <c r="D247" s="5">
        <f>[1]Results!G427</f>
        <v>26.69363237</v>
      </c>
      <c r="E247" s="5">
        <f>[1]Results!H427</f>
        <v>27.026169410000001</v>
      </c>
      <c r="F247" s="5">
        <f>[1]Results!I427</f>
        <v>27.380179559999998</v>
      </c>
      <c r="G247" s="5">
        <f>[1]Results!J427</f>
        <v>27.75610039</v>
      </c>
      <c r="H247" s="5">
        <f>[1]Results!K427</f>
        <v>28.15264741</v>
      </c>
      <c r="I247" s="5">
        <f>[1]Results!L427</f>
        <v>28.551729040000001</v>
      </c>
      <c r="J247" s="5">
        <f>[1]Results!M427</f>
        <v>28.96049154</v>
      </c>
      <c r="K247" s="5">
        <f>[1]Results!N427</f>
        <v>29.379399169999999</v>
      </c>
      <c r="L247" s="5">
        <f>[1]Results!O427</f>
        <v>29.807701869999999</v>
      </c>
      <c r="M247" s="5">
        <f>[1]Results!P427</f>
        <v>30.272577909999999</v>
      </c>
      <c r="N247" s="5">
        <f>[1]Results!Q427</f>
        <v>30.728529000000002</v>
      </c>
      <c r="O247" s="5">
        <f>[1]Results!R427</f>
        <v>31.18706808</v>
      </c>
      <c r="P247" s="5">
        <f>[1]Results!S427</f>
        <v>31.65026576</v>
      </c>
      <c r="Q247" s="5">
        <f>[1]Results!T427</f>
        <v>32.118426929999998</v>
      </c>
      <c r="R247" s="5">
        <f>[1]Results!U427</f>
        <v>32.591633049999999</v>
      </c>
      <c r="S247" s="5">
        <f>[1]Results!V427</f>
        <v>33.070021689999997</v>
      </c>
      <c r="T247" s="5">
        <f>[1]Results!W427</f>
        <v>33.553804990000003</v>
      </c>
      <c r="U247" s="5">
        <f>[1]Results!X427</f>
        <v>34.043241559999998</v>
      </c>
      <c r="V247" s="5">
        <f>[1]Results!Y427</f>
        <v>34.538609399999999</v>
      </c>
      <c r="W247" s="5">
        <f>[1]Results!Z427</f>
        <v>35.01924726</v>
      </c>
      <c r="X247" s="5">
        <f>[1]Results!AA427</f>
        <v>35.518885679999997</v>
      </c>
      <c r="Y247" s="5">
        <f>[1]Results!AB427</f>
        <v>36.02874654</v>
      </c>
      <c r="Z247" s="5">
        <f>[1]Results!AC427</f>
        <v>36.547217490000001</v>
      </c>
      <c r="AA247" s="5">
        <f>[1]Results!AD427</f>
        <v>37.074086629999996</v>
      </c>
      <c r="AB247" s="5">
        <f>[1]Results!AE427</f>
        <v>37.548686310000001</v>
      </c>
      <c r="AC247" s="5">
        <f>[1]Results!AF427</f>
        <v>38.039196400000002</v>
      </c>
      <c r="AD247" s="5">
        <f>[1]Results!AG427</f>
        <v>38.536284250000001</v>
      </c>
      <c r="AE247" s="5">
        <f>[1]Results!AH427</f>
        <v>39.039208690000002</v>
      </c>
      <c r="AF247" s="5">
        <f>[1]Results!AI427</f>
        <v>39.548795470000002</v>
      </c>
      <c r="AG247" s="5">
        <f>[1]Results!AJ427</f>
        <v>40.065971050000002</v>
      </c>
      <c r="AH247" s="5">
        <f>[1]Results!AK427</f>
        <v>40.591462929999999</v>
      </c>
      <c r="AI247" s="5">
        <f>[1]Results!AL427</f>
        <v>41.125766570000003</v>
      </c>
      <c r="AJ247" s="5">
        <f>[1]Results!AM427</f>
        <v>41.669180330000003</v>
      </c>
      <c r="AK247" s="5">
        <f>[1]Results!AN427</f>
        <v>42.221855580000003</v>
      </c>
      <c r="AL247" s="5">
        <f>[1]Results!AO427</f>
        <v>42.78384458</v>
      </c>
      <c r="AM247" s="5">
        <f>[1]Results!AP427</f>
        <v>43.340331999999997</v>
      </c>
      <c r="AN247" s="5">
        <f>[1]Results!AQ427</f>
        <v>43.899964679999997</v>
      </c>
      <c r="AO247" s="5">
        <f>[1]Results!AR427</f>
        <v>44.465055919999998</v>
      </c>
      <c r="AP247" s="5">
        <f>[1]Results!AS427</f>
        <v>45.03662078</v>
      </c>
      <c r="AQ247" s="5">
        <f>[1]Results!AT427</f>
        <v>45.615372180000001</v>
      </c>
      <c r="AR247" s="5">
        <f>[1]Results!AU427</f>
        <v>46.202955060000001</v>
      </c>
      <c r="AS247" s="5">
        <f>[1]Results!AV427</f>
        <v>46.800289630000002</v>
      </c>
      <c r="AT247" s="5">
        <f>[1]Results!AW427</f>
        <v>47.407753280000001</v>
      </c>
      <c r="AU247" s="5">
        <f>[1]Results!AX427</f>
        <v>48.025421569999999</v>
      </c>
      <c r="AV247" s="5">
        <f>[1]Results!AY427</f>
        <v>48.653277879999997</v>
      </c>
      <c r="AW247" s="5">
        <f>[1]Results!AZ427</f>
        <v>49.292669629999999</v>
      </c>
      <c r="AX247" s="5">
        <f>[1]Results!BA427</f>
        <v>49.942824999999999</v>
      </c>
      <c r="AY247" s="5">
        <f>[1]Results!BB427</f>
        <v>50.60356668</v>
      </c>
      <c r="AZ247" s="5">
        <f>[1]Results!BC427</f>
        <v>51.274829850000003</v>
      </c>
      <c r="BA247" s="5">
        <f>[1]Results!BD427</f>
        <v>51.956559480000003</v>
      </c>
      <c r="BB247" s="5">
        <f>[1]Results!BE427</f>
        <v>55.493589890000003</v>
      </c>
      <c r="BC247" s="5">
        <f>[1]Results!BF427</f>
        <v>56.373474880000003</v>
      </c>
      <c r="BD247" s="5">
        <f>[1]Results!BG427</f>
        <v>57.26841727</v>
      </c>
      <c r="BE247" s="5">
        <f>[1]Results!BH427</f>
        <v>58.178734579999997</v>
      </c>
      <c r="BF247" s="5">
        <f>[1]Results!BI427</f>
        <v>59.104750869999997</v>
      </c>
    </row>
    <row r="248" spans="1:58" x14ac:dyDescent="0.35">
      <c r="B248" t="s">
        <v>10</v>
      </c>
      <c r="C248" s="5">
        <f>[1]Results!F463</f>
        <v>22.504124010000002</v>
      </c>
      <c r="D248" s="5">
        <f>[1]Results!G463</f>
        <v>22.778998919999999</v>
      </c>
      <c r="E248" s="5">
        <f>[1]Results!H463</f>
        <v>23.076997909999999</v>
      </c>
      <c r="F248" s="5">
        <f>[1]Results!I463</f>
        <v>23.39983325</v>
      </c>
      <c r="G248" s="5">
        <f>[1]Results!J463</f>
        <v>23.748542459999999</v>
      </c>
      <c r="H248" s="5">
        <f>[1]Results!K463</f>
        <v>24.12199764</v>
      </c>
      <c r="I248" s="5">
        <f>[1]Results!L463</f>
        <v>24.502766139999999</v>
      </c>
      <c r="J248" s="5">
        <f>[1]Results!M463</f>
        <v>24.895888339999999</v>
      </c>
      <c r="K248" s="5">
        <f>[1]Results!N463</f>
        <v>25.301054969999999</v>
      </c>
      <c r="L248" s="5">
        <f>[1]Results!O463</f>
        <v>25.717260169999999</v>
      </c>
      <c r="M248" s="5">
        <f>[1]Results!P463</f>
        <v>26.169828389999999</v>
      </c>
      <c r="N248" s="5">
        <f>[1]Results!Q463</f>
        <v>26.617954009999998</v>
      </c>
      <c r="O248" s="5">
        <f>[1]Results!R463</f>
        <v>27.070900340000001</v>
      </c>
      <c r="P248" s="5">
        <f>[1]Results!S463</f>
        <v>27.530013310000001</v>
      </c>
      <c r="Q248" s="5">
        <f>[1]Results!T463</f>
        <v>27.99527269</v>
      </c>
      <c r="R248" s="5">
        <f>[1]Results!U463</f>
        <v>28.466459570000001</v>
      </c>
      <c r="S248" s="5">
        <f>[1]Results!V463</f>
        <v>28.943356789999999</v>
      </c>
      <c r="T248" s="5">
        <f>[1]Results!W463</f>
        <v>29.425777180000001</v>
      </c>
      <c r="U248" s="5">
        <f>[1]Results!X463</f>
        <v>29.913566370000002</v>
      </c>
      <c r="V248" s="5">
        <f>[1]Results!Y463</f>
        <v>30.406604250000001</v>
      </c>
      <c r="W248" s="5">
        <f>[1]Results!Z463</f>
        <v>30.885114389999998</v>
      </c>
      <c r="X248" s="5">
        <f>[1]Results!AA463</f>
        <v>31.379106029999999</v>
      </c>
      <c r="Y248" s="5">
        <f>[1]Results!AB463</f>
        <v>31.881196790000001</v>
      </c>
      <c r="Z248" s="5">
        <f>[1]Results!AC463</f>
        <v>32.390042440000002</v>
      </c>
      <c r="AA248" s="5">
        <f>[1]Results!AD463</f>
        <v>32.905387810000001</v>
      </c>
      <c r="AB248" s="5">
        <f>[1]Results!AE463</f>
        <v>33.370028550000001</v>
      </c>
      <c r="AC248" s="5">
        <f>[1]Results!AF463</f>
        <v>33.844013959999998</v>
      </c>
      <c r="AD248" s="5">
        <f>[1]Results!AG463</f>
        <v>34.319885990000003</v>
      </c>
      <c r="AE248" s="5">
        <f>[1]Results!AH463</f>
        <v>34.797649489999998</v>
      </c>
      <c r="AF248" s="5">
        <f>[1]Results!AI463</f>
        <v>35.278507019999999</v>
      </c>
      <c r="AG248" s="5">
        <f>[1]Results!AJ463</f>
        <v>35.763690410000002</v>
      </c>
      <c r="AH248" s="5">
        <f>[1]Results!AK463</f>
        <v>36.254247399999997</v>
      </c>
      <c r="AI248" s="5">
        <f>[1]Results!AL463</f>
        <v>36.75101978</v>
      </c>
      <c r="AJ248" s="5">
        <f>[1]Results!AM463</f>
        <v>37.254662000000003</v>
      </c>
      <c r="AK248" s="5">
        <f>[1]Results!AN463</f>
        <v>37.765668349999999</v>
      </c>
      <c r="AL248" s="5">
        <f>[1]Results!AO463</f>
        <v>38.284401180000003</v>
      </c>
      <c r="AM248" s="5">
        <f>[1]Results!AP463</f>
        <v>38.797238020000002</v>
      </c>
      <c r="AN248" s="5">
        <f>[1]Results!AQ463</f>
        <v>39.311497809999999</v>
      </c>
      <c r="AO248" s="5">
        <f>[1]Results!AR463</f>
        <v>39.829267160000001</v>
      </c>
      <c r="AP248" s="5">
        <f>[1]Results!AS463</f>
        <v>40.351627880000002</v>
      </c>
      <c r="AQ248" s="5">
        <f>[1]Results!AT463</f>
        <v>40.879422210000001</v>
      </c>
      <c r="AR248" s="5">
        <f>[1]Results!AU463</f>
        <v>41.410186349999996</v>
      </c>
      <c r="AS248" s="5">
        <f>[1]Results!AV463</f>
        <v>41.944144700000003</v>
      </c>
      <c r="AT248" s="5">
        <f>[1]Results!AW463</f>
        <v>42.483025050000002</v>
      </c>
      <c r="AU248" s="5">
        <f>[1]Results!AX463</f>
        <v>43.028778160000002</v>
      </c>
      <c r="AV248" s="5">
        <f>[1]Results!AY463</f>
        <v>43.582982489999999</v>
      </c>
      <c r="AW248" s="5">
        <f>[1]Results!AZ463</f>
        <v>44.147961019999997</v>
      </c>
      <c r="AX248" s="5">
        <f>[1]Results!BA463</f>
        <v>44.723684749999997</v>
      </c>
      <c r="AY248" s="5">
        <f>[1]Results!BB463</f>
        <v>45.310274700000001</v>
      </c>
      <c r="AZ248" s="5">
        <f>[1]Results!BC463</f>
        <v>45.907742560000003</v>
      </c>
      <c r="BA248" s="5">
        <f>[1]Results!BD463</f>
        <v>46.516011409999997</v>
      </c>
      <c r="BB248" s="5">
        <f>[1]Results!BE463</f>
        <v>51.382038950000002</v>
      </c>
      <c r="BC248" s="5">
        <f>[1]Results!BF463</f>
        <v>52.22979488</v>
      </c>
      <c r="BD248" s="5">
        <f>[1]Results!BG463</f>
        <v>53.09019361</v>
      </c>
      <c r="BE248" s="5">
        <f>[1]Results!BH463</f>
        <v>53.963593869999997</v>
      </c>
      <c r="BF248" s="5">
        <f>[1]Results!BI463</f>
        <v>54.850373390000001</v>
      </c>
    </row>
    <row r="249" spans="1:58" x14ac:dyDescent="0.35">
      <c r="B249" t="s">
        <v>25</v>
      </c>
      <c r="C249" s="5">
        <f>[1]Results!F414</f>
        <v>64.301440170000006</v>
      </c>
      <c r="D249" s="5">
        <f>[1]Results!G414</f>
        <v>64.246862460000003</v>
      </c>
      <c r="E249" s="5">
        <f>[1]Results!H414</f>
        <v>63.987110510000001</v>
      </c>
      <c r="F249" s="5">
        <f>[1]Results!I414</f>
        <v>63.726781899999999</v>
      </c>
      <c r="G249" s="5">
        <f>[1]Results!J414</f>
        <v>63.5230277</v>
      </c>
      <c r="H249" s="5">
        <f>[1]Results!K414</f>
        <v>63.374323330000003</v>
      </c>
      <c r="I249" s="5">
        <f>[1]Results!L414</f>
        <v>63.269339819999999</v>
      </c>
      <c r="J249" s="5">
        <f>[1]Results!M414</f>
        <v>63.207349200000003</v>
      </c>
      <c r="K249" s="5">
        <f>[1]Results!N414</f>
        <v>63.179119729999996</v>
      </c>
      <c r="L249" s="5">
        <f>[1]Results!O414</f>
        <v>63.174972789999998</v>
      </c>
      <c r="M249" s="5">
        <f>[1]Results!P414</f>
        <v>63.216511509999997</v>
      </c>
      <c r="N249" s="5">
        <f>[1]Results!Q414</f>
        <v>63.254272620000002</v>
      </c>
      <c r="O249" s="5">
        <f>[1]Results!R414</f>
        <v>63.29205254</v>
      </c>
      <c r="P249" s="5">
        <f>[1]Results!S414</f>
        <v>63.330832270000002</v>
      </c>
      <c r="Q249" s="5">
        <f>[1]Results!T414</f>
        <v>63.370926560000001</v>
      </c>
      <c r="R249" s="5">
        <f>[1]Results!U414</f>
        <v>63.413108770000001</v>
      </c>
      <c r="S249" s="5">
        <f>[1]Results!V414</f>
        <v>63.458096990000001</v>
      </c>
      <c r="T249" s="5">
        <f>[1]Results!W414</f>
        <v>63.506344970000001</v>
      </c>
      <c r="U249" s="5">
        <f>[1]Results!X414</f>
        <v>63.558024340000003</v>
      </c>
      <c r="V249" s="5">
        <f>[1]Results!Y414</f>
        <v>63.613086690000003</v>
      </c>
      <c r="W249" s="5">
        <f>[1]Results!Z414</f>
        <v>63.651788850000003</v>
      </c>
      <c r="X249" s="5">
        <f>[1]Results!AA414</f>
        <v>63.70291709</v>
      </c>
      <c r="Y249" s="5">
        <f>[1]Results!AB414</f>
        <v>63.761115480000001</v>
      </c>
      <c r="Z249" s="5">
        <f>[1]Results!AC414</f>
        <v>63.823782600000001</v>
      </c>
      <c r="AA249" s="5">
        <f>[1]Results!AD414</f>
        <v>63.889644160000003</v>
      </c>
      <c r="AB249" s="5">
        <f>[1]Results!AE414</f>
        <v>63.904536980000003</v>
      </c>
      <c r="AC249" s="5">
        <f>[1]Results!AF414</f>
        <v>63.922360390000001</v>
      </c>
      <c r="AD249" s="5">
        <f>[1]Results!AG414</f>
        <v>63.941205359999998</v>
      </c>
      <c r="AE249" s="5">
        <f>[1]Results!AH414</f>
        <v>63.960270770000001</v>
      </c>
      <c r="AF249" s="5">
        <f>[1]Results!AI414</f>
        <v>63.979396029999997</v>
      </c>
      <c r="AG249" s="5">
        <f>[1]Results!AJ414</f>
        <v>63.9987475</v>
      </c>
      <c r="AH249" s="5">
        <f>[1]Results!AK414</f>
        <v>64.018629349999998</v>
      </c>
      <c r="AI249" s="5">
        <f>[1]Results!AL414</f>
        <v>64.039381629999994</v>
      </c>
      <c r="AJ249" s="5">
        <f>[1]Results!AM414</f>
        <v>64.061333739999995</v>
      </c>
      <c r="AK249" s="5">
        <f>[1]Results!AN414</f>
        <v>64.084789939999993</v>
      </c>
      <c r="AL249" s="5">
        <f>[1]Results!AO414</f>
        <v>64.110031480000004</v>
      </c>
      <c r="AM249" s="5">
        <f>[1]Results!AP414</f>
        <v>64.125866650000006</v>
      </c>
      <c r="AN249" s="5">
        <f>[1]Results!AQ414</f>
        <v>64.138072359999995</v>
      </c>
      <c r="AO249" s="5">
        <f>[1]Results!AR414</f>
        <v>64.155596070000001</v>
      </c>
      <c r="AP249" s="5">
        <f>[1]Results!AS414</f>
        <v>64.18423568</v>
      </c>
      <c r="AQ249" s="5">
        <f>[1]Results!AT414</f>
        <v>64.224990509999998</v>
      </c>
      <c r="AR249" s="5">
        <f>[1]Results!AU414</f>
        <v>64.272332059999997</v>
      </c>
      <c r="AS249" s="5">
        <f>[1]Results!AV414</f>
        <v>64.315504180000005</v>
      </c>
      <c r="AT249" s="5">
        <f>[1]Results!AW414</f>
        <v>64.346826500000006</v>
      </c>
      <c r="AU249" s="5">
        <f>[1]Results!AX414</f>
        <v>64.365162690000005</v>
      </c>
      <c r="AV249" s="5">
        <f>[1]Results!AY414</f>
        <v>64.373963619999998</v>
      </c>
      <c r="AW249" s="5">
        <f>[1]Results!AZ414</f>
        <v>64.378993750000006</v>
      </c>
      <c r="AX249" s="5">
        <f>[1]Results!BA414</f>
        <v>64.384024229999994</v>
      </c>
      <c r="AY249" s="5">
        <f>[1]Results!BB414</f>
        <v>64.391764679999994</v>
      </c>
      <c r="AZ249" s="5">
        <f>[1]Results!BC414</f>
        <v>64.40382382</v>
      </c>
      <c r="BA249" s="5">
        <f>[1]Results!BD414</f>
        <v>64.420986940000006</v>
      </c>
      <c r="BB249" s="5">
        <f>[1]Results!BE414</f>
        <v>66.181774820000001</v>
      </c>
      <c r="BC249" s="5">
        <f>[1]Results!BF414</f>
        <v>66.315964530000002</v>
      </c>
      <c r="BD249" s="5">
        <f>[1]Results!BG414</f>
        <v>66.452371409999998</v>
      </c>
      <c r="BE249" s="5">
        <f>[1]Results!BH414</f>
        <v>66.591310300000004</v>
      </c>
      <c r="BF249" s="5">
        <f>[1]Results!BI414</f>
        <v>66.732995119999998</v>
      </c>
    </row>
    <row r="250" spans="1:58" x14ac:dyDescent="0.35">
      <c r="B250" t="s">
        <v>47</v>
      </c>
      <c r="C250" s="5">
        <f>[1]Results!F415</f>
        <v>42.52087745</v>
      </c>
      <c r="D250" s="5">
        <f>[1]Results!G415</f>
        <v>42.744238590000002</v>
      </c>
      <c r="E250" s="5">
        <f>[1]Results!H415</f>
        <v>42.624786749999998</v>
      </c>
      <c r="F250" s="5">
        <f>[1]Results!I415</f>
        <v>42.411738030000002</v>
      </c>
      <c r="G250" s="5">
        <f>[1]Results!J415</f>
        <v>42.191788109999997</v>
      </c>
      <c r="H250" s="5">
        <f>[1]Results!K415</f>
        <v>41.982727340000004</v>
      </c>
      <c r="I250" s="5">
        <f>[1]Results!L415</f>
        <v>41.788470429999997</v>
      </c>
      <c r="J250" s="5">
        <f>[1]Results!M415</f>
        <v>41.61668092</v>
      </c>
      <c r="K250" s="5">
        <f>[1]Results!N415</f>
        <v>41.463798400000002</v>
      </c>
      <c r="L250" s="5">
        <f>[1]Results!O415</f>
        <v>41.324046549999998</v>
      </c>
      <c r="M250" s="5">
        <f>[1]Results!P415</f>
        <v>41.217332570000003</v>
      </c>
      <c r="N250" s="5">
        <f>[1]Results!Q415</f>
        <v>41.100885890000001</v>
      </c>
      <c r="O250" s="5">
        <f>[1]Results!R415</f>
        <v>40.980087789999999</v>
      </c>
      <c r="P250" s="5">
        <f>[1]Results!S415</f>
        <v>40.857186929999997</v>
      </c>
      <c r="Q250" s="5">
        <f>[1]Results!T415</f>
        <v>40.7334508</v>
      </c>
      <c r="R250" s="5">
        <f>[1]Results!U415</f>
        <v>40.610340999999998</v>
      </c>
      <c r="S250" s="5">
        <f>[1]Results!V415</f>
        <v>40.489064920000004</v>
      </c>
      <c r="T250" s="5">
        <f>[1]Results!W415</f>
        <v>40.370426770000002</v>
      </c>
      <c r="U250" s="5">
        <f>[1]Results!X415</f>
        <v>40.254857049999998</v>
      </c>
      <c r="V250" s="5">
        <f>[1]Results!Y415</f>
        <v>40.142507960000003</v>
      </c>
      <c r="W250" s="5">
        <f>[1]Results!Z415</f>
        <v>40.016951560000003</v>
      </c>
      <c r="X250" s="5">
        <f>[1]Results!AA415</f>
        <v>39.903745270000002</v>
      </c>
      <c r="Y250" s="5">
        <f>[1]Results!AB415</f>
        <v>39.797588070000003</v>
      </c>
      <c r="Z250" s="5">
        <f>[1]Results!AC415</f>
        <v>39.695891659999994</v>
      </c>
      <c r="AA250" s="5">
        <f>[1]Results!AD415</f>
        <v>39.59741855</v>
      </c>
      <c r="AB250" s="5">
        <f>[1]Results!AE415</f>
        <v>39.456915309999999</v>
      </c>
      <c r="AC250" s="5">
        <f>[1]Results!AF415</f>
        <v>39.323082630000002</v>
      </c>
      <c r="AD250" s="5">
        <f>[1]Results!AG415</f>
        <v>39.193651639999999</v>
      </c>
      <c r="AE250" s="5">
        <f>[1]Results!AH415</f>
        <v>39.067293549999995</v>
      </c>
      <c r="AF250" s="5">
        <f>[1]Results!AI415</f>
        <v>38.94329123</v>
      </c>
      <c r="AG250" s="5">
        <f>[1]Results!AJ415</f>
        <v>38.821303899999997</v>
      </c>
      <c r="AH250" s="5">
        <f>[1]Results!AK415</f>
        <v>38.701208170000001</v>
      </c>
      <c r="AI250" s="5">
        <f>[1]Results!AL415</f>
        <v>38.582998270000004</v>
      </c>
      <c r="AJ250" s="5">
        <f>[1]Results!AM415</f>
        <v>38.466727849999998</v>
      </c>
      <c r="AK250" s="5">
        <f>[1]Results!AN415</f>
        <v>38.352478929999997</v>
      </c>
      <c r="AL250" s="5">
        <f>[1]Results!AO415</f>
        <v>38.240348210000001</v>
      </c>
      <c r="AM250" s="5">
        <f>[1]Results!AP415</f>
        <v>38.120973390000003</v>
      </c>
      <c r="AN250" s="5">
        <f>[1]Results!AQ415</f>
        <v>37.999853409999993</v>
      </c>
      <c r="AO250" s="5">
        <f>[1]Results!AR415</f>
        <v>37.885626819999999</v>
      </c>
      <c r="AP250" s="5">
        <f>[1]Results!AS415</f>
        <v>37.783737739999999</v>
      </c>
      <c r="AQ250" s="5">
        <f>[1]Results!AT415</f>
        <v>37.694810740000001</v>
      </c>
      <c r="AR250" s="5">
        <f>[1]Results!AU415</f>
        <v>37.612937659999993</v>
      </c>
      <c r="AS250" s="5">
        <f>[1]Results!AV415</f>
        <v>37.52705503</v>
      </c>
      <c r="AT250" s="5">
        <f>[1]Results!AW415</f>
        <v>37.429469079999997</v>
      </c>
      <c r="AU250" s="5">
        <f>[1]Results!AX415</f>
        <v>37.319084029999999</v>
      </c>
      <c r="AV250" s="5">
        <f>[1]Results!AY415</f>
        <v>37.199333639999999</v>
      </c>
      <c r="AW250" s="5">
        <f>[1]Results!AZ415</f>
        <v>37.075719999999997</v>
      </c>
      <c r="AX250" s="5">
        <f>[1]Results!BA415</f>
        <v>36.951876079999998</v>
      </c>
      <c r="AY250" s="5">
        <f>[1]Results!BB415</f>
        <v>36.830354880000002</v>
      </c>
      <c r="AZ250" s="5">
        <f>[1]Results!BC415</f>
        <v>36.712617420000001</v>
      </c>
      <c r="BA250" s="5">
        <f>[1]Results!BD415</f>
        <v>36.599324299999999</v>
      </c>
      <c r="BB250" s="5">
        <f>[1]Results!BE415</f>
        <v>36.670255640000001</v>
      </c>
      <c r="BC250" s="5">
        <f>[1]Results!BF415</f>
        <v>36.60359107</v>
      </c>
      <c r="BD250" s="5">
        <f>[1]Results!BG415</f>
        <v>36.537648270000005</v>
      </c>
      <c r="BE250" s="5">
        <f>[1]Results!BH415</f>
        <v>36.472608630000003</v>
      </c>
      <c r="BF250" s="5">
        <f>[1]Results!BI415</f>
        <v>36.408537789999997</v>
      </c>
    </row>
    <row r="251" spans="1:58" x14ac:dyDescent="0.35">
      <c r="B251" t="s">
        <v>48</v>
      </c>
      <c r="C251" s="5">
        <f>[1]Results!F423</f>
        <v>21.78056273</v>
      </c>
      <c r="D251" s="5">
        <f>[1]Results!G423</f>
        <v>21.502623870000001</v>
      </c>
      <c r="E251" s="5">
        <f>[1]Results!H423</f>
        <v>21.362323760000002</v>
      </c>
      <c r="F251" s="5">
        <f>[1]Results!I423</f>
        <v>21.31504387</v>
      </c>
      <c r="G251" s="5">
        <f>[1]Results!J423</f>
        <v>21.331239589999999</v>
      </c>
      <c r="H251" s="5">
        <f>[1]Results!K423</f>
        <v>21.391595980000002</v>
      </c>
      <c r="I251" s="5">
        <f>[1]Results!L423</f>
        <v>21.480869390000002</v>
      </c>
      <c r="J251" s="5">
        <f>[1]Results!M423</f>
        <v>21.590668280000003</v>
      </c>
      <c r="K251" s="5">
        <f>[1]Results!N423</f>
        <v>21.715321320000001</v>
      </c>
      <c r="L251" s="5">
        <f>[1]Results!O423</f>
        <v>21.850926229999999</v>
      </c>
      <c r="M251" s="5">
        <f>[1]Results!P423</f>
        <v>21.999178929999999</v>
      </c>
      <c r="N251" s="5">
        <f>[1]Results!Q423</f>
        <v>22.15338672</v>
      </c>
      <c r="O251" s="5">
        <f>[1]Results!R423</f>
        <v>22.311964760000002</v>
      </c>
      <c r="P251" s="5">
        <f>[1]Results!S423</f>
        <v>22.473645340000001</v>
      </c>
      <c r="Q251" s="5">
        <f>[1]Results!T423</f>
        <v>22.637475760000001</v>
      </c>
      <c r="R251" s="5">
        <f>[1]Results!U423</f>
        <v>22.802767769999999</v>
      </c>
      <c r="S251" s="5">
        <f>[1]Results!V423</f>
        <v>22.969032070000001</v>
      </c>
      <c r="T251" s="5">
        <f>[1]Results!W423</f>
        <v>23.135918199999999</v>
      </c>
      <c r="U251" s="5">
        <f>[1]Results!X423</f>
        <v>23.303167289999998</v>
      </c>
      <c r="V251" s="5">
        <f>[1]Results!Y423</f>
        <v>23.47057873</v>
      </c>
      <c r="W251" s="5">
        <f>[1]Results!Z423</f>
        <v>23.634837300000001</v>
      </c>
      <c r="X251" s="5">
        <f>[1]Results!AA423</f>
        <v>23.799171820000002</v>
      </c>
      <c r="Y251" s="5">
        <f>[1]Results!AB423</f>
        <v>23.963527410000001</v>
      </c>
      <c r="Z251" s="5">
        <f>[1]Results!AC423</f>
        <v>24.12789094</v>
      </c>
      <c r="AA251" s="5">
        <f>[1]Results!AD423</f>
        <v>24.292225609999999</v>
      </c>
      <c r="AB251" s="5">
        <f>[1]Results!AE423</f>
        <v>24.447621680000001</v>
      </c>
      <c r="AC251" s="5">
        <f>[1]Results!AF423</f>
        <v>24.59927777</v>
      </c>
      <c r="AD251" s="5">
        <f>[1]Results!AG423</f>
        <v>24.747553719999999</v>
      </c>
      <c r="AE251" s="5">
        <f>[1]Results!AH423</f>
        <v>24.892977219999999</v>
      </c>
      <c r="AF251" s="5">
        <f>[1]Results!AI423</f>
        <v>25.036104809999998</v>
      </c>
      <c r="AG251" s="5">
        <f>[1]Results!AJ423</f>
        <v>25.1774436</v>
      </c>
      <c r="AH251" s="5">
        <f>[1]Results!AK423</f>
        <v>25.31742118</v>
      </c>
      <c r="AI251" s="5">
        <f>[1]Results!AL423</f>
        <v>25.45638336</v>
      </c>
      <c r="AJ251" s="5">
        <f>[1]Results!AM423</f>
        <v>25.59460589</v>
      </c>
      <c r="AK251" s="5">
        <f>[1]Results!AN423</f>
        <v>25.732310999999999</v>
      </c>
      <c r="AL251" s="5">
        <f>[1]Results!AO423</f>
        <v>25.869683269999999</v>
      </c>
      <c r="AM251" s="5">
        <f>[1]Results!AP423</f>
        <v>26.004893260000003</v>
      </c>
      <c r="AN251" s="5">
        <f>[1]Results!AQ423</f>
        <v>26.138218949999999</v>
      </c>
      <c r="AO251" s="5">
        <f>[1]Results!AR423</f>
        <v>26.269969249999999</v>
      </c>
      <c r="AP251" s="5">
        <f>[1]Results!AS423</f>
        <v>26.400497940000001</v>
      </c>
      <c r="AQ251" s="5">
        <f>[1]Results!AT423</f>
        <v>26.53017977</v>
      </c>
      <c r="AR251" s="5">
        <f>[1]Results!AU423</f>
        <v>26.6593944</v>
      </c>
      <c r="AS251" s="5">
        <f>[1]Results!AV423</f>
        <v>26.788449149999998</v>
      </c>
      <c r="AT251" s="5">
        <f>[1]Results!AW423</f>
        <v>26.917357420000002</v>
      </c>
      <c r="AU251" s="5">
        <f>[1]Results!AX423</f>
        <v>27.046078659999999</v>
      </c>
      <c r="AV251" s="5">
        <f>[1]Results!AY423</f>
        <v>27.17462999</v>
      </c>
      <c r="AW251" s="5">
        <f>[1]Results!AZ423</f>
        <v>27.303273749999999</v>
      </c>
      <c r="AX251" s="5">
        <f>[1]Results!BA423</f>
        <v>27.43214815</v>
      </c>
      <c r="AY251" s="5">
        <f>[1]Results!BB423</f>
        <v>27.5614098</v>
      </c>
      <c r="AZ251" s="5">
        <f>[1]Results!BC423</f>
        <v>27.691206399999999</v>
      </c>
      <c r="BA251" s="5">
        <f>[1]Results!BD423</f>
        <v>27.821662629999999</v>
      </c>
      <c r="BB251" s="5">
        <f>[1]Results!BE423</f>
        <v>29.511519180000001</v>
      </c>
      <c r="BC251" s="5">
        <f>[1]Results!BF423</f>
        <v>29.712373460000002</v>
      </c>
      <c r="BD251" s="5">
        <f>[1]Results!BG423</f>
        <v>29.91472314</v>
      </c>
      <c r="BE251" s="5">
        <f>[1]Results!BH423</f>
        <v>30.11870167</v>
      </c>
      <c r="BF251" s="5">
        <f>[1]Results!BI423</f>
        <v>30.324457339999999</v>
      </c>
    </row>
    <row r="253" spans="1:58" x14ac:dyDescent="0.35">
      <c r="A253" s="12" t="s">
        <v>43</v>
      </c>
      <c r="C253" s="2">
        <v>42005</v>
      </c>
      <c r="D253" s="2">
        <v>42370</v>
      </c>
      <c r="E253" s="2">
        <v>42736</v>
      </c>
      <c r="F253" s="2">
        <v>43101</v>
      </c>
      <c r="G253" s="2">
        <v>43466</v>
      </c>
      <c r="H253" s="2">
        <v>43831</v>
      </c>
      <c r="I253" s="2">
        <v>44197</v>
      </c>
      <c r="J253" s="2">
        <v>44562</v>
      </c>
      <c r="K253" s="2">
        <v>44927</v>
      </c>
      <c r="L253" s="2">
        <v>45292</v>
      </c>
      <c r="M253" s="2">
        <v>45658</v>
      </c>
      <c r="N253" s="2">
        <v>46023</v>
      </c>
      <c r="O253" s="2">
        <v>46388</v>
      </c>
      <c r="P253" s="2">
        <v>46753</v>
      </c>
      <c r="Q253" s="2">
        <v>47119</v>
      </c>
      <c r="R253" s="2">
        <v>47484</v>
      </c>
      <c r="S253" s="2">
        <v>47849</v>
      </c>
      <c r="T253" s="2">
        <v>48214</v>
      </c>
      <c r="U253" s="2">
        <v>48580</v>
      </c>
      <c r="V253" s="2">
        <v>48945</v>
      </c>
      <c r="W253" s="2">
        <v>49310</v>
      </c>
      <c r="X253" s="2">
        <v>49675</v>
      </c>
      <c r="Y253" s="2">
        <v>50041</v>
      </c>
      <c r="Z253" s="2">
        <v>50406</v>
      </c>
      <c r="AA253" s="2">
        <v>50771</v>
      </c>
      <c r="AB253" s="2">
        <v>51136</v>
      </c>
      <c r="AC253" s="2">
        <v>51502</v>
      </c>
      <c r="AD253" s="2">
        <v>51867</v>
      </c>
      <c r="AE253" s="2">
        <v>52232</v>
      </c>
      <c r="AF253" s="2">
        <v>52597</v>
      </c>
      <c r="AG253" s="2">
        <v>52963</v>
      </c>
      <c r="AH253" s="2">
        <v>53328</v>
      </c>
      <c r="AI253" s="2">
        <v>53693</v>
      </c>
      <c r="AJ253" s="2">
        <v>54058</v>
      </c>
      <c r="AK253" s="2">
        <v>54424</v>
      </c>
      <c r="AL253" s="2">
        <v>54789</v>
      </c>
      <c r="AM253" s="2">
        <v>54790</v>
      </c>
      <c r="AN253" s="2">
        <v>54791</v>
      </c>
      <c r="AO253" s="2">
        <v>54792</v>
      </c>
      <c r="AP253" s="2">
        <v>54793</v>
      </c>
      <c r="AQ253" s="2">
        <v>54794</v>
      </c>
      <c r="AR253" s="2">
        <v>54795</v>
      </c>
      <c r="AS253" s="2">
        <v>54796</v>
      </c>
      <c r="AT253" s="2">
        <v>54797</v>
      </c>
      <c r="AU253" s="2">
        <v>54798</v>
      </c>
      <c r="AV253" s="2">
        <v>54799</v>
      </c>
      <c r="AW253" s="2">
        <v>54800</v>
      </c>
      <c r="AX253" s="2">
        <v>54801</v>
      </c>
      <c r="AY253" s="2">
        <v>54802</v>
      </c>
      <c r="AZ253" s="2">
        <v>54803</v>
      </c>
      <c r="BA253" s="2">
        <v>54804</v>
      </c>
      <c r="BB253" s="2">
        <v>54805</v>
      </c>
      <c r="BC253" s="2">
        <v>54806</v>
      </c>
      <c r="BD253" s="2">
        <v>54807</v>
      </c>
      <c r="BE253" s="2">
        <v>54808</v>
      </c>
      <c r="BF253" s="2">
        <v>54809</v>
      </c>
    </row>
    <row r="254" spans="1:58" x14ac:dyDescent="0.35">
      <c r="A254" t="s">
        <v>39</v>
      </c>
      <c r="B254" t="s">
        <v>26</v>
      </c>
      <c r="C254" s="9">
        <f t="shared" ref="C254:AL254" si="138">(C235/C136)/(C244/C125)-1</f>
        <v>2.8090500449273748E-4</v>
      </c>
      <c r="D254" s="9">
        <f t="shared" si="138"/>
        <v>3.4450237155758678E-4</v>
      </c>
      <c r="E254" s="9">
        <f t="shared" si="138"/>
        <v>3.6948839605810413E-4</v>
      </c>
      <c r="F254" s="9">
        <f t="shared" si="138"/>
        <v>3.9411470380379399E-4</v>
      </c>
      <c r="G254" s="9">
        <f t="shared" si="138"/>
        <v>4.3519624562193826E-4</v>
      </c>
      <c r="H254" s="9">
        <f t="shared" si="138"/>
        <v>4.9643906047380781E-4</v>
      </c>
      <c r="I254" s="9">
        <f t="shared" si="138"/>
        <v>5.7521848850217161E-4</v>
      </c>
      <c r="J254" s="9">
        <f t="shared" si="138"/>
        <v>6.6401925745918078E-4</v>
      </c>
      <c r="K254" s="9">
        <f t="shared" si="138"/>
        <v>7.5586651420667117E-4</v>
      </c>
      <c r="L254" s="9">
        <f t="shared" si="138"/>
        <v>8.4534932444868538E-4</v>
      </c>
      <c r="M254" s="9">
        <f t="shared" si="138"/>
        <v>9.294423934691487E-4</v>
      </c>
      <c r="N254" s="9">
        <f t="shared" si="138"/>
        <v>1.0094758446381746E-3</v>
      </c>
      <c r="O254" s="9">
        <f t="shared" si="138"/>
        <v>1.0818556900304976E-3</v>
      </c>
      <c r="P254" s="9">
        <f t="shared" si="138"/>
        <v>1.1471807403611312E-3</v>
      </c>
      <c r="Q254" s="9">
        <f t="shared" si="138"/>
        <v>1.2067655953162948E-3</v>
      </c>
      <c r="R254" s="9">
        <f t="shared" si="138"/>
        <v>1.2621040546250129E-3</v>
      </c>
      <c r="S254" s="9">
        <f t="shared" si="138"/>
        <v>1.3186213005564884E-3</v>
      </c>
      <c r="T254" s="9">
        <f t="shared" si="138"/>
        <v>1.373880447372855E-3</v>
      </c>
      <c r="U254" s="9">
        <f t="shared" si="138"/>
        <v>1.4289849870630089E-3</v>
      </c>
      <c r="V254" s="9">
        <f t="shared" si="138"/>
        <v>1.4851099642005927E-3</v>
      </c>
      <c r="W254" s="9">
        <f t="shared" si="138"/>
        <v>1.5426329381125203E-3</v>
      </c>
      <c r="X254" s="9">
        <f t="shared" si="138"/>
        <v>1.6031378679604025E-3</v>
      </c>
      <c r="Y254" s="9">
        <f t="shared" si="138"/>
        <v>1.6664921315163728E-3</v>
      </c>
      <c r="Z254" s="9">
        <f t="shared" si="138"/>
        <v>1.7326048232573221E-3</v>
      </c>
      <c r="AA254" s="9">
        <f t="shared" si="138"/>
        <v>1.8012918718266491E-3</v>
      </c>
      <c r="AB254" s="9">
        <f t="shared" si="138"/>
        <v>1.8705285550313366E-3</v>
      </c>
      <c r="AC254" s="9">
        <f t="shared" si="138"/>
        <v>1.9413102770662327E-3</v>
      </c>
      <c r="AD254" s="9">
        <f t="shared" si="138"/>
        <v>2.0144686392142841E-3</v>
      </c>
      <c r="AE254" s="9">
        <f t="shared" si="138"/>
        <v>2.0894783163916131E-3</v>
      </c>
      <c r="AF254" s="9">
        <f t="shared" si="138"/>
        <v>2.1656943533361339E-3</v>
      </c>
      <c r="AG254" s="9">
        <f t="shared" si="138"/>
        <v>2.242594220919214E-3</v>
      </c>
      <c r="AH254" s="9">
        <f t="shared" si="138"/>
        <v>2.3188700422949182E-3</v>
      </c>
      <c r="AI254" s="9">
        <f t="shared" si="138"/>
        <v>2.3951991879087586E-3</v>
      </c>
      <c r="AJ254" s="9">
        <f t="shared" si="138"/>
        <v>2.4714866123816126E-3</v>
      </c>
      <c r="AK254" s="9">
        <f t="shared" si="138"/>
        <v>2.5476494522713722E-3</v>
      </c>
      <c r="AL254" s="9">
        <f t="shared" si="138"/>
        <v>2.6236778233272862E-3</v>
      </c>
      <c r="AM254" s="9">
        <f t="shared" ref="AM254:BC254" si="139">(AM235/AM136)/(AM244/AM125)-1</f>
        <v>2.6906305000926611E-3</v>
      </c>
      <c r="AN254" s="9">
        <f t="shared" si="139"/>
        <v>2.7572200531382762E-3</v>
      </c>
      <c r="AO254" s="9">
        <f t="shared" si="139"/>
        <v>2.8239775009359924E-3</v>
      </c>
      <c r="AP254" s="9">
        <f t="shared" si="139"/>
        <v>2.8908703006100822E-3</v>
      </c>
      <c r="AQ254" s="9">
        <f t="shared" si="139"/>
        <v>2.9579261491252673E-3</v>
      </c>
      <c r="AR254" s="9">
        <f t="shared" si="139"/>
        <v>3.1312677545169976E-3</v>
      </c>
      <c r="AS254" s="9">
        <f t="shared" si="139"/>
        <v>3.4010420035524014E-3</v>
      </c>
      <c r="AT254" s="9">
        <f t="shared" si="139"/>
        <v>3.7257385779336794E-3</v>
      </c>
      <c r="AU254" s="9">
        <f t="shared" si="139"/>
        <v>4.0641142055510837E-3</v>
      </c>
      <c r="AV254" s="9">
        <f t="shared" si="139"/>
        <v>4.3867239607358055E-3</v>
      </c>
      <c r="AW254" s="9">
        <f t="shared" si="139"/>
        <v>4.5301475934145241E-3</v>
      </c>
      <c r="AX254" s="9">
        <f t="shared" si="139"/>
        <v>4.5064333072937224E-3</v>
      </c>
      <c r="AY254" s="9">
        <f t="shared" si="139"/>
        <v>4.3712529197226235E-3</v>
      </c>
      <c r="AZ254" s="9">
        <f t="shared" si="139"/>
        <v>4.1827518946109254E-3</v>
      </c>
      <c r="BA254" s="9">
        <f t="shared" si="139"/>
        <v>3.9845051962670297E-3</v>
      </c>
      <c r="BB254" s="9">
        <f t="shared" si="139"/>
        <v>1.6773189553196399E-3</v>
      </c>
      <c r="BC254" s="9">
        <f t="shared" si="139"/>
        <v>1.7224712825913979E-3</v>
      </c>
      <c r="BD254" s="9">
        <f t="shared" ref="BD254:BF254" si="140">(BD235/BD136)/(BD244/BD125)-1</f>
        <v>1.7673669112274748E-3</v>
      </c>
      <c r="BE254" s="9">
        <f t="shared" si="140"/>
        <v>1.8128581843241953E-3</v>
      </c>
      <c r="BF254" s="9">
        <f t="shared" si="140"/>
        <v>1.8593316536263949E-3</v>
      </c>
    </row>
    <row r="255" spans="1:58" x14ac:dyDescent="0.35">
      <c r="B255" t="s">
        <v>7</v>
      </c>
      <c r="C255" s="9">
        <f t="shared" ref="C255:AL255" si="141">(C236/C137)/(C245/C126)-1</f>
        <v>5.981495140846782E-3</v>
      </c>
      <c r="D255" s="9">
        <f t="shared" si="141"/>
        <v>8.0561003370342998E-3</v>
      </c>
      <c r="E255" s="9">
        <f t="shared" si="141"/>
        <v>9.7119070903475269E-3</v>
      </c>
      <c r="F255" s="9">
        <f t="shared" si="141"/>
        <v>1.1300522865020257E-2</v>
      </c>
      <c r="G255" s="9">
        <f t="shared" si="141"/>
        <v>1.2904595099868965E-2</v>
      </c>
      <c r="H255" s="9">
        <f t="shared" si="141"/>
        <v>1.4546126187055197E-2</v>
      </c>
      <c r="I255" s="9">
        <f t="shared" si="141"/>
        <v>1.6259806239282026E-2</v>
      </c>
      <c r="J255" s="9">
        <f t="shared" si="141"/>
        <v>1.8023492944041486E-2</v>
      </c>
      <c r="K255" s="9">
        <f t="shared" si="141"/>
        <v>1.9831155747271234E-2</v>
      </c>
      <c r="L255" s="9">
        <f t="shared" si="141"/>
        <v>2.1675599294460168E-2</v>
      </c>
      <c r="M255" s="9">
        <f t="shared" si="141"/>
        <v>2.3551196468451829E-2</v>
      </c>
      <c r="N255" s="9">
        <f t="shared" si="141"/>
        <v>2.5557480193888704E-2</v>
      </c>
      <c r="O255" s="9">
        <f t="shared" si="141"/>
        <v>2.7592682822655368E-2</v>
      </c>
      <c r="P255" s="9">
        <f t="shared" si="141"/>
        <v>2.9648713460610709E-2</v>
      </c>
      <c r="Q255" s="9">
        <f t="shared" si="141"/>
        <v>3.1724427577281666E-2</v>
      </c>
      <c r="R255" s="9">
        <f t="shared" si="141"/>
        <v>3.3821121316477853E-2</v>
      </c>
      <c r="S255" s="9">
        <f t="shared" si="141"/>
        <v>3.6056863284289919E-2</v>
      </c>
      <c r="T255" s="9">
        <f t="shared" si="141"/>
        <v>3.8329183411495826E-2</v>
      </c>
      <c r="U255" s="9">
        <f t="shared" si="141"/>
        <v>4.063539408114103E-2</v>
      </c>
      <c r="V255" s="9">
        <f t="shared" si="141"/>
        <v>4.2977686557492456E-2</v>
      </c>
      <c r="W255" s="9">
        <f t="shared" si="141"/>
        <v>4.5355617405338222E-2</v>
      </c>
      <c r="X255" s="9">
        <f t="shared" si="141"/>
        <v>4.7773120288896909E-2</v>
      </c>
      <c r="Y255" s="9">
        <f t="shared" si="141"/>
        <v>5.0232813951737398E-2</v>
      </c>
      <c r="Z255" s="9">
        <f t="shared" si="141"/>
        <v>5.2736998989952211E-2</v>
      </c>
      <c r="AA255" s="9">
        <f t="shared" si="141"/>
        <v>5.5287074757396804E-2</v>
      </c>
      <c r="AB255" s="9">
        <f t="shared" si="141"/>
        <v>5.787288169721938E-2</v>
      </c>
      <c r="AC255" s="9">
        <f t="shared" si="141"/>
        <v>6.0450769671311688E-2</v>
      </c>
      <c r="AD255" s="9">
        <f t="shared" si="141"/>
        <v>6.3070472476841388E-2</v>
      </c>
      <c r="AE255" s="9">
        <f t="shared" si="141"/>
        <v>6.5735634408146115E-2</v>
      </c>
      <c r="AF255" s="9">
        <f t="shared" si="141"/>
        <v>6.8446403867916006E-2</v>
      </c>
      <c r="AG255" s="9">
        <f t="shared" si="141"/>
        <v>7.1202432860517861E-2</v>
      </c>
      <c r="AH255" s="9">
        <f t="shared" si="141"/>
        <v>7.3972981208873856E-2</v>
      </c>
      <c r="AI255" s="9">
        <f t="shared" si="141"/>
        <v>7.6784951266489987E-2</v>
      </c>
      <c r="AJ255" s="9">
        <f t="shared" si="141"/>
        <v>7.9639559100890711E-2</v>
      </c>
      <c r="AK255" s="9">
        <f t="shared" si="141"/>
        <v>8.2536885685515315E-2</v>
      </c>
      <c r="AL255" s="9">
        <f t="shared" si="141"/>
        <v>8.5477034840933275E-2</v>
      </c>
      <c r="AM255" s="9">
        <f t="shared" ref="AM255:BC255" si="142">(AM236/AM137)/(AM245/AM126)-1</f>
        <v>8.8180284103727358E-2</v>
      </c>
      <c r="AN255" s="9">
        <f t="shared" si="142"/>
        <v>9.0898761513680038E-2</v>
      </c>
      <c r="AO255" s="9">
        <f t="shared" si="142"/>
        <v>9.365304080295167E-2</v>
      </c>
      <c r="AP255" s="9">
        <f t="shared" si="142"/>
        <v>9.6449284478897113E-2</v>
      </c>
      <c r="AQ255" s="9">
        <f t="shared" si="142"/>
        <v>9.9287919592924156E-2</v>
      </c>
      <c r="AR255" s="9">
        <f t="shared" si="142"/>
        <v>0.10321982182807776</v>
      </c>
      <c r="AS255" s="9">
        <f t="shared" si="142"/>
        <v>0.10782851718992847</v>
      </c>
      <c r="AT255" s="9">
        <f t="shared" si="142"/>
        <v>0.11277134077465178</v>
      </c>
      <c r="AU255" s="9">
        <f t="shared" si="142"/>
        <v>0.11784853942686269</v>
      </c>
      <c r="AV255" s="9">
        <f t="shared" si="142"/>
        <v>0.12295592274814315</v>
      </c>
      <c r="AW255" s="9">
        <f t="shared" si="142"/>
        <v>0.12650516687003566</v>
      </c>
      <c r="AX255" s="9">
        <f t="shared" si="142"/>
        <v>0.12920526835061641</v>
      </c>
      <c r="AY255" s="9">
        <f t="shared" si="142"/>
        <v>0.13151094640527394</v>
      </c>
      <c r="AZ255" s="9">
        <f t="shared" si="142"/>
        <v>0.13369328530820823</v>
      </c>
      <c r="BA255" s="9">
        <f t="shared" si="142"/>
        <v>0.13590159071495012</v>
      </c>
      <c r="BB255" s="9">
        <f t="shared" si="142"/>
        <v>1.5159107040098263E-2</v>
      </c>
      <c r="BC255" s="9">
        <f t="shared" si="142"/>
        <v>1.5598909604015443E-2</v>
      </c>
      <c r="BD255" s="9">
        <f t="shared" ref="BD255:BF255" si="143">(BD236/BD137)/(BD245/BD126)-1</f>
        <v>1.6031975680400157E-2</v>
      </c>
      <c r="BE255" s="9">
        <f t="shared" si="143"/>
        <v>1.6460824759982229E-2</v>
      </c>
      <c r="BF255" s="9">
        <f t="shared" si="143"/>
        <v>1.6887081515647218E-2</v>
      </c>
    </row>
    <row r="256" spans="1:58" x14ac:dyDescent="0.35">
      <c r="B256" t="s">
        <v>30</v>
      </c>
      <c r="C256" s="9">
        <f t="shared" ref="C256:AL256" si="144">(C237/C138)/(C246/C127)-1</f>
        <v>7.4114461374730212E-6</v>
      </c>
      <c r="D256" s="9">
        <f t="shared" si="144"/>
        <v>-2.8125208035523208E-5</v>
      </c>
      <c r="E256" s="9">
        <f t="shared" si="144"/>
        <v>-8.8678891621452038E-5</v>
      </c>
      <c r="F256" s="9">
        <f t="shared" si="144"/>
        <v>-1.4048821567747005E-4</v>
      </c>
      <c r="G256" s="9">
        <f t="shared" si="144"/>
        <v>-1.6485138945199207E-4</v>
      </c>
      <c r="H256" s="9">
        <f t="shared" si="144"/>
        <v>-1.5820778026987004E-4</v>
      </c>
      <c r="I256" s="9">
        <f t="shared" si="144"/>
        <v>-1.2719429472740629E-4</v>
      </c>
      <c r="J256" s="9">
        <f t="shared" si="144"/>
        <v>-8.1854481073340146E-5</v>
      </c>
      <c r="K256" s="9">
        <f t="shared" si="144"/>
        <v>-3.1757139395849343E-5</v>
      </c>
      <c r="L256" s="9">
        <f t="shared" si="144"/>
        <v>1.5807593817029897E-5</v>
      </c>
      <c r="M256" s="9">
        <f t="shared" si="144"/>
        <v>5.6290798696290167E-5</v>
      </c>
      <c r="N256" s="9">
        <f t="shared" si="144"/>
        <v>8.7076272542452315E-5</v>
      </c>
      <c r="O256" s="9">
        <f t="shared" si="144"/>
        <v>1.0723990484673429E-4</v>
      </c>
      <c r="P256" s="9">
        <f t="shared" si="144"/>
        <v>1.1764592132545992E-4</v>
      </c>
      <c r="Q256" s="9">
        <f t="shared" si="144"/>
        <v>1.1990472172174194E-4</v>
      </c>
      <c r="R256" s="9">
        <f t="shared" si="144"/>
        <v>1.1579562539099086E-4</v>
      </c>
      <c r="S256" s="9">
        <f t="shared" si="144"/>
        <v>1.0696944392529772E-4</v>
      </c>
      <c r="T256" s="9">
        <f t="shared" si="144"/>
        <v>9.4670866186197244E-5</v>
      </c>
      <c r="U256" s="9">
        <f t="shared" si="144"/>
        <v>8.0615995630139992E-5</v>
      </c>
      <c r="V256" s="9">
        <f t="shared" si="144"/>
        <v>6.647672895976342E-5</v>
      </c>
      <c r="W256" s="9">
        <f t="shared" si="144"/>
        <v>5.344699722753532E-5</v>
      </c>
      <c r="X256" s="9">
        <f t="shared" si="144"/>
        <v>4.2681913181130682E-5</v>
      </c>
      <c r="Y256" s="9">
        <f t="shared" si="144"/>
        <v>3.4601853320603837E-5</v>
      </c>
      <c r="Z256" s="9">
        <f t="shared" si="144"/>
        <v>2.9190622689911905E-5</v>
      </c>
      <c r="AA256" s="9">
        <f t="shared" si="144"/>
        <v>2.6261458249576819E-5</v>
      </c>
      <c r="AB256" s="9">
        <f t="shared" si="144"/>
        <v>2.5118662838830019E-5</v>
      </c>
      <c r="AC256" s="9">
        <f t="shared" si="144"/>
        <v>2.6351307157668202E-5</v>
      </c>
      <c r="AD256" s="9">
        <f t="shared" si="144"/>
        <v>2.9891117426128488E-5</v>
      </c>
      <c r="AE256" s="9">
        <f t="shared" si="144"/>
        <v>3.4926978252469709E-5</v>
      </c>
      <c r="AF256" s="9">
        <f t="shared" si="144"/>
        <v>4.0548086645442183E-5</v>
      </c>
      <c r="AG256" s="9">
        <f t="shared" si="144"/>
        <v>4.6001175784127213E-5</v>
      </c>
      <c r="AH256" s="9">
        <f t="shared" si="144"/>
        <v>5.0762259492964645E-5</v>
      </c>
      <c r="AI256" s="9">
        <f t="shared" si="144"/>
        <v>5.4582028507388358E-5</v>
      </c>
      <c r="AJ256" s="9">
        <f t="shared" si="144"/>
        <v>5.7194918531955352E-5</v>
      </c>
      <c r="AK256" s="9">
        <f t="shared" si="144"/>
        <v>5.8400673673908443E-5</v>
      </c>
      <c r="AL256" s="9">
        <f t="shared" si="144"/>
        <v>5.8109693642283133E-5</v>
      </c>
      <c r="AM256" s="9">
        <f t="shared" ref="AM256:BC256" si="145">(AM237/AM138)/(AM246/AM127)-1</f>
        <v>5.6272009673730139E-5</v>
      </c>
      <c r="AN256" s="9">
        <f t="shared" si="145"/>
        <v>5.4073810149324331E-5</v>
      </c>
      <c r="AO256" s="9">
        <f t="shared" si="145"/>
        <v>5.1175226769561988E-5</v>
      </c>
      <c r="AP256" s="9">
        <f t="shared" si="145"/>
        <v>4.6923518725705549E-5</v>
      </c>
      <c r="AQ256" s="9">
        <f t="shared" si="145"/>
        <v>4.0962293175628162E-5</v>
      </c>
      <c r="AR256" s="9">
        <f t="shared" si="145"/>
        <v>1.3939015350183936E-4</v>
      </c>
      <c r="AS256" s="9">
        <f t="shared" si="145"/>
        <v>3.5606506218166523E-4</v>
      </c>
      <c r="AT256" s="9">
        <f t="shared" si="145"/>
        <v>6.5491181885102279E-4</v>
      </c>
      <c r="AU256" s="9">
        <f t="shared" si="145"/>
        <v>9.8962752515840968E-4</v>
      </c>
      <c r="AV256" s="9">
        <f t="shared" si="145"/>
        <v>1.3225398954870293E-3</v>
      </c>
      <c r="AW256" s="9">
        <f t="shared" si="145"/>
        <v>1.4854842512448396E-3</v>
      </c>
      <c r="AX256" s="9">
        <f t="shared" si="145"/>
        <v>1.4489617552320144E-3</v>
      </c>
      <c r="AY256" s="9">
        <f t="shared" si="145"/>
        <v>1.2582537796015369E-3</v>
      </c>
      <c r="AZ256" s="9">
        <f t="shared" si="145"/>
        <v>9.7651692303846183E-4</v>
      </c>
      <c r="BA256" s="9">
        <f t="shared" si="145"/>
        <v>6.5737944790300595E-4</v>
      </c>
      <c r="BB256" s="9">
        <f t="shared" si="145"/>
        <v>1.6425488298359436E-3</v>
      </c>
      <c r="BC256" s="9">
        <f t="shared" si="145"/>
        <v>1.6519665940082362E-3</v>
      </c>
      <c r="BD256" s="9">
        <f t="shared" ref="BD256:BF256" si="146">(BD237/BD138)/(BD246/BD127)-1</f>
        <v>1.6577395388683858E-3</v>
      </c>
      <c r="BE256" s="9">
        <f t="shared" si="146"/>
        <v>1.6609277976322723E-3</v>
      </c>
      <c r="BF256" s="9">
        <f t="shared" si="146"/>
        <v>1.6621310827849012E-3</v>
      </c>
    </row>
    <row r="257" spans="1:58" x14ac:dyDescent="0.35">
      <c r="B257" t="s">
        <v>28</v>
      </c>
      <c r="C257" s="9">
        <f t="shared" ref="C257:AL257" si="147">(C238/C139)/(C247/C128)-1</f>
        <v>9.9109615510073468E-6</v>
      </c>
      <c r="D257" s="9">
        <f t="shared" si="147"/>
        <v>1.6742629023180911E-5</v>
      </c>
      <c r="E257" s="9">
        <f t="shared" si="147"/>
        <v>2.0877856358847424E-5</v>
      </c>
      <c r="F257" s="9">
        <f t="shared" si="147"/>
        <v>2.3410816054392214E-5</v>
      </c>
      <c r="G257" s="9">
        <f t="shared" si="147"/>
        <v>2.6289259717815483E-5</v>
      </c>
      <c r="H257" s="9">
        <f t="shared" si="147"/>
        <v>3.0396824516998322E-5</v>
      </c>
      <c r="I257" s="9">
        <f t="shared" si="147"/>
        <v>3.5780602660517857E-5</v>
      </c>
      <c r="J257" s="9">
        <f t="shared" si="147"/>
        <v>4.2205960666619191E-5</v>
      </c>
      <c r="K257" s="9">
        <f t="shared" si="147"/>
        <v>4.9244302223083736E-5</v>
      </c>
      <c r="L257" s="9">
        <f t="shared" si="147"/>
        <v>5.6417165416045023E-5</v>
      </c>
      <c r="M257" s="9">
        <f t="shared" si="147"/>
        <v>6.3322448698555078E-5</v>
      </c>
      <c r="N257" s="9">
        <f t="shared" si="147"/>
        <v>6.9543301615127007E-5</v>
      </c>
      <c r="O257" s="9">
        <f t="shared" si="147"/>
        <v>7.4981134405627259E-5</v>
      </c>
      <c r="P257" s="9">
        <f t="shared" si="147"/>
        <v>7.9724028577032868E-5</v>
      </c>
      <c r="Q257" s="9">
        <f t="shared" si="147"/>
        <v>8.3821406958506373E-5</v>
      </c>
      <c r="R257" s="9">
        <f t="shared" si="147"/>
        <v>8.7339293624921766E-5</v>
      </c>
      <c r="S257" s="9">
        <f t="shared" si="147"/>
        <v>9.0246771026647465E-5</v>
      </c>
      <c r="T257" s="9">
        <f t="shared" si="147"/>
        <v>9.2647722393923715E-5</v>
      </c>
      <c r="U257" s="9">
        <f t="shared" si="147"/>
        <v>9.4799858850747043E-5</v>
      </c>
      <c r="V257" s="9">
        <f t="shared" si="147"/>
        <v>9.6837464647059335E-5</v>
      </c>
      <c r="W257" s="9">
        <f t="shared" si="147"/>
        <v>9.8864106597540413E-5</v>
      </c>
      <c r="X257" s="9">
        <f t="shared" si="147"/>
        <v>1.0100675186697217E-4</v>
      </c>
      <c r="Y257" s="9">
        <f t="shared" si="147"/>
        <v>1.0323534587675098E-4</v>
      </c>
      <c r="Z257" s="9">
        <f t="shared" si="147"/>
        <v>1.0559030536239078E-4</v>
      </c>
      <c r="AA257" s="9">
        <f t="shared" si="147"/>
        <v>1.0807950385194331E-4</v>
      </c>
      <c r="AB257" s="9">
        <f t="shared" si="147"/>
        <v>1.1070939709045824E-4</v>
      </c>
      <c r="AC257" s="9">
        <f t="shared" si="147"/>
        <v>1.1372215342775327E-4</v>
      </c>
      <c r="AD257" s="9">
        <f t="shared" si="147"/>
        <v>1.169204321773698E-4</v>
      </c>
      <c r="AE257" s="9">
        <f t="shared" si="147"/>
        <v>1.2023051789533667E-4</v>
      </c>
      <c r="AF257" s="9">
        <f t="shared" si="147"/>
        <v>1.2358528280098646E-4</v>
      </c>
      <c r="AG257" s="9">
        <f t="shared" si="147"/>
        <v>1.2693624854653862E-4</v>
      </c>
      <c r="AH257" s="9">
        <f t="shared" si="147"/>
        <v>1.3028040317708545E-4</v>
      </c>
      <c r="AI257" s="9">
        <f t="shared" si="147"/>
        <v>1.3359504618049023E-4</v>
      </c>
      <c r="AJ257" s="9">
        <f t="shared" si="147"/>
        <v>1.3683087036331365E-4</v>
      </c>
      <c r="AK257" s="9">
        <f t="shared" si="147"/>
        <v>1.3997672507182202E-4</v>
      </c>
      <c r="AL257" s="9">
        <f t="shared" si="147"/>
        <v>1.4303605590848534E-4</v>
      </c>
      <c r="AM257" s="9">
        <f t="shared" ref="AM257:BC257" si="148">(AM238/AM139)/(AM247/AM128)-1</f>
        <v>1.4625542706059314E-4</v>
      </c>
      <c r="AN257" s="9">
        <f t="shared" si="148"/>
        <v>1.4968083523436704E-4</v>
      </c>
      <c r="AO257" s="9">
        <f t="shared" si="148"/>
        <v>1.5294413554234332E-4</v>
      </c>
      <c r="AP257" s="9">
        <f t="shared" si="148"/>
        <v>1.5600438178542397E-4</v>
      </c>
      <c r="AQ257" s="9">
        <f t="shared" si="148"/>
        <v>1.5888041798706176E-4</v>
      </c>
      <c r="AR257" s="9">
        <f t="shared" si="148"/>
        <v>1.7504957591363279E-4</v>
      </c>
      <c r="AS257" s="9">
        <f t="shared" si="148"/>
        <v>2.0419080720079918E-4</v>
      </c>
      <c r="AT257" s="9">
        <f t="shared" si="148"/>
        <v>2.4163659892240119E-4</v>
      </c>
      <c r="AU257" s="9">
        <f t="shared" si="148"/>
        <v>2.8249891572174057E-4</v>
      </c>
      <c r="AV257" s="9">
        <f t="shared" si="148"/>
        <v>3.232030664181984E-4</v>
      </c>
      <c r="AW257" s="9">
        <f t="shared" si="148"/>
        <v>3.4326614210922202E-4</v>
      </c>
      <c r="AX257" s="9">
        <f t="shared" si="148"/>
        <v>3.4218015101994403E-4</v>
      </c>
      <c r="AY257" s="9">
        <f t="shared" si="148"/>
        <v>3.2592089227811982E-4</v>
      </c>
      <c r="AZ257" s="9">
        <f t="shared" si="148"/>
        <v>3.0119196075095722E-4</v>
      </c>
      <c r="BA257" s="9">
        <f t="shared" si="148"/>
        <v>2.7301593210560249E-4</v>
      </c>
      <c r="BB257" s="9">
        <f t="shared" si="148"/>
        <v>1.3127601447533443E-3</v>
      </c>
      <c r="BC257" s="9">
        <f t="shared" si="148"/>
        <v>1.3568681449920295E-3</v>
      </c>
      <c r="BD257" s="9">
        <f t="shared" ref="BD257:BF257" si="149">(BD238/BD139)/(BD247/BD128)-1</f>
        <v>1.4005014999880494E-3</v>
      </c>
      <c r="BE257" s="9">
        <f t="shared" si="149"/>
        <v>1.4438554644697899E-3</v>
      </c>
      <c r="BF257" s="9">
        <f t="shared" si="149"/>
        <v>1.4870524614551961E-3</v>
      </c>
    </row>
    <row r="258" spans="1:58" x14ac:dyDescent="0.35">
      <c r="B258" t="s">
        <v>10</v>
      </c>
      <c r="C258" s="9">
        <f t="shared" ref="C258:AL258" si="150">(C239/C140)/(C248/C129)-1</f>
        <v>7.7146912830450276E-5</v>
      </c>
      <c r="D258" s="9">
        <f t="shared" si="150"/>
        <v>1.0918568043449817E-4</v>
      </c>
      <c r="E258" s="9">
        <f t="shared" si="150"/>
        <v>8.751949102925316E-5</v>
      </c>
      <c r="F258" s="9">
        <f t="shared" si="150"/>
        <v>4.9808660732564292E-5</v>
      </c>
      <c r="G258" s="9">
        <f t="shared" si="150"/>
        <v>2.7474530710058787E-5</v>
      </c>
      <c r="H258" s="9">
        <f t="shared" si="150"/>
        <v>3.3308362661799151E-5</v>
      </c>
      <c r="I258" s="9">
        <f t="shared" si="150"/>
        <v>6.4629391794079893E-5</v>
      </c>
      <c r="J258" s="9">
        <f t="shared" si="150"/>
        <v>1.1254456316978079E-4</v>
      </c>
      <c r="K258" s="9">
        <f t="shared" si="150"/>
        <v>1.6722326821216882E-4</v>
      </c>
      <c r="L258" s="9">
        <f t="shared" si="150"/>
        <v>2.2069261053303535E-4</v>
      </c>
      <c r="M258" s="9">
        <f t="shared" si="150"/>
        <v>2.6786026445524413E-4</v>
      </c>
      <c r="N258" s="9">
        <f t="shared" si="150"/>
        <v>3.0556267854775498E-4</v>
      </c>
      <c r="O258" s="9">
        <f t="shared" si="150"/>
        <v>3.3283346099577393E-4</v>
      </c>
      <c r="P258" s="9">
        <f t="shared" si="150"/>
        <v>3.5059841487372623E-4</v>
      </c>
      <c r="Q258" s="9">
        <f t="shared" si="150"/>
        <v>3.6045449167643184E-4</v>
      </c>
      <c r="R258" s="9">
        <f t="shared" si="150"/>
        <v>3.6422191555773864E-4</v>
      </c>
      <c r="S258" s="9">
        <f t="shared" si="150"/>
        <v>3.637486119945077E-4</v>
      </c>
      <c r="T258" s="9">
        <f t="shared" si="150"/>
        <v>3.6048316606129838E-4</v>
      </c>
      <c r="U258" s="9">
        <f t="shared" si="150"/>
        <v>3.5642714204242587E-4</v>
      </c>
      <c r="V258" s="9">
        <f t="shared" si="150"/>
        <v>3.5335403342107163E-4</v>
      </c>
      <c r="W258" s="9">
        <f t="shared" si="150"/>
        <v>3.5238116560765143E-4</v>
      </c>
      <c r="X258" s="9">
        <f t="shared" si="150"/>
        <v>3.5494052023254952E-4</v>
      </c>
      <c r="Y258" s="9">
        <f t="shared" si="150"/>
        <v>3.6122938521843118E-4</v>
      </c>
      <c r="Z258" s="9">
        <f t="shared" si="150"/>
        <v>3.7114203805921342E-4</v>
      </c>
      <c r="AA258" s="9">
        <f t="shared" si="150"/>
        <v>3.8442568655994158E-4</v>
      </c>
      <c r="AB258" s="9">
        <f t="shared" si="150"/>
        <v>3.9994838649715092E-4</v>
      </c>
      <c r="AC258" s="9">
        <f t="shared" si="150"/>
        <v>4.1900781908488227E-4</v>
      </c>
      <c r="AD258" s="9">
        <f t="shared" si="150"/>
        <v>4.41218144196176E-4</v>
      </c>
      <c r="AE258" s="9">
        <f t="shared" si="150"/>
        <v>4.6565989642388672E-4</v>
      </c>
      <c r="AF258" s="9">
        <f t="shared" si="150"/>
        <v>4.9142869893681329E-4</v>
      </c>
      <c r="AG258" s="9">
        <f t="shared" si="150"/>
        <v>5.1780788344446549E-4</v>
      </c>
      <c r="AH258" s="9">
        <f t="shared" si="150"/>
        <v>5.4428424374508566E-4</v>
      </c>
      <c r="AI258" s="9">
        <f t="shared" si="150"/>
        <v>5.7065072521922389E-4</v>
      </c>
      <c r="AJ258" s="9">
        <f t="shared" si="150"/>
        <v>5.9665950211895691E-4</v>
      </c>
      <c r="AK258" s="9">
        <f t="shared" si="150"/>
        <v>6.2215930542630637E-4</v>
      </c>
      <c r="AL258" s="9">
        <f t="shared" si="150"/>
        <v>6.4710668137335503E-4</v>
      </c>
      <c r="AM258" s="9">
        <f t="shared" ref="AM258:BC258" si="151">(AM239/AM140)/(AM248/AM129)-1</f>
        <v>6.7104028540909688E-4</v>
      </c>
      <c r="AN258" s="9">
        <f t="shared" si="151"/>
        <v>6.9533675670796491E-4</v>
      </c>
      <c r="AO258" s="9">
        <f t="shared" si="151"/>
        <v>7.1957084206020205E-4</v>
      </c>
      <c r="AP258" s="9">
        <f t="shared" si="151"/>
        <v>7.4347570095234516E-4</v>
      </c>
      <c r="AQ258" s="9">
        <f t="shared" si="151"/>
        <v>7.6714801779331765E-4</v>
      </c>
      <c r="AR258" s="9">
        <f t="shared" si="151"/>
        <v>9.0976762375394316E-4</v>
      </c>
      <c r="AS258" s="9">
        <f t="shared" si="151"/>
        <v>1.1845547362629993E-3</v>
      </c>
      <c r="AT258" s="9">
        <f t="shared" si="151"/>
        <v>1.5487343927096386E-3</v>
      </c>
      <c r="AU258" s="9">
        <f t="shared" si="151"/>
        <v>1.948777417038583E-3</v>
      </c>
      <c r="AV258" s="9">
        <f t="shared" si="151"/>
        <v>2.3423056037779055E-3</v>
      </c>
      <c r="AW258" s="9">
        <f t="shared" si="151"/>
        <v>2.5406293075582731E-3</v>
      </c>
      <c r="AX258" s="9">
        <f t="shared" si="151"/>
        <v>2.5148446525768975E-3</v>
      </c>
      <c r="AY258" s="9">
        <f t="shared" si="151"/>
        <v>2.3199709106735966E-3</v>
      </c>
      <c r="AZ258" s="9">
        <f t="shared" si="151"/>
        <v>2.029843629946626E-3</v>
      </c>
      <c r="BA258" s="9">
        <f t="shared" si="151"/>
        <v>1.7052388264868767E-3</v>
      </c>
      <c r="BB258" s="9">
        <f t="shared" si="151"/>
        <v>1.3385524583131581E-3</v>
      </c>
      <c r="BC258" s="9">
        <f t="shared" si="151"/>
        <v>1.407900504426296E-3</v>
      </c>
      <c r="BD258" s="9">
        <f t="shared" ref="BD258:BF258" si="152">(BD239/BD140)/(BD248/BD129)-1</f>
        <v>1.4798966020035387E-3</v>
      </c>
      <c r="BE258" s="9">
        <f t="shared" si="152"/>
        <v>1.55543731404717E-3</v>
      </c>
      <c r="BF258" s="9">
        <f t="shared" si="152"/>
        <v>1.6347815718924519E-3</v>
      </c>
    </row>
    <row r="259" spans="1:58" x14ac:dyDescent="0.35">
      <c r="B259" t="s">
        <v>25</v>
      </c>
      <c r="C259" s="9">
        <f t="shared" ref="C259:AL259" si="153">(C240/C59)/(C249/C58)-1</f>
        <v>7.8755021806875547E-5</v>
      </c>
      <c r="D259" s="9">
        <f t="shared" si="153"/>
        <v>1.5177684146923109E-3</v>
      </c>
      <c r="E259" s="9">
        <f t="shared" si="153"/>
        <v>2.620635215955236E-3</v>
      </c>
      <c r="F259" s="9">
        <f t="shared" si="153"/>
        <v>3.60866670825577E-3</v>
      </c>
      <c r="G259" s="9">
        <f t="shared" si="153"/>
        <v>4.689447995298579E-3</v>
      </c>
      <c r="H259" s="9">
        <f t="shared" si="153"/>
        <v>6.0721661980753794E-3</v>
      </c>
      <c r="I259" s="9">
        <f t="shared" si="153"/>
        <v>7.4950846815535765E-3</v>
      </c>
      <c r="J259" s="9">
        <f t="shared" si="153"/>
        <v>8.8486776953398127E-3</v>
      </c>
      <c r="K259" s="9">
        <f t="shared" si="153"/>
        <v>1.0112590115199493E-2</v>
      </c>
      <c r="L259" s="9">
        <f t="shared" si="153"/>
        <v>1.1298132291238883E-2</v>
      </c>
      <c r="M259" s="9">
        <f t="shared" si="153"/>
        <v>1.2422677574933427E-2</v>
      </c>
      <c r="N259" s="9">
        <f t="shared" si="153"/>
        <v>1.3519325343217536E-2</v>
      </c>
      <c r="O259" s="9">
        <f t="shared" si="153"/>
        <v>1.4608660851883171E-2</v>
      </c>
      <c r="P259" s="9">
        <f t="shared" si="153"/>
        <v>1.5706452199846455E-2</v>
      </c>
      <c r="Q259" s="9">
        <f t="shared" si="153"/>
        <v>1.6817723690696118E-2</v>
      </c>
      <c r="R259" s="9">
        <f t="shared" si="153"/>
        <v>1.7931309877820878E-2</v>
      </c>
      <c r="S259" s="9">
        <f t="shared" si="153"/>
        <v>1.9039091311457534E-2</v>
      </c>
      <c r="T259" s="9">
        <f t="shared" si="153"/>
        <v>2.0132163502721845E-2</v>
      </c>
      <c r="U259" s="9">
        <f t="shared" si="153"/>
        <v>2.1207236482808867E-2</v>
      </c>
      <c r="V259" s="9">
        <f t="shared" si="153"/>
        <v>2.2266084134183739E-2</v>
      </c>
      <c r="W259" s="9">
        <f t="shared" si="153"/>
        <v>2.331875923658977E-2</v>
      </c>
      <c r="X259" s="9">
        <f t="shared" si="153"/>
        <v>2.4364517184003454E-2</v>
      </c>
      <c r="Y259" s="9">
        <f t="shared" si="153"/>
        <v>2.5409953822153719E-2</v>
      </c>
      <c r="Z259" s="9">
        <f t="shared" si="153"/>
        <v>2.6458940232260586E-2</v>
      </c>
      <c r="AA259" s="9">
        <f t="shared" si="153"/>
        <v>2.7512689672841262E-2</v>
      </c>
      <c r="AB259" s="9">
        <f t="shared" si="153"/>
        <v>2.8587598304449457E-2</v>
      </c>
      <c r="AC259" s="9">
        <f t="shared" si="153"/>
        <v>2.9664545476287163E-2</v>
      </c>
      <c r="AD259" s="9">
        <f t="shared" si="153"/>
        <v>3.074278648362716E-2</v>
      </c>
      <c r="AE259" s="9">
        <f t="shared" si="153"/>
        <v>3.1820751260164482E-2</v>
      </c>
      <c r="AF259" s="9">
        <f t="shared" si="153"/>
        <v>3.289572650882322E-2</v>
      </c>
      <c r="AG259" s="9">
        <f t="shared" si="153"/>
        <v>3.3964283342006185E-2</v>
      </c>
      <c r="AH259" s="9">
        <f t="shared" si="153"/>
        <v>3.5021414170207432E-2</v>
      </c>
      <c r="AI259" s="9">
        <f t="shared" si="153"/>
        <v>3.6063972556241275E-2</v>
      </c>
      <c r="AJ259" s="9">
        <f t="shared" si="153"/>
        <v>3.7089402999920029E-2</v>
      </c>
      <c r="AK259" s="9">
        <f t="shared" si="153"/>
        <v>3.8095448042944513E-2</v>
      </c>
      <c r="AL259" s="9">
        <f t="shared" si="153"/>
        <v>3.9080051420783857E-2</v>
      </c>
      <c r="AM259" s="9">
        <f t="shared" ref="AM259:BC259" si="154">(AM240/AM59)/(AM249/AM58)-1</f>
        <v>4.0033340707413378E-2</v>
      </c>
      <c r="AN259" s="9">
        <f t="shared" si="154"/>
        <v>4.0953938245651633E-2</v>
      </c>
      <c r="AO259" s="9">
        <f t="shared" si="154"/>
        <v>4.1744393351373699E-2</v>
      </c>
      <c r="AP259" s="9">
        <f t="shared" si="154"/>
        <v>4.2335555884647658E-2</v>
      </c>
      <c r="AQ259" s="9">
        <f t="shared" si="154"/>
        <v>4.2725315455476753E-2</v>
      </c>
      <c r="AR259" s="9">
        <f t="shared" si="154"/>
        <v>4.3087518974989525E-2</v>
      </c>
      <c r="AS259" s="9">
        <f t="shared" si="154"/>
        <v>4.3591027465753607E-2</v>
      </c>
      <c r="AT259" s="9">
        <f t="shared" si="154"/>
        <v>4.4323574900128504E-2</v>
      </c>
      <c r="AU259" s="9">
        <f t="shared" si="154"/>
        <v>4.5270781799283899E-2</v>
      </c>
      <c r="AV259" s="9">
        <f t="shared" si="154"/>
        <v>4.6359545719415918E-2</v>
      </c>
      <c r="AW259" s="9">
        <f t="shared" si="154"/>
        <v>4.7374750165396717E-2</v>
      </c>
      <c r="AX259" s="9">
        <f t="shared" si="154"/>
        <v>4.8267963059896557E-2</v>
      </c>
      <c r="AY259" s="9">
        <f t="shared" si="154"/>
        <v>4.9062283201923851E-2</v>
      </c>
      <c r="AZ259" s="9">
        <f t="shared" si="154"/>
        <v>4.9794044837528917E-2</v>
      </c>
      <c r="BA259" s="9">
        <f t="shared" si="154"/>
        <v>5.0489038186395829E-2</v>
      </c>
      <c r="BB259" s="9">
        <f t="shared" si="154"/>
        <v>-2.7084014241802401E-2</v>
      </c>
      <c r="BC259" s="9">
        <f t="shared" si="154"/>
        <v>-2.7558168482025747E-2</v>
      </c>
      <c r="BD259" s="9">
        <f t="shared" ref="BD259:BF259" si="155">(BD240/BD59)/(BD249/BD58)-1</f>
        <v>-2.8016455654708561E-2</v>
      </c>
      <c r="BE259" s="9">
        <f t="shared" si="155"/>
        <v>-2.846402495120226E-2</v>
      </c>
      <c r="BF259" s="9">
        <f t="shared" si="155"/>
        <v>-2.8902146350103797E-2</v>
      </c>
    </row>
    <row r="260" spans="1:58" x14ac:dyDescent="0.35">
      <c r="B260" t="s">
        <v>47</v>
      </c>
      <c r="C260" s="9">
        <f t="shared" ref="C260:AL260" si="156">(C241/C59)/(C250/C58)-1</f>
        <v>7.8754786609902538E-5</v>
      </c>
      <c r="D260" s="9">
        <f t="shared" si="156"/>
        <v>2.217564512001946E-3</v>
      </c>
      <c r="E260" s="9">
        <f t="shared" si="156"/>
        <v>3.8588147352451863E-3</v>
      </c>
      <c r="F260" s="9">
        <f t="shared" si="156"/>
        <v>5.3388196290427015E-3</v>
      </c>
      <c r="G260" s="9">
        <f t="shared" si="156"/>
        <v>6.9645295598654844E-3</v>
      </c>
      <c r="H260" s="9">
        <f t="shared" si="156"/>
        <v>9.0506113502473173E-3</v>
      </c>
      <c r="I260" s="9">
        <f t="shared" si="156"/>
        <v>1.120554693269904E-2</v>
      </c>
      <c r="J260" s="9">
        <f t="shared" si="156"/>
        <v>1.3265404379009471E-2</v>
      </c>
      <c r="K260" s="9">
        <f t="shared" si="156"/>
        <v>1.5200619732618881E-2</v>
      </c>
      <c r="L260" s="9">
        <f t="shared" si="156"/>
        <v>1.7029248564214505E-2</v>
      </c>
      <c r="M260" s="9">
        <f t="shared" si="156"/>
        <v>1.8775360048650658E-2</v>
      </c>
      <c r="N260" s="9">
        <f t="shared" si="156"/>
        <v>2.0494270730370134E-2</v>
      </c>
      <c r="O260" s="9">
        <f t="shared" si="156"/>
        <v>2.2216530512973343E-2</v>
      </c>
      <c r="P260" s="9">
        <f t="shared" si="156"/>
        <v>2.3965664923446095E-2</v>
      </c>
      <c r="Q260" s="9">
        <f t="shared" si="156"/>
        <v>2.5748909514079932E-2</v>
      </c>
      <c r="R260" s="9">
        <f t="shared" si="156"/>
        <v>2.7548345948479991E-2</v>
      </c>
      <c r="S260" s="9">
        <f t="shared" si="156"/>
        <v>2.9350520060270835E-2</v>
      </c>
      <c r="T260" s="9">
        <f t="shared" si="156"/>
        <v>3.1140892068964421E-2</v>
      </c>
      <c r="U260" s="9">
        <f t="shared" si="156"/>
        <v>3.2913598483154782E-2</v>
      </c>
      <c r="V260" s="9">
        <f t="shared" si="156"/>
        <v>3.4670856546801909E-2</v>
      </c>
      <c r="W260" s="9">
        <f t="shared" si="156"/>
        <v>3.6432089924792299E-2</v>
      </c>
      <c r="X260" s="9">
        <f t="shared" si="156"/>
        <v>3.8189174661126035E-2</v>
      </c>
      <c r="Y260" s="9">
        <f t="shared" si="156"/>
        <v>3.9954168823723935E-2</v>
      </c>
      <c r="Z260" s="9">
        <f t="shared" si="156"/>
        <v>4.1734145833699277E-2</v>
      </c>
      <c r="AA260" s="9">
        <f t="shared" si="156"/>
        <v>4.3531542617907704E-2</v>
      </c>
      <c r="AB260" s="9">
        <f t="shared" si="156"/>
        <v>4.5386981571358787E-2</v>
      </c>
      <c r="AC260" s="9">
        <f t="shared" si="156"/>
        <v>4.7252533459586354E-2</v>
      </c>
      <c r="AD260" s="9">
        <f t="shared" si="156"/>
        <v>4.9128028972606819E-2</v>
      </c>
      <c r="AE260" s="9">
        <f t="shared" si="156"/>
        <v>5.1011719337567207E-2</v>
      </c>
      <c r="AF260" s="9">
        <f t="shared" si="156"/>
        <v>5.2899703961184708E-2</v>
      </c>
      <c r="AG260" s="9">
        <f t="shared" si="156"/>
        <v>5.4786622480192282E-2</v>
      </c>
      <c r="AH260" s="9">
        <f t="shared" si="156"/>
        <v>5.6664317439895084E-2</v>
      </c>
      <c r="AI260" s="9">
        <f t="shared" si="156"/>
        <v>5.8527412341874419E-2</v>
      </c>
      <c r="AJ260" s="9">
        <f t="shared" si="156"/>
        <v>6.0371402021542897E-2</v>
      </c>
      <c r="AK260" s="9">
        <f t="shared" si="156"/>
        <v>6.2192163329377825E-2</v>
      </c>
      <c r="AL260" s="9">
        <f t="shared" si="156"/>
        <v>6.3985808772136998E-2</v>
      </c>
      <c r="AM260" s="9">
        <f t="shared" ref="AM260:BC260" si="157">(AM241/AM59)/(AM250/AM58)-1</f>
        <v>6.5740599927903265E-2</v>
      </c>
      <c r="AN260" s="9">
        <f t="shared" si="157"/>
        <v>6.744996693262495E-2</v>
      </c>
      <c r="AO260" s="9">
        <f t="shared" si="157"/>
        <v>6.8942601949324223E-2</v>
      </c>
      <c r="AP260" s="9">
        <f t="shared" si="157"/>
        <v>7.0094943840806501E-2</v>
      </c>
      <c r="AQ260" s="9">
        <f t="shared" si="157"/>
        <v>7.0899486218159335E-2</v>
      </c>
      <c r="AR260" s="9">
        <f t="shared" si="157"/>
        <v>7.1602306231457469E-2</v>
      </c>
      <c r="AS260" s="9">
        <f t="shared" si="157"/>
        <v>7.2507572029427481E-2</v>
      </c>
      <c r="AT260" s="9">
        <f t="shared" si="157"/>
        <v>7.3795409488196295E-2</v>
      </c>
      <c r="AU260" s="9">
        <f t="shared" si="157"/>
        <v>7.5464157969740153E-2</v>
      </c>
      <c r="AV260" s="9">
        <f t="shared" si="157"/>
        <v>7.7398847179036778E-2</v>
      </c>
      <c r="AW260" s="9">
        <f t="shared" si="157"/>
        <v>7.9301739646580938E-2</v>
      </c>
      <c r="AX260" s="9">
        <f t="shared" si="157"/>
        <v>8.107245183641143E-2</v>
      </c>
      <c r="AY260" s="9">
        <f t="shared" si="157"/>
        <v>8.2712982063166907E-2</v>
      </c>
      <c r="AZ260" s="9">
        <f t="shared" si="157"/>
        <v>8.4254068945088134E-2</v>
      </c>
      <c r="BA260" s="9">
        <f t="shared" si="157"/>
        <v>8.5722018059761096E-2</v>
      </c>
      <c r="BB260" s="9">
        <f t="shared" si="157"/>
        <v>-5.0104351290258475E-2</v>
      </c>
      <c r="BC260" s="9">
        <f t="shared" si="157"/>
        <v>-5.1237477600364012E-2</v>
      </c>
      <c r="BD260" s="9">
        <f t="shared" ref="BD260:BF260" si="158">(BD241/BD59)/(BD250/BD58)-1</f>
        <v>-5.2356795709070703E-2</v>
      </c>
      <c r="BE260" s="9">
        <f t="shared" si="158"/>
        <v>-5.3472512495467694E-2</v>
      </c>
      <c r="BF260" s="9">
        <f t="shared" si="158"/>
        <v>-5.4587788113607316E-2</v>
      </c>
    </row>
    <row r="261" spans="1:58" x14ac:dyDescent="0.35">
      <c r="B261" t="s">
        <v>48</v>
      </c>
      <c r="C261" s="9">
        <f t="shared" ref="C261:AL261" si="159">(C242/C59)/(C251/C58)-1</f>
        <v>7.8755021806875547E-5</v>
      </c>
      <c r="D261" s="9">
        <f t="shared" si="159"/>
        <v>1.2667068035954188E-4</v>
      </c>
      <c r="E261" s="9">
        <f t="shared" si="159"/>
        <v>1.5006419751739664E-4</v>
      </c>
      <c r="F261" s="9">
        <f t="shared" si="159"/>
        <v>1.6608489259795078E-4</v>
      </c>
      <c r="G261" s="9">
        <f t="shared" si="159"/>
        <v>1.8948638265214868E-4</v>
      </c>
      <c r="H261" s="9">
        <f t="shared" si="159"/>
        <v>2.267285422334897E-4</v>
      </c>
      <c r="I261" s="9">
        <f t="shared" si="159"/>
        <v>2.7682273654106027E-4</v>
      </c>
      <c r="J261" s="9">
        <f t="shared" si="159"/>
        <v>3.3530040097429215E-4</v>
      </c>
      <c r="K261" s="9">
        <f t="shared" si="159"/>
        <v>3.9737471037426531E-4</v>
      </c>
      <c r="L261" s="9">
        <f t="shared" si="159"/>
        <v>4.5955670661146364E-4</v>
      </c>
      <c r="M261" s="9">
        <f t="shared" si="159"/>
        <v>5.2038717856195404E-4</v>
      </c>
      <c r="N261" s="9">
        <f t="shared" si="159"/>
        <v>5.7880171428004168E-4</v>
      </c>
      <c r="O261" s="9">
        <f t="shared" si="159"/>
        <v>6.3538776248717177E-4</v>
      </c>
      <c r="P261" s="9">
        <f t="shared" si="159"/>
        <v>6.9116682724423839E-4</v>
      </c>
      <c r="Q261" s="9">
        <f t="shared" si="159"/>
        <v>7.4711439735564156E-4</v>
      </c>
      <c r="R261" s="9">
        <f t="shared" si="159"/>
        <v>8.039541910880299E-4</v>
      </c>
      <c r="S261" s="9">
        <f t="shared" si="159"/>
        <v>8.6243908004002279E-4</v>
      </c>
      <c r="T261" s="9">
        <f t="shared" si="159"/>
        <v>9.2276508713218242E-4</v>
      </c>
      <c r="U261" s="9">
        <f t="shared" si="159"/>
        <v>9.8518155632310034E-4</v>
      </c>
      <c r="V261" s="9">
        <f t="shared" si="159"/>
        <v>1.049791556184454E-3</v>
      </c>
      <c r="W261" s="9">
        <f t="shared" si="159"/>
        <v>1.1161300197066737E-3</v>
      </c>
      <c r="X261" s="9">
        <f t="shared" si="159"/>
        <v>1.1849034317088503E-3</v>
      </c>
      <c r="Y261" s="9">
        <f t="shared" si="159"/>
        <v>1.2555516955090607E-3</v>
      </c>
      <c r="Z261" s="9">
        <f t="shared" si="159"/>
        <v>1.3277375857898566E-3</v>
      </c>
      <c r="AA261" s="9">
        <f t="shared" si="159"/>
        <v>1.4012400699865424E-3</v>
      </c>
      <c r="AB261" s="9">
        <f t="shared" si="159"/>
        <v>1.4744556934935815E-3</v>
      </c>
      <c r="AC261" s="9">
        <f t="shared" si="159"/>
        <v>1.5493332523408565E-3</v>
      </c>
      <c r="AD261" s="9">
        <f t="shared" si="159"/>
        <v>1.6253715834362303E-3</v>
      </c>
      <c r="AE261" s="9">
        <f t="shared" si="159"/>
        <v>1.7022492922205146E-3</v>
      </c>
      <c r="AF261" s="9">
        <f t="shared" si="159"/>
        <v>1.7798346427901901E-3</v>
      </c>
      <c r="AG261" s="9">
        <f t="shared" si="159"/>
        <v>1.8581502319554577E-3</v>
      </c>
      <c r="AH261" s="9">
        <f t="shared" si="159"/>
        <v>1.9372189479449631E-3</v>
      </c>
      <c r="AI261" s="9">
        <f t="shared" si="159"/>
        <v>2.0172324463048064E-3</v>
      </c>
      <c r="AJ261" s="9">
        <f t="shared" si="159"/>
        <v>2.0983453517731121E-3</v>
      </c>
      <c r="AK261" s="9">
        <f t="shared" si="159"/>
        <v>2.1807276385403807E-3</v>
      </c>
      <c r="AL261" s="9">
        <f t="shared" si="159"/>
        <v>2.26457039578154E-3</v>
      </c>
      <c r="AM261" s="9">
        <f t="shared" ref="AM261:BC261" si="160">(AM242/AM59)/(AM251/AM58)-1</f>
        <v>2.3486736381763684E-3</v>
      </c>
      <c r="AN261" s="9">
        <f t="shared" si="160"/>
        <v>2.4338995246455664E-3</v>
      </c>
      <c r="AO261" s="9">
        <f t="shared" si="160"/>
        <v>2.5200927327901912E-3</v>
      </c>
      <c r="AP261" s="9">
        <f t="shared" si="160"/>
        <v>2.607008463226812E-3</v>
      </c>
      <c r="AQ261" s="9">
        <f t="shared" si="160"/>
        <v>2.6946769953224425E-3</v>
      </c>
      <c r="AR261" s="9">
        <f t="shared" si="160"/>
        <v>2.8568633429288948E-3</v>
      </c>
      <c r="AS261" s="9">
        <f t="shared" si="160"/>
        <v>3.0827937474751099E-3</v>
      </c>
      <c r="AT261" s="9">
        <f t="shared" si="160"/>
        <v>3.3420214648227642E-3</v>
      </c>
      <c r="AU261" s="9">
        <f t="shared" si="160"/>
        <v>3.6089513868358125E-3</v>
      </c>
      <c r="AV261" s="9">
        <f t="shared" si="160"/>
        <v>3.8698653875233191E-3</v>
      </c>
      <c r="AW261" s="9">
        <f t="shared" si="160"/>
        <v>4.0203838243608736E-3</v>
      </c>
      <c r="AX261" s="9">
        <f t="shared" si="160"/>
        <v>4.0793924992608144E-3</v>
      </c>
      <c r="AY261" s="9">
        <f t="shared" si="160"/>
        <v>4.0948018570619027E-3</v>
      </c>
      <c r="AZ261" s="9">
        <f t="shared" si="160"/>
        <v>4.1074227716588751E-3</v>
      </c>
      <c r="BA261" s="9">
        <f t="shared" si="160"/>
        <v>4.1401458471830299E-3</v>
      </c>
      <c r="BB261" s="9">
        <f t="shared" si="160"/>
        <v>1.5204652272835517E-3</v>
      </c>
      <c r="BC261" s="9">
        <f t="shared" si="160"/>
        <v>1.613104185054004E-3</v>
      </c>
      <c r="BD261" s="9">
        <f t="shared" ref="BD261:BF261" si="161">(BD242/BD59)/(BD251/BD58)-1</f>
        <v>1.7126773717413002E-3</v>
      </c>
      <c r="BE261" s="9">
        <f t="shared" si="161"/>
        <v>1.8203076413527697E-3</v>
      </c>
      <c r="BF261" s="9">
        <f t="shared" si="161"/>
        <v>1.9368770365537635E-3</v>
      </c>
    </row>
    <row r="263" spans="1:58" x14ac:dyDescent="0.35">
      <c r="A263" s="12" t="s">
        <v>21</v>
      </c>
      <c r="B263" t="s">
        <v>26</v>
      </c>
      <c r="C263" s="6">
        <f>[1]Results!F1600</f>
        <v>473183.95140000002</v>
      </c>
      <c r="D263" s="6">
        <f>[1]Results!G1600</f>
        <v>479488.17050000001</v>
      </c>
      <c r="E263" s="6">
        <f>[1]Results!H1600</f>
        <v>486379.15639999998</v>
      </c>
      <c r="F263" s="6">
        <f>[1]Results!I1600</f>
        <v>493792.99280000001</v>
      </c>
      <c r="G263" s="6">
        <f>[1]Results!J1600</f>
        <v>501676.06459999998</v>
      </c>
      <c r="H263" s="6">
        <f>[1]Results!K1600</f>
        <v>509996.29849999998</v>
      </c>
      <c r="I263" s="6">
        <f>[1]Results!L1600</f>
        <v>518534.10989999998</v>
      </c>
      <c r="J263" s="6">
        <f>[1]Results!M1600</f>
        <v>527324.42949999997</v>
      </c>
      <c r="K263" s="6">
        <f>[1]Results!N1600</f>
        <v>536387.72169999999</v>
      </c>
      <c r="L263" s="6">
        <f>[1]Results!O1600</f>
        <v>545729.32559999998</v>
      </c>
      <c r="M263" s="6">
        <f>[1]Results!P1600</f>
        <v>555700.67929999996</v>
      </c>
      <c r="N263" s="6">
        <f>[1]Results!Q1600</f>
        <v>565853.38529999997</v>
      </c>
      <c r="O263" s="6">
        <f>[1]Results!R1600</f>
        <v>576204.77500000002</v>
      </c>
      <c r="P263" s="6">
        <f>[1]Results!S1600</f>
        <v>586767.57629999996</v>
      </c>
      <c r="Q263" s="6">
        <f>[1]Results!T1600</f>
        <v>597543.1594</v>
      </c>
      <c r="R263" s="6">
        <f>[1]Results!U1600</f>
        <v>608529.22560000001</v>
      </c>
      <c r="S263" s="6">
        <f>[1]Results!V1600</f>
        <v>619723.21169999999</v>
      </c>
      <c r="T263" s="6">
        <f>[1]Results!W1600</f>
        <v>631124.57999999996</v>
      </c>
      <c r="U263" s="6">
        <f>[1]Results!X1600</f>
        <v>642733.7439</v>
      </c>
      <c r="V263" s="6">
        <f>[1]Results!Y1600</f>
        <v>654551.72069999995</v>
      </c>
      <c r="W263" s="6">
        <f>[1]Results!Z1600</f>
        <v>666310.22640000004</v>
      </c>
      <c r="X263" s="6">
        <f>[1]Results!AA1600</f>
        <v>678343.69590000005</v>
      </c>
      <c r="Y263" s="6">
        <f>[1]Results!AB1600</f>
        <v>690633.40839999996</v>
      </c>
      <c r="Z263" s="6">
        <f>[1]Results!AC1600</f>
        <v>703162.89619999996</v>
      </c>
      <c r="AA263" s="6">
        <f>[1]Results!AD1600</f>
        <v>715923.86690000002</v>
      </c>
      <c r="AB263" s="6">
        <f>[1]Results!AE1600</f>
        <v>728123.00040000002</v>
      </c>
      <c r="AC263" s="6">
        <f>[1]Results!AF1600</f>
        <v>740353.65370000002</v>
      </c>
      <c r="AD263" s="6">
        <f>[1]Results!AG1600</f>
        <v>752637.40960000001</v>
      </c>
      <c r="AE263" s="6">
        <f>[1]Results!AH1600</f>
        <v>764978.45640000002</v>
      </c>
      <c r="AF263" s="6">
        <f>[1]Results!AI1600</f>
        <v>777384.66590000002</v>
      </c>
      <c r="AG263" s="6">
        <f>[1]Results!AJ1600</f>
        <v>789864.45970000001</v>
      </c>
      <c r="AH263" s="6">
        <f>[1]Results!AK1600</f>
        <v>802424.23759999999</v>
      </c>
      <c r="AI263" s="6">
        <f>[1]Results!AL1600</f>
        <v>815066.8824</v>
      </c>
      <c r="AJ263" s="6">
        <f>[1]Results!AM1600</f>
        <v>827792.09279999998</v>
      </c>
      <c r="AK263" s="6">
        <f>[1]Results!AN1600</f>
        <v>840596.9828</v>
      </c>
      <c r="AL263" s="6">
        <f>[1]Results!AO1600</f>
        <v>853476.94220000005</v>
      </c>
      <c r="AM263" s="6">
        <f>[1]Results!AP1600</f>
        <v>866233.44079999998</v>
      </c>
      <c r="AN263" s="6">
        <f>[1]Results!AQ1600</f>
        <v>878903.42150000005</v>
      </c>
      <c r="AO263" s="6">
        <f>[1]Results!AR1600</f>
        <v>891512.45460000006</v>
      </c>
      <c r="AP263" s="6">
        <f>[1]Results!AS1600</f>
        <v>904076.15300000005</v>
      </c>
      <c r="AQ263" s="6">
        <f>[1]Results!AT1600</f>
        <v>916606.15789999999</v>
      </c>
      <c r="AR263" s="6">
        <f>[1]Results!AU1600</f>
        <v>929112.85140000004</v>
      </c>
      <c r="AS263" s="6">
        <f>[1]Results!AV1600</f>
        <v>941605.36699999997</v>
      </c>
      <c r="AT263" s="6">
        <f>[1]Results!AW1600</f>
        <v>954092.15700000001</v>
      </c>
      <c r="AU263" s="6">
        <f>[1]Results!AX1600</f>
        <v>966580.93149999995</v>
      </c>
      <c r="AV263" s="6">
        <f>[1]Results!AY1600</f>
        <v>979078.75780000002</v>
      </c>
      <c r="AW263" s="6">
        <f>[1]Results!AZ1600</f>
        <v>991699.47739999997</v>
      </c>
      <c r="AX263" s="6">
        <f>[1]Results!BA1600</f>
        <v>1004487.612</v>
      </c>
      <c r="AY263" s="6">
        <f>[1]Results!BB1600</f>
        <v>1017446.251</v>
      </c>
      <c r="AZ263" s="6">
        <f>[1]Results!BC1600</f>
        <v>1030555.887</v>
      </c>
      <c r="BA263" s="6">
        <f>[1]Results!BD1600</f>
        <v>1043791.735</v>
      </c>
      <c r="BB263" s="6">
        <f>[1]Results!BE1600</f>
        <v>1177882.68</v>
      </c>
      <c r="BC263" s="6">
        <f>[1]Results!BF1600</f>
        <v>1199509.7779999999</v>
      </c>
      <c r="BD263" s="6">
        <f>[1]Results!BG1600</f>
        <v>1221370.1200000001</v>
      </c>
      <c r="BE263" s="6">
        <f>[1]Results!BH1600</f>
        <v>1243459.7209999999</v>
      </c>
      <c r="BF263" s="6">
        <f>[1]Results!BI1600</f>
        <v>1265775.415</v>
      </c>
    </row>
    <row r="264" spans="1:58" x14ac:dyDescent="0.35">
      <c r="A264" t="s">
        <v>39</v>
      </c>
      <c r="B264" t="s">
        <v>7</v>
      </c>
      <c r="C264" s="6">
        <f>[1]Results!F1601</f>
        <v>4439.8361169999998</v>
      </c>
      <c r="D264" s="6">
        <f>[1]Results!G1601</f>
        <v>4487.4772860000003</v>
      </c>
      <c r="E264" s="6">
        <f>[1]Results!H1601</f>
        <v>4535.0443770000002</v>
      </c>
      <c r="F264" s="6">
        <f>[1]Results!I1601</f>
        <v>4583.434499</v>
      </c>
      <c r="G264" s="6">
        <f>[1]Results!J1601</f>
        <v>4633.2846300000001</v>
      </c>
      <c r="H264" s="6">
        <f>[1]Results!K1601</f>
        <v>4684.9451849999996</v>
      </c>
      <c r="I264" s="6">
        <f>[1]Results!L1601</f>
        <v>4735.8107069999996</v>
      </c>
      <c r="J264" s="6">
        <f>[1]Results!M1601</f>
        <v>4787.2424899999996</v>
      </c>
      <c r="K264" s="6">
        <f>[1]Results!N1601</f>
        <v>4839.7162550000003</v>
      </c>
      <c r="L264" s="6">
        <f>[1]Results!O1601</f>
        <v>4893.3051219999998</v>
      </c>
      <c r="M264" s="6">
        <f>[1]Results!P1601</f>
        <v>4952.5480550000002</v>
      </c>
      <c r="N264" s="6">
        <f>[1]Results!Q1601</f>
        <v>5010.0941510000002</v>
      </c>
      <c r="O264" s="6">
        <f>[1]Results!R1601</f>
        <v>5067.2842570000003</v>
      </c>
      <c r="P264" s="6">
        <f>[1]Results!S1601</f>
        <v>5124.5931840000003</v>
      </c>
      <c r="Q264" s="6">
        <f>[1]Results!T1601</f>
        <v>5182.124855</v>
      </c>
      <c r="R264" s="6">
        <f>[1]Results!U1601</f>
        <v>5239.8780999999999</v>
      </c>
      <c r="S264" s="6">
        <f>[1]Results!V1601</f>
        <v>5297.6346530000001</v>
      </c>
      <c r="T264" s="6">
        <f>[1]Results!W1601</f>
        <v>5355.5606580000003</v>
      </c>
      <c r="U264" s="6">
        <f>[1]Results!X1601</f>
        <v>5413.7262460000002</v>
      </c>
      <c r="V264" s="6">
        <f>[1]Results!Y1601</f>
        <v>5472.1924470000004</v>
      </c>
      <c r="W264" s="6">
        <f>[1]Results!Z1601</f>
        <v>5527.7052809999996</v>
      </c>
      <c r="X264" s="6">
        <f>[1]Results!AA1601</f>
        <v>5585.4135480000004</v>
      </c>
      <c r="Y264" s="6">
        <f>[1]Results!AB1601</f>
        <v>5644.4018500000002</v>
      </c>
      <c r="Z264" s="6">
        <f>[1]Results!AC1601</f>
        <v>5704.3336810000001</v>
      </c>
      <c r="AA264" s="6">
        <f>[1]Results!AD1601</f>
        <v>5765.139803</v>
      </c>
      <c r="AB264" s="6">
        <f>[1]Results!AE1601</f>
        <v>5817.4103150000001</v>
      </c>
      <c r="AC264" s="6">
        <f>[1]Results!AF1601</f>
        <v>5871.2249760000004</v>
      </c>
      <c r="AD264" s="6">
        <f>[1]Results!AG1601</f>
        <v>5925.9900619999999</v>
      </c>
      <c r="AE264" s="6">
        <f>[1]Results!AH1601</f>
        <v>5981.4981470000002</v>
      </c>
      <c r="AF264" s="6">
        <f>[1]Results!AI1601</f>
        <v>6037.7566569999999</v>
      </c>
      <c r="AG264" s="6">
        <f>[1]Results!AJ1601</f>
        <v>6094.8283380000003</v>
      </c>
      <c r="AH264" s="6">
        <f>[1]Results!AK1601</f>
        <v>6152.8354959999997</v>
      </c>
      <c r="AI264" s="6">
        <f>[1]Results!AL1601</f>
        <v>6211.7784700000002</v>
      </c>
      <c r="AJ264" s="6">
        <f>[1]Results!AM1601</f>
        <v>6271.6736769999998</v>
      </c>
      <c r="AK264" s="6">
        <f>[1]Results!AN1601</f>
        <v>6332.5308100000002</v>
      </c>
      <c r="AL264" s="6">
        <f>[1]Results!AO1601</f>
        <v>6394.3509290000002</v>
      </c>
      <c r="AM264" s="6">
        <f>[1]Results!AP1601</f>
        <v>6455.4863379999997</v>
      </c>
      <c r="AN264" s="6">
        <f>[1]Results!AQ1601</f>
        <v>6516.634035</v>
      </c>
      <c r="AO264" s="6">
        <f>[1]Results!AR1601</f>
        <v>6578.1526610000001</v>
      </c>
      <c r="AP264" s="6">
        <f>[1]Results!AS1601</f>
        <v>6640.2089189999997</v>
      </c>
      <c r="AQ264" s="6">
        <f>[1]Results!AT1601</f>
        <v>6702.8961550000004</v>
      </c>
      <c r="AR264" s="6">
        <f>[1]Results!AU1601</f>
        <v>6766.3697689999999</v>
      </c>
      <c r="AS264" s="6">
        <f>[1]Results!AV1601</f>
        <v>6830.6033079999997</v>
      </c>
      <c r="AT264" s="6">
        <f>[1]Results!AW1601</f>
        <v>6895.6146289999997</v>
      </c>
      <c r="AU264" s="6">
        <f>[1]Results!AX1601</f>
        <v>6961.4280159999998</v>
      </c>
      <c r="AV264" s="6">
        <f>[1]Results!AY1601</f>
        <v>7028.0660250000001</v>
      </c>
      <c r="AW264" s="6">
        <f>[1]Results!AZ1601</f>
        <v>7099.4522939999997</v>
      </c>
      <c r="AX264" s="6">
        <f>[1]Results!BA1601</f>
        <v>7175.4664309999998</v>
      </c>
      <c r="AY264" s="6">
        <f>[1]Results!BB1601</f>
        <v>7255.4580969999997</v>
      </c>
      <c r="AZ264" s="6">
        <f>[1]Results!BC1601</f>
        <v>7338.7291740000001</v>
      </c>
      <c r="BA264" s="6">
        <f>[1]Results!BD1601</f>
        <v>7424.7129189999996</v>
      </c>
      <c r="BB264" s="6">
        <f>[1]Results!BE1601</f>
        <v>10315.183279999999</v>
      </c>
      <c r="BC264" s="6">
        <f>[1]Results!BF1601</f>
        <v>10501.124680000001</v>
      </c>
      <c r="BD264" s="6">
        <f>[1]Results!BG1601</f>
        <v>10690.10708</v>
      </c>
      <c r="BE264" s="6">
        <f>[1]Results!BH1601</f>
        <v>10882.175730000001</v>
      </c>
      <c r="BF264" s="6">
        <f>[1]Results!BI1601</f>
        <v>11077.383040000001</v>
      </c>
    </row>
    <row r="265" spans="1:58" x14ac:dyDescent="0.35">
      <c r="B265" t="s">
        <v>30</v>
      </c>
      <c r="C265" s="6">
        <f>[1]Results!F1604</f>
        <v>235086.5759</v>
      </c>
      <c r="D265" s="6">
        <f>[1]Results!G1604</f>
        <v>238317.7714</v>
      </c>
      <c r="E265" s="6">
        <f>[1]Results!H1604</f>
        <v>241893.22839999999</v>
      </c>
      <c r="F265" s="6">
        <f>[1]Results!I1604</f>
        <v>245738.0625</v>
      </c>
      <c r="G265" s="6">
        <f>[1]Results!J1604</f>
        <v>249807.17920000001</v>
      </c>
      <c r="H265" s="6">
        <f>[1]Results!K1604</f>
        <v>254083.30970000001</v>
      </c>
      <c r="I265" s="6">
        <f>[1]Results!L1604</f>
        <v>258475.92050000001</v>
      </c>
      <c r="J265" s="6">
        <f>[1]Results!M1604</f>
        <v>263002.57640000002</v>
      </c>
      <c r="K265" s="6">
        <f>[1]Results!N1604</f>
        <v>267678.21850000002</v>
      </c>
      <c r="L265" s="6">
        <f>[1]Results!O1604</f>
        <v>272511.09860000003</v>
      </c>
      <c r="M265" s="6">
        <f>[1]Results!P1604</f>
        <v>277660.09529999999</v>
      </c>
      <c r="N265" s="6">
        <f>[1]Results!Q1604</f>
        <v>282942.2439</v>
      </c>
      <c r="O265" s="6">
        <f>[1]Results!R1604</f>
        <v>288359.70480000001</v>
      </c>
      <c r="P265" s="6">
        <f>[1]Results!S1604</f>
        <v>293916.25109999999</v>
      </c>
      <c r="Q265" s="6">
        <f>[1]Results!T1604</f>
        <v>299612.12219999998</v>
      </c>
      <c r="R265" s="6">
        <f>[1]Results!U1604</f>
        <v>305445.97629999998</v>
      </c>
      <c r="S265" s="6">
        <f>[1]Results!V1604</f>
        <v>311416.23379999999</v>
      </c>
      <c r="T265" s="6">
        <f>[1]Results!W1604</f>
        <v>317521.72279999999</v>
      </c>
      <c r="U265" s="6">
        <f>[1]Results!X1604</f>
        <v>323761.67700000003</v>
      </c>
      <c r="V265" s="6">
        <f>[1]Results!Y1604</f>
        <v>330135.57750000001</v>
      </c>
      <c r="W265" s="6">
        <f>[1]Results!Z1604</f>
        <v>336523.86580000003</v>
      </c>
      <c r="X265" s="6">
        <f>[1]Results!AA1604</f>
        <v>343064.32500000001</v>
      </c>
      <c r="Y265" s="6">
        <f>[1]Results!AB1604</f>
        <v>349752.95640000002</v>
      </c>
      <c r="Z265" s="6">
        <f>[1]Results!AC1604</f>
        <v>356583.24579999998</v>
      </c>
      <c r="AA265" s="6">
        <f>[1]Results!AD1604</f>
        <v>363550.55660000001</v>
      </c>
      <c r="AB265" s="6">
        <f>[1]Results!AE1604</f>
        <v>370301.65549999999</v>
      </c>
      <c r="AC265" s="6">
        <f>[1]Results!AF1604</f>
        <v>377070.72700000001</v>
      </c>
      <c r="AD265" s="6">
        <f>[1]Results!AG1604</f>
        <v>383868.7487</v>
      </c>
      <c r="AE265" s="6">
        <f>[1]Results!AH1604</f>
        <v>390696.2291</v>
      </c>
      <c r="AF265" s="6">
        <f>[1]Results!AI1604</f>
        <v>397553.25660000002</v>
      </c>
      <c r="AG265" s="6">
        <f>[1]Results!AJ1604</f>
        <v>404439.63219999999</v>
      </c>
      <c r="AH265" s="6">
        <f>[1]Results!AK1604</f>
        <v>411354.28850000002</v>
      </c>
      <c r="AI265" s="6">
        <f>[1]Results!AL1604</f>
        <v>418294.86109999998</v>
      </c>
      <c r="AJ265" s="6">
        <f>[1]Results!AM1604</f>
        <v>425257.66979999997</v>
      </c>
      <c r="AK265" s="6">
        <f>[1]Results!AN1604</f>
        <v>432237.9411</v>
      </c>
      <c r="AL265" s="6">
        <f>[1]Results!AO1604</f>
        <v>439230.17349999998</v>
      </c>
      <c r="AM265" s="6">
        <f>[1]Results!AP1604</f>
        <v>446141.92</v>
      </c>
      <c r="AN265" s="6">
        <f>[1]Results!AQ1604</f>
        <v>452979.79599999997</v>
      </c>
      <c r="AO265" s="6">
        <f>[1]Results!AR1604</f>
        <v>459749.42719999998</v>
      </c>
      <c r="AP265" s="6">
        <f>[1]Results!AS1604</f>
        <v>466453.84379999997</v>
      </c>
      <c r="AQ265" s="6">
        <f>[1]Results!AT1604</f>
        <v>473095.05680000002</v>
      </c>
      <c r="AR265" s="6">
        <f>[1]Results!AU1604</f>
        <v>479674.96019999997</v>
      </c>
      <c r="AS265" s="6">
        <f>[1]Results!AV1604</f>
        <v>486195.56589999999</v>
      </c>
      <c r="AT265" s="6">
        <f>[1]Results!AW1604</f>
        <v>492659.10680000001</v>
      </c>
      <c r="AU265" s="6">
        <f>[1]Results!AX1604</f>
        <v>499068.03220000002</v>
      </c>
      <c r="AV265" s="6">
        <f>[1]Results!AY1604</f>
        <v>505425.02630000003</v>
      </c>
      <c r="AW265" s="6">
        <f>[1]Results!AZ1604</f>
        <v>511784.07990000001</v>
      </c>
      <c r="AX265" s="6">
        <f>[1]Results!BA1604</f>
        <v>518175.25719999999</v>
      </c>
      <c r="AY265" s="6">
        <f>[1]Results!BB1604</f>
        <v>524607.66929999995</v>
      </c>
      <c r="AZ265" s="6">
        <f>[1]Results!BC1604</f>
        <v>531076.11710000003</v>
      </c>
      <c r="BA265" s="6">
        <f>[1]Results!BD1604</f>
        <v>537569.78980000003</v>
      </c>
      <c r="BB265" s="6">
        <f>[1]Results!BE1604</f>
        <v>617742.98450000002</v>
      </c>
      <c r="BC265" s="6">
        <f>[1]Results!BF1604</f>
        <v>629611.85600000003</v>
      </c>
      <c r="BD265" s="6">
        <f>[1]Results!BG1604</f>
        <v>641570.32310000004</v>
      </c>
      <c r="BE265" s="6">
        <f>[1]Results!BH1604</f>
        <v>653612.58900000004</v>
      </c>
      <c r="BF265" s="6">
        <f>[1]Results!BI1604</f>
        <v>665733.37950000004</v>
      </c>
    </row>
    <row r="266" spans="1:58" x14ac:dyDescent="0.35">
      <c r="B266" t="s">
        <v>28</v>
      </c>
      <c r="C266" s="6">
        <f>[1]Results!F1616</f>
        <v>8023.5545249999996</v>
      </c>
      <c r="D266" s="6">
        <f>[1]Results!G1616</f>
        <v>8131.1781460000002</v>
      </c>
      <c r="E266" s="6">
        <f>[1]Results!H1616</f>
        <v>8247.7559990000009</v>
      </c>
      <c r="F266" s="6">
        <f>[1]Results!I1616</f>
        <v>8371.9065289999999</v>
      </c>
      <c r="G266" s="6">
        <f>[1]Results!J1616</f>
        <v>8502.7483780000002</v>
      </c>
      <c r="H266" s="6">
        <f>[1]Results!K1616</f>
        <v>8639.6169190000001</v>
      </c>
      <c r="I266" s="6">
        <f>[1]Results!L1616</f>
        <v>8777.6655809999993</v>
      </c>
      <c r="J266" s="6">
        <f>[1]Results!M1616</f>
        <v>8918.3134019999998</v>
      </c>
      <c r="K266" s="6">
        <f>[1]Results!N1616</f>
        <v>9062.026527</v>
      </c>
      <c r="L266" s="6">
        <f>[1]Results!O1616</f>
        <v>9208.8317929999994</v>
      </c>
      <c r="M266" s="6">
        <f>[1]Results!P1616</f>
        <v>9366.1757379999999</v>
      </c>
      <c r="N266" s="6">
        <f>[1]Results!Q1616</f>
        <v>9522.9356950000001</v>
      </c>
      <c r="O266" s="6">
        <f>[1]Results!R1616</f>
        <v>9680.7835520000008</v>
      </c>
      <c r="P266" s="6">
        <f>[1]Results!S1616</f>
        <v>9840.443346</v>
      </c>
      <c r="Q266" s="6">
        <f>[1]Results!T1616</f>
        <v>10002.128350000001</v>
      </c>
      <c r="R266" s="6">
        <f>[1]Results!U1616</f>
        <v>10165.90301</v>
      </c>
      <c r="S266" s="6">
        <f>[1]Results!V1616</f>
        <v>10331.80632</v>
      </c>
      <c r="T266" s="6">
        <f>[1]Results!W1616</f>
        <v>10499.90581</v>
      </c>
      <c r="U266" s="6">
        <f>[1]Results!X1616</f>
        <v>10670.28435</v>
      </c>
      <c r="V266" s="6">
        <f>[1]Results!Y1616</f>
        <v>10843.03585</v>
      </c>
      <c r="W266" s="6">
        <f>[1]Results!Z1616</f>
        <v>11012.53118</v>
      </c>
      <c r="X266" s="6">
        <f>[1]Results!AA1616</f>
        <v>11187.17439</v>
      </c>
      <c r="Y266" s="6">
        <f>[1]Results!AB1616</f>
        <v>11365.701359999999</v>
      </c>
      <c r="Z266" s="6">
        <f>[1]Results!AC1616</f>
        <v>11547.5735</v>
      </c>
      <c r="AA266" s="6">
        <f>[1]Results!AD1616</f>
        <v>11732.6515</v>
      </c>
      <c r="AB266" s="6">
        <f>[1]Results!AE1616</f>
        <v>11904.21393</v>
      </c>
      <c r="AC266" s="6">
        <f>[1]Results!AF1616</f>
        <v>12078.55097</v>
      </c>
      <c r="AD266" s="6">
        <f>[1]Results!AG1616</f>
        <v>12255.17302</v>
      </c>
      <c r="AE266" s="6">
        <f>[1]Results!AH1616</f>
        <v>12433.88312</v>
      </c>
      <c r="AF266" s="6">
        <f>[1]Results!AI1616</f>
        <v>12614.808919999999</v>
      </c>
      <c r="AG266" s="6">
        <f>[1]Results!AJ1616</f>
        <v>12798.16455</v>
      </c>
      <c r="AH266" s="6">
        <f>[1]Results!AK1616</f>
        <v>12984.15005</v>
      </c>
      <c r="AI266" s="6">
        <f>[1]Results!AL1616</f>
        <v>13172.910900000001</v>
      </c>
      <c r="AJ266" s="6">
        <f>[1]Results!AM1616</f>
        <v>13364.53973</v>
      </c>
      <c r="AK266" s="6">
        <f>[1]Results!AN1616</f>
        <v>13559.08484</v>
      </c>
      <c r="AL266" s="6">
        <f>[1]Results!AO1616</f>
        <v>13756.56279</v>
      </c>
      <c r="AM266" s="6">
        <f>[1]Results!AP1616</f>
        <v>13952.872079999999</v>
      </c>
      <c r="AN266" s="6">
        <f>[1]Results!AQ1616</f>
        <v>14149.787549999999</v>
      </c>
      <c r="AO266" s="6">
        <f>[1]Results!AR1616</f>
        <v>14348.143669999999</v>
      </c>
      <c r="AP266" s="6">
        <f>[1]Results!AS1616</f>
        <v>14548.34015</v>
      </c>
      <c r="AQ266" s="6">
        <f>[1]Results!AT1616</f>
        <v>14750.623149999999</v>
      </c>
      <c r="AR266" s="6">
        <f>[1]Results!AU1616</f>
        <v>14955.18309</v>
      </c>
      <c r="AS266" s="6">
        <f>[1]Results!AV1616</f>
        <v>15162.16959</v>
      </c>
      <c r="AT266" s="6">
        <f>[1]Results!AW1616</f>
        <v>15371.70556</v>
      </c>
      <c r="AU266" s="6">
        <f>[1]Results!AX1616</f>
        <v>15583.888440000001</v>
      </c>
      <c r="AV266" s="6">
        <f>[1]Results!AY1616</f>
        <v>15798.793030000001</v>
      </c>
      <c r="AW266" s="6">
        <f>[1]Results!AZ1616</f>
        <v>16018.19456</v>
      </c>
      <c r="AX266" s="6">
        <f>[1]Results!BA1616</f>
        <v>16242.48281</v>
      </c>
      <c r="AY266" s="6">
        <f>[1]Results!BB1616</f>
        <v>16471.539949999998</v>
      </c>
      <c r="AZ266" s="6">
        <f>[1]Results!BC1616</f>
        <v>16705.01641</v>
      </c>
      <c r="BA266" s="6">
        <f>[1]Results!BD1616</f>
        <v>16942.546399999999</v>
      </c>
      <c r="BB266" s="6">
        <f>[1]Results!BE1616</f>
        <v>18304.411169999999</v>
      </c>
      <c r="BC266" s="6">
        <f>[1]Results!BF1616</f>
        <v>18627.571029999999</v>
      </c>
      <c r="BD266" s="6">
        <f>[1]Results!BG1616</f>
        <v>18956.537619999999</v>
      </c>
      <c r="BE266" s="6">
        <f>[1]Results!BH1616</f>
        <v>19291.396369999999</v>
      </c>
      <c r="BF266" s="6">
        <f>[1]Results!BI1616</f>
        <v>19632.235570000001</v>
      </c>
    </row>
    <row r="267" spans="1:58" x14ac:dyDescent="0.35">
      <c r="B267" t="s">
        <v>10</v>
      </c>
      <c r="C267" s="6">
        <f>[1]Results!F1621</f>
        <v>219732.1874</v>
      </c>
      <c r="D267" s="6">
        <f>[1]Results!G1621</f>
        <v>222592.351</v>
      </c>
      <c r="E267" s="6">
        <f>[1]Results!H1621</f>
        <v>225696.07860000001</v>
      </c>
      <c r="F267" s="6">
        <f>[1]Results!I1621</f>
        <v>229047.8866</v>
      </c>
      <c r="G267" s="6">
        <f>[1]Results!J1621</f>
        <v>232634.9498</v>
      </c>
      <c r="H267" s="6">
        <f>[1]Results!K1621</f>
        <v>236440.73079999999</v>
      </c>
      <c r="I267" s="6">
        <f>[1]Results!L1621</f>
        <v>240345.44190000001</v>
      </c>
      <c r="J267" s="6">
        <f>[1]Results!M1621</f>
        <v>244363.25640000001</v>
      </c>
      <c r="K267" s="6">
        <f>[1]Results!N1621</f>
        <v>248498.71830000001</v>
      </c>
      <c r="L267" s="6">
        <f>[1]Results!O1621</f>
        <v>252749.00870000001</v>
      </c>
      <c r="M267" s="6">
        <f>[1]Results!P1621</f>
        <v>257290.9172</v>
      </c>
      <c r="N267" s="6">
        <f>[1]Results!Q1621</f>
        <v>261882.85980000001</v>
      </c>
      <c r="O267" s="6">
        <f>[1]Results!R1621</f>
        <v>266536.89140000002</v>
      </c>
      <c r="P267" s="6">
        <f>[1]Results!S1621</f>
        <v>271260.45140000002</v>
      </c>
      <c r="Q267" s="6">
        <f>[1]Results!T1621</f>
        <v>276054.20079999999</v>
      </c>
      <c r="R267" s="6">
        <f>[1]Results!U1621</f>
        <v>280917.06189999997</v>
      </c>
      <c r="S267" s="6">
        <f>[1]Results!V1621</f>
        <v>285848.18829999998</v>
      </c>
      <c r="T267" s="6">
        <f>[1]Results!W1621</f>
        <v>290847.96850000002</v>
      </c>
      <c r="U267" s="6">
        <f>[1]Results!X1621</f>
        <v>295917.4179</v>
      </c>
      <c r="V267" s="6">
        <f>[1]Results!Y1621</f>
        <v>301057.89980000001</v>
      </c>
      <c r="W267" s="6">
        <f>[1]Results!Z1621</f>
        <v>306132.47120000003</v>
      </c>
      <c r="X267" s="6">
        <f>[1]Results!AA1621</f>
        <v>311320.39809999999</v>
      </c>
      <c r="Y267" s="6">
        <f>[1]Results!AB1621</f>
        <v>316609.2843</v>
      </c>
      <c r="Z267" s="6">
        <f>[1]Results!AC1621</f>
        <v>321990.31079999998</v>
      </c>
      <c r="AA267" s="6">
        <f>[1]Results!AD1621</f>
        <v>327460.14649999997</v>
      </c>
      <c r="AB267" s="6">
        <f>[1]Results!AE1621</f>
        <v>332613.25650000002</v>
      </c>
      <c r="AC267" s="6">
        <f>[1]Results!AF1621</f>
        <v>337775.52380000002</v>
      </c>
      <c r="AD267" s="6">
        <f>[1]Results!AG1621</f>
        <v>342958.01010000001</v>
      </c>
      <c r="AE267" s="6">
        <f>[1]Results!AH1621</f>
        <v>348164.71879999997</v>
      </c>
      <c r="AF267" s="6">
        <f>[1]Results!AI1621</f>
        <v>353403.19650000002</v>
      </c>
      <c r="AG267" s="6">
        <f>[1]Results!AJ1621</f>
        <v>358681.65360000002</v>
      </c>
      <c r="AH267" s="6">
        <f>[1]Results!AK1621</f>
        <v>364007.10399999999</v>
      </c>
      <c r="AI267" s="6">
        <f>[1]Results!AL1621</f>
        <v>369384.5257</v>
      </c>
      <c r="AJ267" s="6">
        <f>[1]Results!AM1621</f>
        <v>374817.08319999999</v>
      </c>
      <c r="AK267" s="6">
        <f>[1]Results!AN1621</f>
        <v>380306.52179999999</v>
      </c>
      <c r="AL267" s="6">
        <f>[1]Results!AO1621</f>
        <v>385853.65010000003</v>
      </c>
      <c r="AM267" s="6">
        <f>[1]Results!AP1621</f>
        <v>391360.13640000002</v>
      </c>
      <c r="AN267" s="6">
        <f>[1]Results!AQ1621</f>
        <v>396853.21100000001</v>
      </c>
      <c r="AO267" s="6">
        <f>[1]Results!AR1621</f>
        <v>402351.12890000001</v>
      </c>
      <c r="AP267" s="6">
        <f>[1]Results!AS1621</f>
        <v>407865.61839999998</v>
      </c>
      <c r="AQ267" s="6">
        <f>[1]Results!AT1621</f>
        <v>413405.79450000002</v>
      </c>
      <c r="AR267" s="6">
        <f>[1]Results!AU1621</f>
        <v>418979.6876</v>
      </c>
      <c r="AS267" s="6">
        <f>[1]Results!AV1621</f>
        <v>424594.2046</v>
      </c>
      <c r="AT267" s="6">
        <f>[1]Results!AW1621</f>
        <v>430255.35029999999</v>
      </c>
      <c r="AU267" s="6">
        <f>[1]Results!AX1621</f>
        <v>435968.20569999999</v>
      </c>
      <c r="AV267" s="6">
        <f>[1]Results!AY1621</f>
        <v>441737.011</v>
      </c>
      <c r="AW267" s="6">
        <f>[1]Results!AZ1621</f>
        <v>447616.09769999998</v>
      </c>
      <c r="AX267" s="6">
        <f>[1]Results!BA1621</f>
        <v>453619.69500000001</v>
      </c>
      <c r="AY267" s="6">
        <f>[1]Results!BB1621</f>
        <v>459742.36040000001</v>
      </c>
      <c r="AZ267" s="6">
        <f>[1]Results!BC1621</f>
        <v>465970.58909999998</v>
      </c>
      <c r="BA267" s="6">
        <f>[1]Results!BD1621</f>
        <v>472291.12900000002</v>
      </c>
      <c r="BB267" s="6">
        <f>[1]Results!BE1621</f>
        <v>520690.10560000001</v>
      </c>
      <c r="BC267" s="6">
        <f>[1]Results!BF1621</f>
        <v>529771.0233</v>
      </c>
      <c r="BD267" s="6">
        <f>[1]Results!BG1621</f>
        <v>538983.70779999997</v>
      </c>
      <c r="BE267" s="6">
        <f>[1]Results!BH1621</f>
        <v>548329.81590000005</v>
      </c>
      <c r="BF267" s="6">
        <f>[1]Results!BI1621</f>
        <v>557811.28489999997</v>
      </c>
    </row>
    <row r="268" spans="1:58" x14ac:dyDescent="0.35">
      <c r="B268" t="s">
        <v>31</v>
      </c>
      <c r="C268" s="6">
        <f>[1]Results!F1624</f>
        <v>2252.8033690000002</v>
      </c>
      <c r="D268" s="6">
        <f>[1]Results!G1624</f>
        <v>2273.9898280000002</v>
      </c>
      <c r="E268" s="6">
        <f>[1]Results!H1624</f>
        <v>2291.939335</v>
      </c>
      <c r="F268" s="6">
        <f>[1]Results!I1624</f>
        <v>2309.9334480000002</v>
      </c>
      <c r="G268" s="6">
        <f>[1]Results!J1624</f>
        <v>2329.6951669999999</v>
      </c>
      <c r="H268" s="6">
        <f>[1]Results!K1624</f>
        <v>2351.775294</v>
      </c>
      <c r="I268" s="6">
        <f>[1]Results!L1624</f>
        <v>2375.2099330000001</v>
      </c>
      <c r="J268" s="6">
        <f>[1]Results!M1624</f>
        <v>2400.0791570000001</v>
      </c>
      <c r="K268" s="6">
        <f>[1]Results!N1624</f>
        <v>2426.2875210000002</v>
      </c>
      <c r="L268" s="6">
        <f>[1]Results!O1624</f>
        <v>2453.6725329999999</v>
      </c>
      <c r="M268" s="6">
        <f>[1]Results!P1624</f>
        <v>2483.695412</v>
      </c>
      <c r="N268" s="6">
        <f>[1]Results!Q1624</f>
        <v>2514.032698</v>
      </c>
      <c r="O268" s="6">
        <f>[1]Results!R1624</f>
        <v>2544.8434400000001</v>
      </c>
      <c r="P268" s="6">
        <f>[1]Results!S1624</f>
        <v>2576.239055</v>
      </c>
      <c r="Q268" s="6">
        <f>[1]Results!T1624</f>
        <v>2608.241309</v>
      </c>
      <c r="R268" s="6">
        <f>[1]Results!U1624</f>
        <v>2640.838949</v>
      </c>
      <c r="S268" s="6">
        <f>[1]Results!V1624</f>
        <v>2674.0201229999998</v>
      </c>
      <c r="T268" s="6">
        <f>[1]Results!W1624</f>
        <v>2707.7677650000001</v>
      </c>
      <c r="U268" s="6">
        <f>[1]Results!X1624</f>
        <v>2742.068573</v>
      </c>
      <c r="V268" s="6">
        <f>[1]Results!Y1624</f>
        <v>2776.9132220000001</v>
      </c>
      <c r="W268" s="6">
        <f>[1]Results!Z1624</f>
        <v>2811.1004710000002</v>
      </c>
      <c r="X268" s="6">
        <f>[1]Results!AA1624</f>
        <v>2846.2636510000002</v>
      </c>
      <c r="Y268" s="6">
        <f>[1]Results!AB1624</f>
        <v>2882.2135119999998</v>
      </c>
      <c r="Z268" s="6">
        <f>[1]Results!AC1624</f>
        <v>2918.8165210000002</v>
      </c>
      <c r="AA268" s="6">
        <f>[1]Results!AD1624</f>
        <v>2956.019198</v>
      </c>
      <c r="AB268" s="6">
        <f>[1]Results!AE1624</f>
        <v>2990.3476719999999</v>
      </c>
      <c r="AC268" s="6">
        <f>[1]Results!AF1624</f>
        <v>3024.8893029999999</v>
      </c>
      <c r="AD268" s="6">
        <f>[1]Results!AG1624</f>
        <v>3059.6865029999999</v>
      </c>
      <c r="AE268" s="6">
        <f>[1]Results!AH1624</f>
        <v>3094.6956230000001</v>
      </c>
      <c r="AF268" s="6">
        <f>[1]Results!AI1624</f>
        <v>3129.927494</v>
      </c>
      <c r="AG268" s="6">
        <f>[1]Results!AJ1624</f>
        <v>3165.4188199999999</v>
      </c>
      <c r="AH268" s="6">
        <f>[1]Results!AK1624</f>
        <v>3201.2103139999999</v>
      </c>
      <c r="AI268" s="6">
        <f>[1]Results!AL1624</f>
        <v>3237.342056</v>
      </c>
      <c r="AJ268" s="6">
        <f>[1]Results!AM1624</f>
        <v>3273.8486090000001</v>
      </c>
      <c r="AK268" s="6">
        <f>[1]Results!AN1624</f>
        <v>3310.758476</v>
      </c>
      <c r="AL268" s="6">
        <f>[1]Results!AO1624</f>
        <v>3348.094779</v>
      </c>
      <c r="AM268" s="6">
        <f>[1]Results!AP1624</f>
        <v>3385.025134</v>
      </c>
      <c r="AN268" s="6">
        <f>[1]Results!AQ1624</f>
        <v>3421.8737620000002</v>
      </c>
      <c r="AO268" s="6">
        <f>[1]Results!AR1624</f>
        <v>3458.8325530000002</v>
      </c>
      <c r="AP268" s="6">
        <f>[1]Results!AS1624</f>
        <v>3495.999221</v>
      </c>
      <c r="AQ268" s="6">
        <f>[1]Results!AT1624</f>
        <v>3533.4332199999999</v>
      </c>
      <c r="AR268" s="6">
        <f>[1]Results!AU1624</f>
        <v>3571.1762210000002</v>
      </c>
      <c r="AS268" s="6">
        <f>[1]Results!AV1624</f>
        <v>3609.2660230000001</v>
      </c>
      <c r="AT268" s="6">
        <f>[1]Results!AW1624</f>
        <v>3647.7354580000001</v>
      </c>
      <c r="AU268" s="6">
        <f>[1]Results!AX1624</f>
        <v>3686.6127310000002</v>
      </c>
      <c r="AV268" s="6">
        <f>[1]Results!AY1624</f>
        <v>3725.9218580000002</v>
      </c>
      <c r="AW268" s="6">
        <f>[1]Results!AZ1624</f>
        <v>3765.646702</v>
      </c>
      <c r="AX268" s="6">
        <f>[1]Results!BA1624</f>
        <v>3805.7863520000001</v>
      </c>
      <c r="AY268" s="6">
        <f>[1]Results!BB1624</f>
        <v>3846.3948679999999</v>
      </c>
      <c r="AZ268" s="6">
        <f>[1]Results!BC1624</f>
        <v>3887.531978</v>
      </c>
      <c r="BA268" s="6">
        <f>[1]Results!BD1624</f>
        <v>3929.245324</v>
      </c>
      <c r="BB268" s="6">
        <f>[1]Results!BE1624</f>
        <v>4426.5473080000002</v>
      </c>
      <c r="BC268" s="6">
        <f>[1]Results!BF1624</f>
        <v>4495.1861529999996</v>
      </c>
      <c r="BD268" s="6">
        <f>[1]Results!BG1624</f>
        <v>4564.88544</v>
      </c>
      <c r="BE268" s="6">
        <f>[1]Results!BH1624</f>
        <v>4635.66716</v>
      </c>
      <c r="BF268" s="6">
        <f>[1]Results!BI1624</f>
        <v>4707.5559839999996</v>
      </c>
    </row>
    <row r="269" spans="1:58" x14ac:dyDescent="0.35">
      <c r="B269" t="s">
        <v>33</v>
      </c>
      <c r="C269" s="6">
        <f>[1]Results!F1629</f>
        <v>3648.9941819999999</v>
      </c>
      <c r="D269" s="6">
        <f>[1]Results!G1629</f>
        <v>3685.402869</v>
      </c>
      <c r="E269" s="6">
        <f>[1]Results!H1629</f>
        <v>3715.1096649999999</v>
      </c>
      <c r="F269" s="6">
        <f>[1]Results!I1629</f>
        <v>3741.769178</v>
      </c>
      <c r="G269" s="6">
        <f>[1]Results!J1629</f>
        <v>3768.2074469999998</v>
      </c>
      <c r="H269" s="6">
        <f>[1]Results!K1629</f>
        <v>3795.9206899999999</v>
      </c>
      <c r="I269" s="6">
        <f>[1]Results!L1629</f>
        <v>3824.0612289999999</v>
      </c>
      <c r="J269" s="6">
        <f>[1]Results!M1629</f>
        <v>3852.9617830000002</v>
      </c>
      <c r="K269" s="6">
        <f>[1]Results!N1629</f>
        <v>3882.7545869999999</v>
      </c>
      <c r="L269" s="6">
        <f>[1]Results!O1629</f>
        <v>3913.4088190000002</v>
      </c>
      <c r="M269" s="6">
        <f>[1]Results!P1629</f>
        <v>3947.2476219999999</v>
      </c>
      <c r="N269" s="6">
        <f>[1]Results!Q1629</f>
        <v>3981.2191130000001</v>
      </c>
      <c r="O269" s="6">
        <f>[1]Results!R1629</f>
        <v>4015.267605</v>
      </c>
      <c r="P269" s="6">
        <f>[1]Results!S1629</f>
        <v>4049.5981940000001</v>
      </c>
      <c r="Q269" s="6">
        <f>[1]Results!T1629</f>
        <v>4084.3418569999999</v>
      </c>
      <c r="R269" s="6">
        <f>[1]Results!U1629</f>
        <v>4119.5673690000003</v>
      </c>
      <c r="S269" s="6">
        <f>[1]Results!V1629</f>
        <v>4155.3284940000003</v>
      </c>
      <c r="T269" s="6">
        <f>[1]Results!W1629</f>
        <v>4191.6545150000002</v>
      </c>
      <c r="U269" s="6">
        <f>[1]Results!X1629</f>
        <v>4228.5698229999998</v>
      </c>
      <c r="V269" s="6">
        <f>[1]Results!Y1629</f>
        <v>4266.1018940000004</v>
      </c>
      <c r="W269" s="6">
        <f>[1]Results!Z1629</f>
        <v>4302.5525109999999</v>
      </c>
      <c r="X269" s="6">
        <f>[1]Results!AA1629</f>
        <v>4340.1212070000001</v>
      </c>
      <c r="Y269" s="6">
        <f>[1]Results!AB1629</f>
        <v>4378.850899</v>
      </c>
      <c r="Z269" s="6">
        <f>[1]Results!AC1629</f>
        <v>4418.615804</v>
      </c>
      <c r="AA269" s="6">
        <f>[1]Results!AD1629</f>
        <v>4459.3533770000004</v>
      </c>
      <c r="AB269" s="6">
        <f>[1]Results!AE1629</f>
        <v>4496.1165000000001</v>
      </c>
      <c r="AC269" s="6">
        <f>[1]Results!AF1629</f>
        <v>4532.7376190000004</v>
      </c>
      <c r="AD269" s="6">
        <f>[1]Results!AG1629</f>
        <v>4569.80123</v>
      </c>
      <c r="AE269" s="6">
        <f>[1]Results!AH1629</f>
        <v>4607.4316120000003</v>
      </c>
      <c r="AF269" s="6">
        <f>[1]Results!AI1629</f>
        <v>4645.7196919999997</v>
      </c>
      <c r="AG269" s="6">
        <f>[1]Results!AJ1629</f>
        <v>4684.7622140000003</v>
      </c>
      <c r="AH269" s="6">
        <f>[1]Results!AK1629</f>
        <v>4724.6492200000002</v>
      </c>
      <c r="AI269" s="6">
        <f>[1]Results!AL1629</f>
        <v>4765.4642100000001</v>
      </c>
      <c r="AJ269" s="6">
        <f>[1]Results!AM1629</f>
        <v>4807.2777999999998</v>
      </c>
      <c r="AK269" s="6">
        <f>[1]Results!AN1629</f>
        <v>4850.1458419999999</v>
      </c>
      <c r="AL269" s="6">
        <f>[1]Results!AO1629</f>
        <v>4894.1100779999997</v>
      </c>
      <c r="AM269" s="6">
        <f>[1]Results!AP1629</f>
        <v>4938.0007779999996</v>
      </c>
      <c r="AN269" s="6">
        <f>[1]Results!AQ1629</f>
        <v>4982.1191129999997</v>
      </c>
      <c r="AO269" s="6">
        <f>[1]Results!AR1629</f>
        <v>5026.7696420000002</v>
      </c>
      <c r="AP269" s="6">
        <f>[1]Results!AS1629</f>
        <v>5072.142476</v>
      </c>
      <c r="AQ269" s="6">
        <f>[1]Results!AT1629</f>
        <v>5118.3540620000003</v>
      </c>
      <c r="AR269" s="6">
        <f>[1]Results!AU1629</f>
        <v>5165.4745620000003</v>
      </c>
      <c r="AS269" s="6">
        <f>[1]Results!AV1629</f>
        <v>5213.5576279999996</v>
      </c>
      <c r="AT269" s="6">
        <f>[1]Results!AW1629</f>
        <v>5262.644182</v>
      </c>
      <c r="AU269" s="6">
        <f>[1]Results!AX1629</f>
        <v>5312.764459</v>
      </c>
      <c r="AV269" s="6">
        <f>[1]Results!AY1629</f>
        <v>5363.9397179999996</v>
      </c>
      <c r="AW269" s="6">
        <f>[1]Results!AZ1629</f>
        <v>5416.0062390000003</v>
      </c>
      <c r="AX269" s="6">
        <f>[1]Results!BA1629</f>
        <v>5468.924352</v>
      </c>
      <c r="AY269" s="6">
        <f>[1]Results!BB1629</f>
        <v>5522.8278680000003</v>
      </c>
      <c r="AZ269" s="6">
        <f>[1]Results!BC1629</f>
        <v>5577.9028820000003</v>
      </c>
      <c r="BA269" s="6">
        <f>[1]Results!BD1629</f>
        <v>5634.3110299999998</v>
      </c>
      <c r="BB269" s="6">
        <f>[1]Results!BE1629</f>
        <v>6403.448018</v>
      </c>
      <c r="BC269" s="6">
        <f>[1]Results!BF1629</f>
        <v>6503.0164150000001</v>
      </c>
      <c r="BD269" s="6">
        <f>[1]Results!BG1629</f>
        <v>6604.5586430000003</v>
      </c>
      <c r="BE269" s="6">
        <f>[1]Results!BH1629</f>
        <v>6708.0768269999999</v>
      </c>
      <c r="BF269" s="6">
        <f>[1]Results!BI1629</f>
        <v>6813.5759399999997</v>
      </c>
    </row>
    <row r="271" spans="1:58" x14ac:dyDescent="0.35">
      <c r="A271" s="12" t="s">
        <v>21</v>
      </c>
      <c r="B271" t="s">
        <v>26</v>
      </c>
      <c r="C271" s="6">
        <f>[1]Results!F1639</f>
        <v>473221.76260000002</v>
      </c>
      <c r="D271" s="6">
        <f>[1]Results!G1639</f>
        <v>479568.59769999998</v>
      </c>
      <c r="E271" s="6">
        <f>[1]Results!H1639</f>
        <v>486497.21899999998</v>
      </c>
      <c r="F271" s="6">
        <f>[1]Results!I1639</f>
        <v>493943.45360000001</v>
      </c>
      <c r="G271" s="6">
        <f>[1]Results!J1639</f>
        <v>501859.0306</v>
      </c>
      <c r="H271" s="6">
        <f>[1]Results!K1639</f>
        <v>510217.72769999999</v>
      </c>
      <c r="I271" s="6">
        <f>[1]Results!L1639</f>
        <v>518802.7561</v>
      </c>
      <c r="J271" s="6">
        <f>[1]Results!M1639</f>
        <v>527649.24329999997</v>
      </c>
      <c r="K271" s="6">
        <f>[1]Results!N1639</f>
        <v>536776.32220000005</v>
      </c>
      <c r="L271" s="6">
        <f>[1]Results!O1639</f>
        <v>546187.38179999997</v>
      </c>
      <c r="M271" s="6">
        <f>[1]Results!P1639</f>
        <v>556232.31999999995</v>
      </c>
      <c r="N271" s="6">
        <f>[1]Results!Q1639</f>
        <v>566461.09069999994</v>
      </c>
      <c r="O271" s="6">
        <f>[1]Results!R1639</f>
        <v>576889.77249999996</v>
      </c>
      <c r="P271" s="6">
        <f>[1]Results!S1639</f>
        <v>587530.53700000001</v>
      </c>
      <c r="Q271" s="6">
        <f>[1]Results!T1639</f>
        <v>598384.58849999995</v>
      </c>
      <c r="R271" s="6">
        <f>[1]Results!U1639</f>
        <v>609449.63650000002</v>
      </c>
      <c r="S271" s="6">
        <f>[1]Results!V1639</f>
        <v>620723.6568</v>
      </c>
      <c r="T271" s="6">
        <f>[1]Results!W1639</f>
        <v>632206.00870000001</v>
      </c>
      <c r="U271" s="6">
        <f>[1]Results!X1639</f>
        <v>643897.31030000001</v>
      </c>
      <c r="V271" s="6">
        <f>[1]Results!Y1639</f>
        <v>655798.90170000005</v>
      </c>
      <c r="W271" s="6">
        <f>[1]Results!Z1639</f>
        <v>667642.23659999995</v>
      </c>
      <c r="X271" s="6">
        <f>[1]Results!AA1639</f>
        <v>679762.82070000004</v>
      </c>
      <c r="Y271" s="6">
        <f>[1]Results!AB1639</f>
        <v>692142.08849999995</v>
      </c>
      <c r="Z271" s="6">
        <f>[1]Results!AC1639</f>
        <v>704763.63040000002</v>
      </c>
      <c r="AA271" s="6">
        <f>[1]Results!AD1639</f>
        <v>717619.16079999995</v>
      </c>
      <c r="AB271" s="6">
        <f>[1]Results!AE1639</f>
        <v>729913.14540000004</v>
      </c>
      <c r="AC271" s="6">
        <f>[1]Results!AF1639</f>
        <v>742240.42619999999</v>
      </c>
      <c r="AD271" s="6">
        <f>[1]Results!AG1639</f>
        <v>754622.67409999995</v>
      </c>
      <c r="AE271" s="6">
        <f>[1]Results!AH1639</f>
        <v>767063.83959999995</v>
      </c>
      <c r="AF271" s="6">
        <f>[1]Results!AI1639</f>
        <v>779571.45160000003</v>
      </c>
      <c r="AG271" s="6">
        <f>[1]Results!AJ1639</f>
        <v>792153.58149999997</v>
      </c>
      <c r="AH271" s="6">
        <f>[1]Results!AK1639</f>
        <v>804816.16139999998</v>
      </c>
      <c r="AI271" s="6">
        <f>[1]Results!AL1639</f>
        <v>817561.875</v>
      </c>
      <c r="AJ271" s="6">
        <f>[1]Results!AM1639</f>
        <v>830390.18660000002</v>
      </c>
      <c r="AK271" s="6">
        <f>[1]Results!AN1639</f>
        <v>843297.98939999996</v>
      </c>
      <c r="AL271" s="6">
        <f>[1]Results!AO1639</f>
        <v>856280.48990000004</v>
      </c>
      <c r="AM271" s="6">
        <f>[1]Results!AP1639</f>
        <v>869136.76130000001</v>
      </c>
      <c r="AN271" s="6">
        <f>[1]Results!AQ1639</f>
        <v>881904.54150000005</v>
      </c>
      <c r="AO271" s="6">
        <f>[1]Results!AR1639</f>
        <v>894609.01820000005</v>
      </c>
      <c r="AP271" s="6">
        <f>[1]Results!AS1639</f>
        <v>907265.01309999998</v>
      </c>
      <c r="AQ271" s="6">
        <f>[1]Results!AT1639</f>
        <v>919883.56700000004</v>
      </c>
      <c r="AR271" s="6">
        <f>[1]Results!AU1639</f>
        <v>932535.95010000002</v>
      </c>
      <c r="AS271" s="6">
        <f>[1]Results!AV1639</f>
        <v>945261.50100000005</v>
      </c>
      <c r="AT271" s="6">
        <f>[1]Results!AW1639</f>
        <v>958069.42799999996</v>
      </c>
      <c r="AU271" s="6">
        <f>[1]Results!AX1639</f>
        <v>970951.35730000003</v>
      </c>
      <c r="AV271" s="6">
        <f>[1]Results!AY1639</f>
        <v>983893.45589999994</v>
      </c>
      <c r="AW271" s="6">
        <f>[1]Results!AZ1639</f>
        <v>996901.73540000001</v>
      </c>
      <c r="AX271" s="6">
        <f>[1]Results!BA1639</f>
        <v>1009965.3</v>
      </c>
      <c r="AY271" s="6">
        <f>[1]Results!BB1639</f>
        <v>1023079.567</v>
      </c>
      <c r="AZ271" s="6">
        <f>[1]Results!BC1639</f>
        <v>1036245.032</v>
      </c>
      <c r="BA271" s="6">
        <f>[1]Results!BD1639</f>
        <v>1049465.4280000001</v>
      </c>
      <c r="BB271" s="6">
        <f>[1]Results!BE1639</f>
        <v>1178106.1470000001</v>
      </c>
      <c r="BC271" s="6">
        <f>[1]Results!BF1639</f>
        <v>1199473.1200000001</v>
      </c>
      <c r="BD271" s="6">
        <f>[1]Results!BG1639</f>
        <v>1221043.7919999999</v>
      </c>
      <c r="BE271" s="6">
        <f>[1]Results!BH1639</f>
        <v>1242814.6680000001</v>
      </c>
      <c r="BF271" s="6">
        <f>[1]Results!BI1639</f>
        <v>1264783.2679999999</v>
      </c>
    </row>
    <row r="272" spans="1:58" x14ac:dyDescent="0.35">
      <c r="A272" t="s">
        <v>38</v>
      </c>
      <c r="B272" t="s">
        <v>7</v>
      </c>
      <c r="C272" s="6">
        <f>[1]Results!F1640</f>
        <v>4446.8309810000001</v>
      </c>
      <c r="D272" s="6">
        <f>[1]Results!G1640</f>
        <v>4498.192693</v>
      </c>
      <c r="E272" s="6">
        <f>[1]Results!H1640</f>
        <v>4548.4212450000005</v>
      </c>
      <c r="F272" s="6">
        <f>[1]Results!I1640</f>
        <v>4598.856194</v>
      </c>
      <c r="G272" s="6">
        <f>[1]Results!J1640</f>
        <v>4650.3639460000004</v>
      </c>
      <c r="H272" s="6">
        <f>[1]Results!K1640</f>
        <v>4703.4026489999997</v>
      </c>
      <c r="I272" s="6">
        <f>[1]Results!L1640</f>
        <v>4755.4419239999997</v>
      </c>
      <c r="J272" s="6">
        <f>[1]Results!M1640</f>
        <v>4807.8343160000004</v>
      </c>
      <c r="K272" s="6">
        <f>[1]Results!N1640</f>
        <v>4861.041408</v>
      </c>
      <c r="L272" s="6">
        <f>[1]Results!O1640</f>
        <v>4915.1116549999997</v>
      </c>
      <c r="M272" s="6">
        <f>[1]Results!P1640</f>
        <v>4974.5858600000001</v>
      </c>
      <c r="N272" s="6">
        <f>[1]Results!Q1640</f>
        <v>5032.2126060000001</v>
      </c>
      <c r="O272" s="6">
        <f>[1]Results!R1640</f>
        <v>5089.1752379999998</v>
      </c>
      <c r="P272" s="6">
        <f>[1]Results!S1640</f>
        <v>5145.893239</v>
      </c>
      <c r="Q272" s="6">
        <f>[1]Results!T1640</f>
        <v>5202.4457199999997</v>
      </c>
      <c r="R272" s="6">
        <f>[1]Results!U1640</f>
        <v>5258.8208990000003</v>
      </c>
      <c r="S272" s="6">
        <f>[1]Results!V1640</f>
        <v>5315.0021909999996</v>
      </c>
      <c r="T272" s="6">
        <f>[1]Results!W1640</f>
        <v>5370.9943679999997</v>
      </c>
      <c r="U272" s="6">
        <f>[1]Results!X1640</f>
        <v>5426.8279169999996</v>
      </c>
      <c r="V272" s="6">
        <f>[1]Results!Y1640</f>
        <v>5482.5557749999998</v>
      </c>
      <c r="W272" s="6">
        <f>[1]Results!Z1640</f>
        <v>5534.9045290000004</v>
      </c>
      <c r="X272" s="6">
        <f>[1]Results!AA1640</f>
        <v>5589.0587910000004</v>
      </c>
      <c r="Y272" s="6">
        <f>[1]Results!AB1640</f>
        <v>5644.0935570000001</v>
      </c>
      <c r="Z272" s="6">
        <f>[1]Results!AC1640</f>
        <v>5699.6691010000004</v>
      </c>
      <c r="AA272" s="6">
        <f>[1]Results!AD1640</f>
        <v>5755.7136780000001</v>
      </c>
      <c r="AB272" s="6">
        <f>[1]Results!AE1640</f>
        <v>5802.7831150000002</v>
      </c>
      <c r="AC272" s="6">
        <f>[1]Results!AF1640</f>
        <v>5850.9135249999999</v>
      </c>
      <c r="AD272" s="6">
        <f>[1]Results!AG1640</f>
        <v>5899.5796819999996</v>
      </c>
      <c r="AE272" s="6">
        <f>[1]Results!AH1640</f>
        <v>5948.5857969999997</v>
      </c>
      <c r="AF272" s="6">
        <f>[1]Results!AI1640</f>
        <v>5997.9361790000003</v>
      </c>
      <c r="AG272" s="6">
        <f>[1]Results!AJ1640</f>
        <v>6047.6860319999996</v>
      </c>
      <c r="AH272" s="6">
        <f>[1]Results!AK1640</f>
        <v>6097.8901690000002</v>
      </c>
      <c r="AI272" s="6">
        <f>[1]Results!AL1640</f>
        <v>6148.5875340000002</v>
      </c>
      <c r="AJ272" s="6">
        <f>[1]Results!AM1640</f>
        <v>6199.7993399999996</v>
      </c>
      <c r="AK272" s="6">
        <f>[1]Results!AN1640</f>
        <v>6251.5322079999996</v>
      </c>
      <c r="AL272" s="6">
        <f>[1]Results!AO1640</f>
        <v>6303.7827150000003</v>
      </c>
      <c r="AM272" s="6">
        <f>[1]Results!AP1640</f>
        <v>6354.3656410000003</v>
      </c>
      <c r="AN272" s="6">
        <f>[1]Results!AQ1640</f>
        <v>6404.4219860000003</v>
      </c>
      <c r="AO272" s="6">
        <f>[1]Results!AR1640</f>
        <v>6454.4444430000003</v>
      </c>
      <c r="AP272" s="6">
        <f>[1]Results!AS1640</f>
        <v>6504.6513400000003</v>
      </c>
      <c r="AQ272" s="6">
        <f>[1]Results!AT1640</f>
        <v>6555.1509690000003</v>
      </c>
      <c r="AR272" s="6">
        <f>[1]Results!AU1640</f>
        <v>6608.4025380000003</v>
      </c>
      <c r="AS272" s="6">
        <f>[1]Results!AV1640</f>
        <v>6664.491524</v>
      </c>
      <c r="AT272" s="6">
        <f>[1]Results!AW1640</f>
        <v>6722.969666</v>
      </c>
      <c r="AU272" s="6">
        <f>[1]Results!AX1640</f>
        <v>6783.3386229999996</v>
      </c>
      <c r="AV272" s="6">
        <f>[1]Results!AY1640</f>
        <v>6845.2019799999998</v>
      </c>
      <c r="AW272" s="6">
        <f>[1]Results!AZ1640</f>
        <v>6908.4778409999999</v>
      </c>
      <c r="AX272" s="6">
        <f>[1]Results!BA1640</f>
        <v>6972.901237</v>
      </c>
      <c r="AY272" s="6">
        <f>[1]Results!BB1640</f>
        <v>7038.340596</v>
      </c>
      <c r="AZ272" s="6">
        <f>[1]Results!BC1640</f>
        <v>7104.734907</v>
      </c>
      <c r="BA272" s="6">
        <f>[1]Results!BD1640</f>
        <v>7172.0579770000004</v>
      </c>
      <c r="BB272" s="6">
        <f>[1]Results!BE1640</f>
        <v>10203.664870000001</v>
      </c>
      <c r="BC272" s="6">
        <f>[1]Results!BF1640</f>
        <v>10378.79773</v>
      </c>
      <c r="BD272" s="6">
        <f>[1]Results!BG1640</f>
        <v>10556.48702</v>
      </c>
      <c r="BE272" s="6">
        <f>[1]Results!BH1640</f>
        <v>10736.797769999999</v>
      </c>
      <c r="BF272" s="6">
        <f>[1]Results!BI1640</f>
        <v>10919.79932</v>
      </c>
    </row>
    <row r="273" spans="1:58" x14ac:dyDescent="0.35">
      <c r="B273" t="s">
        <v>30</v>
      </c>
      <c r="C273" s="6">
        <f>[1]Results!F1643</f>
        <v>235098.87210000001</v>
      </c>
      <c r="D273" s="6">
        <f>[1]Results!G1643</f>
        <v>238348.51370000001</v>
      </c>
      <c r="E273" s="6">
        <f>[1]Results!H1643</f>
        <v>241941.9676</v>
      </c>
      <c r="F273" s="6">
        <f>[1]Results!I1643</f>
        <v>245803.0998</v>
      </c>
      <c r="G273" s="6">
        <f>[1]Results!J1643</f>
        <v>249888.75949999999</v>
      </c>
      <c r="H273" s="6">
        <f>[1]Results!K1643</f>
        <v>254184.3891</v>
      </c>
      <c r="I273" s="6">
        <f>[1]Results!L1643</f>
        <v>258601.10339999999</v>
      </c>
      <c r="J273" s="6">
        <f>[1]Results!M1643</f>
        <v>263156.96130000002</v>
      </c>
      <c r="K273" s="6">
        <f>[1]Results!N1643</f>
        <v>267866.52840000001</v>
      </c>
      <c r="L273" s="6">
        <f>[1]Results!O1643</f>
        <v>272737.2144</v>
      </c>
      <c r="M273" s="6">
        <f>[1]Results!P1643</f>
        <v>277927.0773</v>
      </c>
      <c r="N273" s="6">
        <f>[1]Results!Q1643</f>
        <v>283252.15470000001</v>
      </c>
      <c r="O273" s="6">
        <f>[1]Results!R1643</f>
        <v>288713.92839999998</v>
      </c>
      <c r="P273" s="6">
        <f>[1]Results!S1643</f>
        <v>294315.76140000002</v>
      </c>
      <c r="Q273" s="6">
        <f>[1]Results!T1643</f>
        <v>300057.68349999998</v>
      </c>
      <c r="R273" s="6">
        <f>[1]Results!U1643</f>
        <v>305938.26089999999</v>
      </c>
      <c r="S273" s="6">
        <f>[1]Results!V1643</f>
        <v>311955.92959999997</v>
      </c>
      <c r="T273" s="6">
        <f>[1]Results!W1643</f>
        <v>318109.55050000001</v>
      </c>
      <c r="U273" s="6">
        <f>[1]Results!X1643</f>
        <v>324398.4633</v>
      </c>
      <c r="V273" s="6">
        <f>[1]Results!Y1643</f>
        <v>330822.30450000003</v>
      </c>
      <c r="W273" s="6">
        <f>[1]Results!Z1643</f>
        <v>337261.42619999999</v>
      </c>
      <c r="X273" s="6">
        <f>[1]Results!AA1643</f>
        <v>343854.06420000002</v>
      </c>
      <c r="Y273" s="6">
        <f>[1]Results!AB1643</f>
        <v>350596.34350000002</v>
      </c>
      <c r="Z273" s="6">
        <f>[1]Results!AC1643</f>
        <v>357481.80469999998</v>
      </c>
      <c r="AA273" s="6">
        <f>[1]Results!AD1643</f>
        <v>364505.82319999998</v>
      </c>
      <c r="AB273" s="6">
        <f>[1]Results!AE1643</f>
        <v>371314.1776</v>
      </c>
      <c r="AC273" s="6">
        <f>[1]Results!AF1643</f>
        <v>378141.63059999997</v>
      </c>
      <c r="AD273" s="6">
        <f>[1]Results!AG1643</f>
        <v>384999.14510000002</v>
      </c>
      <c r="AE273" s="6">
        <f>[1]Results!AH1643</f>
        <v>391887.08130000002</v>
      </c>
      <c r="AF273" s="6">
        <f>[1]Results!AI1643</f>
        <v>398805.30810000002</v>
      </c>
      <c r="AG273" s="6">
        <f>[1]Results!AJ1643</f>
        <v>405753.38380000001</v>
      </c>
      <c r="AH273" s="6">
        <f>[1]Results!AK1643</f>
        <v>412729.98330000002</v>
      </c>
      <c r="AI273" s="6">
        <f>[1]Results!AL1643</f>
        <v>419732.51760000002</v>
      </c>
      <c r="AJ273" s="6">
        <f>[1]Results!AM1643</f>
        <v>426757.0919</v>
      </c>
      <c r="AK273" s="6">
        <f>[1]Results!AN1643</f>
        <v>433798.73320000002</v>
      </c>
      <c r="AL273" s="6">
        <f>[1]Results!AO1643</f>
        <v>440851.76360000001</v>
      </c>
      <c r="AM273" s="6">
        <f>[1]Results!AP1643</f>
        <v>447823.01329999999</v>
      </c>
      <c r="AN273" s="6">
        <f>[1]Results!AQ1643</f>
        <v>454718.96470000001</v>
      </c>
      <c r="AO273" s="6">
        <f>[1]Results!AR1643</f>
        <v>461544.88559999998</v>
      </c>
      <c r="AP273" s="6">
        <f>[1]Results!AS1643</f>
        <v>468303.32630000002</v>
      </c>
      <c r="AQ273" s="6">
        <f>[1]Results!AT1643</f>
        <v>474995.8959</v>
      </c>
      <c r="AR273" s="6">
        <f>[1]Results!AU1643</f>
        <v>481653.86060000001</v>
      </c>
      <c r="AS273" s="6">
        <f>[1]Results!AV1643</f>
        <v>488298.8039</v>
      </c>
      <c r="AT273" s="6">
        <f>[1]Results!AW1643</f>
        <v>494937.87319999997</v>
      </c>
      <c r="AU273" s="6">
        <f>[1]Results!AX1643</f>
        <v>501567.8798</v>
      </c>
      <c r="AV273" s="6">
        <f>[1]Results!AY1643</f>
        <v>508181.23509999999</v>
      </c>
      <c r="AW273" s="6">
        <f>[1]Results!AZ1643</f>
        <v>514778.38699999999</v>
      </c>
      <c r="AX273" s="6">
        <f>[1]Results!BA1643</f>
        <v>521352.96279999998</v>
      </c>
      <c r="AY273" s="6">
        <f>[1]Results!BB1643</f>
        <v>527901.70380000002</v>
      </c>
      <c r="AZ273" s="6">
        <f>[1]Results!BC1643</f>
        <v>534424.34779999999</v>
      </c>
      <c r="BA273" s="6">
        <f>[1]Results!BD1643</f>
        <v>540922.8885</v>
      </c>
      <c r="BB273" s="6">
        <f>[1]Results!BE1643</f>
        <v>617696.26529999997</v>
      </c>
      <c r="BC273" s="6">
        <f>[1]Results!BF1643</f>
        <v>629357.23699999996</v>
      </c>
      <c r="BD273" s="6">
        <f>[1]Results!BG1643</f>
        <v>641083.97759999998</v>
      </c>
      <c r="BE273" s="6">
        <f>[1]Results!BH1643</f>
        <v>652870.74470000004</v>
      </c>
      <c r="BF273" s="6">
        <f>[1]Results!BI1643</f>
        <v>664712.53189999994</v>
      </c>
    </row>
    <row r="274" spans="1:58" x14ac:dyDescent="0.35">
      <c r="B274" t="s">
        <v>28</v>
      </c>
      <c r="C274" s="6">
        <f>[1]Results!F1655</f>
        <v>8024.1534650000003</v>
      </c>
      <c r="D274" s="6">
        <f>[1]Results!G1655</f>
        <v>8132.4316079999999</v>
      </c>
      <c r="E274" s="6">
        <f>[1]Results!H1655</f>
        <v>8249.5808020000004</v>
      </c>
      <c r="F274" s="6">
        <f>[1]Results!I1655</f>
        <v>8374.2425359999997</v>
      </c>
      <c r="G274" s="6">
        <f>[1]Results!J1655</f>
        <v>8505.6266009999999</v>
      </c>
      <c r="H274" s="6">
        <f>[1]Results!K1655</f>
        <v>8643.1528450000005</v>
      </c>
      <c r="I274" s="6">
        <f>[1]Results!L1655</f>
        <v>8782.0109310000007</v>
      </c>
      <c r="J274" s="6">
        <f>[1]Results!M1655</f>
        <v>8923.6190559999995</v>
      </c>
      <c r="K274" s="6">
        <f>[1]Results!N1655</f>
        <v>9068.4223889999994</v>
      </c>
      <c r="L274" s="6">
        <f>[1]Results!O1655</f>
        <v>9216.420564</v>
      </c>
      <c r="M274" s="6">
        <f>[1]Results!P1655</f>
        <v>9375.0437249999995</v>
      </c>
      <c r="N274" s="6">
        <f>[1]Results!Q1655</f>
        <v>9533.1442599999991</v>
      </c>
      <c r="O274" s="6">
        <f>[1]Results!R1655</f>
        <v>9692.3801029999995</v>
      </c>
      <c r="P274" s="6">
        <f>[1]Results!S1655</f>
        <v>9853.4699860000001</v>
      </c>
      <c r="Q274" s="6">
        <f>[1]Results!T1655</f>
        <v>10016.62614</v>
      </c>
      <c r="R274" s="6">
        <f>[1]Results!U1655</f>
        <v>10181.91337</v>
      </c>
      <c r="S274" s="6">
        <f>[1]Results!V1655</f>
        <v>10349.378650000001</v>
      </c>
      <c r="T274" s="6">
        <f>[1]Results!W1655</f>
        <v>10519.08669</v>
      </c>
      <c r="U274" s="6">
        <f>[1]Results!X1655</f>
        <v>10691.12211</v>
      </c>
      <c r="V274" s="6">
        <f>[1]Results!Y1655</f>
        <v>10865.58245</v>
      </c>
      <c r="W274" s="6">
        <f>[1]Results!Z1655</f>
        <v>11036.827370000001</v>
      </c>
      <c r="X274" s="6">
        <f>[1]Results!AA1655</f>
        <v>11213.287329999999</v>
      </c>
      <c r="Y274" s="6">
        <f>[1]Results!AB1655</f>
        <v>11393.69738</v>
      </c>
      <c r="Z274" s="6">
        <f>[1]Results!AC1655</f>
        <v>11577.51914</v>
      </c>
      <c r="AA274" s="6">
        <f>[1]Results!AD1655</f>
        <v>11764.61427</v>
      </c>
      <c r="AB274" s="6">
        <f>[1]Results!AE1655</f>
        <v>11938.20472</v>
      </c>
      <c r="AC274" s="6">
        <f>[1]Results!AF1655</f>
        <v>12114.636570000001</v>
      </c>
      <c r="AD274" s="6">
        <f>[1]Results!AG1655</f>
        <v>12293.421200000001</v>
      </c>
      <c r="AE274" s="6">
        <f>[1]Results!AH1655</f>
        <v>12474.359920000001</v>
      </c>
      <c r="AF274" s="6">
        <f>[1]Results!AI1655</f>
        <v>12657.578530000001</v>
      </c>
      <c r="AG274" s="6">
        <f>[1]Results!AJ1655</f>
        <v>12843.289870000001</v>
      </c>
      <c r="AH274" s="6">
        <f>[1]Results!AK1655</f>
        <v>13031.690839999999</v>
      </c>
      <c r="AI274" s="6">
        <f>[1]Results!AL1655</f>
        <v>13222.928089999999</v>
      </c>
      <c r="AJ274" s="6">
        <f>[1]Results!AM1655</f>
        <v>13417.09455</v>
      </c>
      <c r="AK274" s="6">
        <f>[1]Results!AN1655</f>
        <v>13614.23871</v>
      </c>
      <c r="AL274" s="6">
        <f>[1]Results!AO1655</f>
        <v>13814.377570000001</v>
      </c>
      <c r="AM274" s="6">
        <f>[1]Results!AP1655</f>
        <v>14013.363719999999</v>
      </c>
      <c r="AN274" s="6">
        <f>[1]Results!AQ1655</f>
        <v>14212.99509</v>
      </c>
      <c r="AO274" s="6">
        <f>[1]Results!AR1655</f>
        <v>14414.108319999999</v>
      </c>
      <c r="AP274" s="6">
        <f>[1]Results!AS1655</f>
        <v>14617.09708</v>
      </c>
      <c r="AQ274" s="6">
        <f>[1]Results!AT1655</f>
        <v>14822.20226</v>
      </c>
      <c r="AR274" s="6">
        <f>[1]Results!AU1655</f>
        <v>15030.52752</v>
      </c>
      <c r="AS274" s="6">
        <f>[1]Results!AV1655</f>
        <v>15242.59172</v>
      </c>
      <c r="AT274" s="6">
        <f>[1]Results!AW1655</f>
        <v>15458.479069999999</v>
      </c>
      <c r="AU274" s="6">
        <f>[1]Results!AX1655</f>
        <v>15678.05832</v>
      </c>
      <c r="AV274" s="6">
        <f>[1]Results!AY1655</f>
        <v>15901.148660000001</v>
      </c>
      <c r="AW274" s="6">
        <f>[1]Results!AZ1655</f>
        <v>16127.986699999999</v>
      </c>
      <c r="AX274" s="6">
        <f>[1]Results!BA1655</f>
        <v>16358.3194</v>
      </c>
      <c r="AY274" s="6">
        <f>[1]Results!BB1655</f>
        <v>16592.033299999999</v>
      </c>
      <c r="AZ274" s="6">
        <f>[1]Results!BC1655</f>
        <v>16829.088629999998</v>
      </c>
      <c r="BA274" s="6">
        <f>[1]Results!BD1655</f>
        <v>17069.476340000001</v>
      </c>
      <c r="BB274" s="6">
        <f>[1]Results!BE1655</f>
        <v>18375.041580000001</v>
      </c>
      <c r="BC274" s="6">
        <f>[1]Results!BF1655</f>
        <v>18700.720560000002</v>
      </c>
      <c r="BD274" s="6">
        <f>[1]Results!BG1655</f>
        <v>19032.156940000001</v>
      </c>
      <c r="BE274" s="6">
        <f>[1]Results!BH1655</f>
        <v>19369.446889999999</v>
      </c>
      <c r="BF274" s="6">
        <f>[1]Results!BI1655</f>
        <v>19712.689709999999</v>
      </c>
    </row>
    <row r="275" spans="1:58" x14ac:dyDescent="0.35">
      <c r="B275" t="s">
        <v>10</v>
      </c>
      <c r="C275" s="6">
        <f>[1]Results!F1660</f>
        <v>219750.6231</v>
      </c>
      <c r="D275" s="6">
        <f>[1]Results!G1660</f>
        <v>222634.473</v>
      </c>
      <c r="E275" s="6">
        <f>[1]Results!H1660</f>
        <v>225758.32250000001</v>
      </c>
      <c r="F275" s="6">
        <f>[1]Results!I1660</f>
        <v>229126.61</v>
      </c>
      <c r="G275" s="6">
        <f>[1]Results!J1660</f>
        <v>232730.01149999999</v>
      </c>
      <c r="H275" s="6">
        <f>[1]Results!K1660</f>
        <v>236555.53140000001</v>
      </c>
      <c r="I275" s="6">
        <f>[1]Results!L1660</f>
        <v>240484.47020000001</v>
      </c>
      <c r="J275" s="6">
        <f>[1]Results!M1660</f>
        <v>244530.60279999999</v>
      </c>
      <c r="K275" s="6">
        <f>[1]Results!N1660</f>
        <v>248697.44940000001</v>
      </c>
      <c r="L275" s="6">
        <f>[1]Results!O1660</f>
        <v>252981.07260000001</v>
      </c>
      <c r="M275" s="6">
        <f>[1]Results!P1660</f>
        <v>257557.5368</v>
      </c>
      <c r="N275" s="6">
        <f>[1]Results!Q1660</f>
        <v>262184.54399999999</v>
      </c>
      <c r="O275" s="6">
        <f>[1]Results!R1660</f>
        <v>266873.75530000002</v>
      </c>
      <c r="P275" s="6">
        <f>[1]Results!S1660</f>
        <v>271632.53460000001</v>
      </c>
      <c r="Q275" s="6">
        <f>[1]Results!T1660</f>
        <v>276461.61330000003</v>
      </c>
      <c r="R275" s="6">
        <f>[1]Results!U1660</f>
        <v>281360.00390000001</v>
      </c>
      <c r="S275" s="6">
        <f>[1]Results!V1660</f>
        <v>286327.16729999997</v>
      </c>
      <c r="T275" s="6">
        <f>[1]Results!W1660</f>
        <v>291363.49599999998</v>
      </c>
      <c r="U275" s="6">
        <f>[1]Results!X1660</f>
        <v>296470.12530000001</v>
      </c>
      <c r="V275" s="6">
        <f>[1]Results!Y1660</f>
        <v>301648.58350000001</v>
      </c>
      <c r="W275" s="6">
        <f>[1]Results!Z1660</f>
        <v>306761.78009999997</v>
      </c>
      <c r="X275" s="6">
        <f>[1]Results!AA1660</f>
        <v>311989.55489999999</v>
      </c>
      <c r="Y275" s="6">
        <f>[1]Results!AB1660</f>
        <v>317319.56449999998</v>
      </c>
      <c r="Z275" s="6">
        <f>[1]Results!AC1660</f>
        <v>322743.00339999999</v>
      </c>
      <c r="AA275" s="6">
        <f>[1]Results!AD1660</f>
        <v>328256.54009999998</v>
      </c>
      <c r="AB275" s="6">
        <f>[1]Results!AE1660</f>
        <v>333453.4755</v>
      </c>
      <c r="AC275" s="6">
        <f>[1]Results!AF1660</f>
        <v>338660.59279999998</v>
      </c>
      <c r="AD275" s="6">
        <f>[1]Results!AG1660</f>
        <v>343888.98810000002</v>
      </c>
      <c r="AE275" s="6">
        <f>[1]Results!AH1660</f>
        <v>349142.56339999998</v>
      </c>
      <c r="AF275" s="6">
        <f>[1]Results!AI1660</f>
        <v>354428.74170000001</v>
      </c>
      <c r="AG275" s="6">
        <f>[1]Results!AJ1660</f>
        <v>359755.62709999998</v>
      </c>
      <c r="AH275" s="6">
        <f>[1]Results!AK1660</f>
        <v>365130.0797</v>
      </c>
      <c r="AI275" s="6">
        <f>[1]Results!AL1660</f>
        <v>370557.05479999998</v>
      </c>
      <c r="AJ275" s="6">
        <f>[1]Results!AM1660</f>
        <v>376039.68489999999</v>
      </c>
      <c r="AK275" s="6">
        <f>[1]Results!AN1660</f>
        <v>381579.69020000001</v>
      </c>
      <c r="AL275" s="6">
        <f>[1]Results!AO1660</f>
        <v>387177.8702</v>
      </c>
      <c r="AM275" s="6">
        <f>[1]Results!AP1660</f>
        <v>392734.73430000001</v>
      </c>
      <c r="AN275" s="6">
        <f>[1]Results!AQ1660</f>
        <v>398277.9731</v>
      </c>
      <c r="AO275" s="6">
        <f>[1]Results!AR1660</f>
        <v>403825.58559999999</v>
      </c>
      <c r="AP275" s="6">
        <f>[1]Results!AS1660</f>
        <v>409388.82280000002</v>
      </c>
      <c r="AQ275" s="6">
        <f>[1]Results!AT1660</f>
        <v>414976.52179999999</v>
      </c>
      <c r="AR275" s="6">
        <f>[1]Results!AU1660</f>
        <v>420625.31140000001</v>
      </c>
      <c r="AS275" s="6">
        <f>[1]Results!AV1660</f>
        <v>426352.51559999998</v>
      </c>
      <c r="AT275" s="6">
        <f>[1]Results!AW1660</f>
        <v>432160.61379999999</v>
      </c>
      <c r="AU275" s="6">
        <f>[1]Results!AX1660</f>
        <v>438044.95809999999</v>
      </c>
      <c r="AV275" s="6">
        <f>[1]Results!AY1660</f>
        <v>443999.68800000002</v>
      </c>
      <c r="AW275" s="6">
        <f>[1]Results!AZ1660</f>
        <v>450029.81650000002</v>
      </c>
      <c r="AX275" s="6">
        <f>[1]Results!BA1660</f>
        <v>456131.20409999997</v>
      </c>
      <c r="AY275" s="6">
        <f>[1]Results!BB1660</f>
        <v>462302.67589999997</v>
      </c>
      <c r="AZ275" s="6">
        <f>[1]Results!BC1660</f>
        <v>468545.03159999999</v>
      </c>
      <c r="BA275" s="6">
        <f>[1]Results!BD1660</f>
        <v>474860.016</v>
      </c>
      <c r="BB275" s="6">
        <f>[1]Results!BE1660</f>
        <v>521119.83889999997</v>
      </c>
      <c r="BC275" s="6">
        <f>[1]Results!BF1660</f>
        <v>530169.70979999995</v>
      </c>
      <c r="BD275" s="6">
        <f>[1]Results!BG1660</f>
        <v>539346.7709</v>
      </c>
      <c r="BE275" s="6">
        <f>[1]Results!BH1660</f>
        <v>548653.06019999995</v>
      </c>
      <c r="BF275" s="6">
        <f>[1]Results!BI1660</f>
        <v>558090.89249999996</v>
      </c>
    </row>
    <row r="276" spans="1:58" x14ac:dyDescent="0.35">
      <c r="B276" t="s">
        <v>31</v>
      </c>
      <c r="C276" s="6">
        <f>[1]Results!F1663</f>
        <v>2252.5183419999998</v>
      </c>
      <c r="D276" s="6">
        <f>[1]Results!G1663</f>
        <v>2273.0165940000002</v>
      </c>
      <c r="E276" s="6">
        <f>[1]Results!H1663</f>
        <v>2290.3019049999998</v>
      </c>
      <c r="F276" s="6">
        <f>[1]Results!I1663</f>
        <v>2307.706561</v>
      </c>
      <c r="G276" s="6">
        <f>[1]Results!J1663</f>
        <v>2326.8933780000002</v>
      </c>
      <c r="H276" s="6">
        <f>[1]Results!K1663</f>
        <v>2348.335853</v>
      </c>
      <c r="I276" s="6">
        <f>[1]Results!L1663</f>
        <v>2371.0879629999999</v>
      </c>
      <c r="J276" s="6">
        <f>[1]Results!M1663</f>
        <v>2395.2544929999999</v>
      </c>
      <c r="K276" s="6">
        <f>[1]Results!N1663</f>
        <v>2420.7531130000002</v>
      </c>
      <c r="L276" s="6">
        <f>[1]Results!O1663</f>
        <v>2447.4266750000002</v>
      </c>
      <c r="M276" s="6">
        <f>[1]Results!P1663</f>
        <v>2476.7356410000002</v>
      </c>
      <c r="N276" s="6">
        <f>[1]Results!Q1663</f>
        <v>2506.3523620000001</v>
      </c>
      <c r="O276" s="6">
        <f>[1]Results!R1663</f>
        <v>2536.4352530000001</v>
      </c>
      <c r="P276" s="6">
        <f>[1]Results!S1663</f>
        <v>2567.094689</v>
      </c>
      <c r="Q276" s="6">
        <f>[1]Results!T1663</f>
        <v>2598.3527119999999</v>
      </c>
      <c r="R276" s="6">
        <f>[1]Results!U1663</f>
        <v>2630.2018969999999</v>
      </c>
      <c r="S276" s="6">
        <f>[1]Results!V1663</f>
        <v>2662.6295759999998</v>
      </c>
      <c r="T276" s="6">
        <f>[1]Results!W1663</f>
        <v>2695.6243340000001</v>
      </c>
      <c r="U276" s="6">
        <f>[1]Results!X1663</f>
        <v>2729.176782</v>
      </c>
      <c r="V276" s="6">
        <f>[1]Results!Y1663</f>
        <v>2763.2790909999999</v>
      </c>
      <c r="W276" s="6">
        <f>[1]Results!Z1663</f>
        <v>2796.732622</v>
      </c>
      <c r="X276" s="6">
        <f>[1]Results!AA1663</f>
        <v>2831.1658259999999</v>
      </c>
      <c r="Y276" s="6">
        <f>[1]Results!AB1663</f>
        <v>2866.3873939999999</v>
      </c>
      <c r="Z276" s="6">
        <f>[1]Results!AC1663</f>
        <v>2902.2623469999999</v>
      </c>
      <c r="AA276" s="6">
        <f>[1]Results!AD1663</f>
        <v>2938.7362929999999</v>
      </c>
      <c r="AB276" s="6">
        <f>[1]Results!AE1663</f>
        <v>2972.34528</v>
      </c>
      <c r="AC276" s="6">
        <f>[1]Results!AF1663</f>
        <v>3006.1721769999999</v>
      </c>
      <c r="AD276" s="6">
        <f>[1]Results!AG1663</f>
        <v>3040.2576370000002</v>
      </c>
      <c r="AE276" s="6">
        <f>[1]Results!AH1663</f>
        <v>3074.5574790000001</v>
      </c>
      <c r="AF276" s="6">
        <f>[1]Results!AI1663</f>
        <v>3109.0827469999999</v>
      </c>
      <c r="AG276" s="6">
        <f>[1]Results!AJ1663</f>
        <v>3143.8708200000001</v>
      </c>
      <c r="AH276" s="6">
        <f>[1]Results!AK1663</f>
        <v>3178.9650790000001</v>
      </c>
      <c r="AI276" s="6">
        <f>[1]Results!AL1663</f>
        <v>3214.4061830000001</v>
      </c>
      <c r="AJ276" s="6">
        <f>[1]Results!AM1663</f>
        <v>3250.2291479999999</v>
      </c>
      <c r="AK276" s="6">
        <f>[1]Results!AN1663</f>
        <v>3286.4629319999999</v>
      </c>
      <c r="AL276" s="6">
        <f>[1]Results!AO1663</f>
        <v>3323.13105</v>
      </c>
      <c r="AM276" s="6">
        <f>[1]Results!AP1663</f>
        <v>3359.4211009999999</v>
      </c>
      <c r="AN276" s="6">
        <f>[1]Results!AQ1663</f>
        <v>3395.6529329999998</v>
      </c>
      <c r="AO276" s="6">
        <f>[1]Results!AR1663</f>
        <v>3432.0441040000001</v>
      </c>
      <c r="AP276" s="6">
        <f>[1]Results!AS1663</f>
        <v>3468.7200830000002</v>
      </c>
      <c r="AQ276" s="6">
        <f>[1]Results!AT1663</f>
        <v>3505.7485339999998</v>
      </c>
      <c r="AR276" s="6">
        <f>[1]Results!AU1663</f>
        <v>3543.0811239999998</v>
      </c>
      <c r="AS276" s="6">
        <f>[1]Results!AV1663</f>
        <v>3580.7138580000001</v>
      </c>
      <c r="AT276" s="6">
        <f>[1]Results!AW1663</f>
        <v>3618.6705470000002</v>
      </c>
      <c r="AU276" s="6">
        <f>[1]Results!AX1663</f>
        <v>3656.9920470000002</v>
      </c>
      <c r="AV276" s="6">
        <f>[1]Results!AY1663</f>
        <v>3695.7282369999998</v>
      </c>
      <c r="AW276" s="6">
        <f>[1]Results!AZ1663</f>
        <v>3735.0039729999999</v>
      </c>
      <c r="AX276" s="6">
        <f>[1]Results!BA1663</f>
        <v>3774.834926</v>
      </c>
      <c r="AY276" s="6">
        <f>[1]Results!BB1663</f>
        <v>3815.2397340000002</v>
      </c>
      <c r="AZ276" s="6">
        <f>[1]Results!BC1663</f>
        <v>3856.2365220000002</v>
      </c>
      <c r="BA276" s="6">
        <f>[1]Results!BD1663</f>
        <v>3897.8394229999999</v>
      </c>
      <c r="BB276" s="6">
        <f>[1]Results!BE1663</f>
        <v>4416.6468480000003</v>
      </c>
      <c r="BC276" s="6">
        <f>[1]Results!BF1663</f>
        <v>4483.9938819999998</v>
      </c>
      <c r="BD276" s="6">
        <f>[1]Results!BG1663</f>
        <v>4552.3246609999997</v>
      </c>
      <c r="BE276" s="6">
        <f>[1]Results!BH1663</f>
        <v>4621.6617919999999</v>
      </c>
      <c r="BF276" s="6">
        <f>[1]Results!BI1663</f>
        <v>4692.0295589999996</v>
      </c>
    </row>
    <row r="277" spans="1:58" x14ac:dyDescent="0.35">
      <c r="B277" t="s">
        <v>33</v>
      </c>
      <c r="C277" s="6">
        <f>[1]Results!F1668</f>
        <v>3648.7645360000001</v>
      </c>
      <c r="D277" s="6">
        <f>[1]Results!G1668</f>
        <v>3681.9700640000001</v>
      </c>
      <c r="E277" s="6">
        <f>[1]Results!H1668</f>
        <v>3708.6249389999998</v>
      </c>
      <c r="F277" s="6">
        <f>[1]Results!I1668</f>
        <v>3732.9385929999999</v>
      </c>
      <c r="G277" s="6">
        <f>[1]Results!J1668</f>
        <v>3757.3755780000001</v>
      </c>
      <c r="H277" s="6">
        <f>[1]Results!K1668</f>
        <v>3782.9158969999999</v>
      </c>
      <c r="I277" s="6">
        <f>[1]Results!L1668</f>
        <v>3808.6416880000002</v>
      </c>
      <c r="J277" s="6">
        <f>[1]Results!M1668</f>
        <v>3834.971286</v>
      </c>
      <c r="K277" s="6">
        <f>[1]Results!N1668</f>
        <v>3862.1274039999998</v>
      </c>
      <c r="L277" s="6">
        <f>[1]Results!O1668</f>
        <v>3890.1359499999999</v>
      </c>
      <c r="M277" s="6">
        <f>[1]Results!P1668</f>
        <v>3921.3406930000001</v>
      </c>
      <c r="N277" s="6">
        <f>[1]Results!Q1668</f>
        <v>3952.6828099999998</v>
      </c>
      <c r="O277" s="6">
        <f>[1]Results!R1668</f>
        <v>3984.0982170000002</v>
      </c>
      <c r="P277" s="6">
        <f>[1]Results!S1668</f>
        <v>4015.7831070000002</v>
      </c>
      <c r="Q277" s="6">
        <f>[1]Results!T1668</f>
        <v>4047.8671760000002</v>
      </c>
      <c r="R277" s="6">
        <f>[1]Results!U1668</f>
        <v>4080.4354389999999</v>
      </c>
      <c r="S277" s="6">
        <f>[1]Results!V1668</f>
        <v>4113.5495199999996</v>
      </c>
      <c r="T277" s="6">
        <f>[1]Results!W1668</f>
        <v>4147.2567310000004</v>
      </c>
      <c r="U277" s="6">
        <f>[1]Results!X1668</f>
        <v>4181.5949520000004</v>
      </c>
      <c r="V277" s="6">
        <f>[1]Results!Y1668</f>
        <v>4216.5964169999997</v>
      </c>
      <c r="W277" s="6">
        <f>[1]Results!Z1668</f>
        <v>4250.5657510000001</v>
      </c>
      <c r="X277" s="6">
        <f>[1]Results!AA1668</f>
        <v>4285.6896790000001</v>
      </c>
      <c r="Y277" s="6">
        <f>[1]Results!AB1668</f>
        <v>4322.0021820000002</v>
      </c>
      <c r="Z277" s="6">
        <f>[1]Results!AC1668</f>
        <v>4359.3716850000001</v>
      </c>
      <c r="AA277" s="6">
        <f>[1]Results!AD1668</f>
        <v>4397.733303</v>
      </c>
      <c r="AB277" s="6">
        <f>[1]Results!AE1668</f>
        <v>4432.1592259999998</v>
      </c>
      <c r="AC277" s="6">
        <f>[1]Results!AF1668</f>
        <v>4466.4804679999997</v>
      </c>
      <c r="AD277" s="6">
        <f>[1]Results!AG1668</f>
        <v>4501.2822990000004</v>
      </c>
      <c r="AE277" s="6">
        <f>[1]Results!AH1668</f>
        <v>4536.6916869999995</v>
      </c>
      <c r="AF277" s="6">
        <f>[1]Results!AI1668</f>
        <v>4572.8044129999998</v>
      </c>
      <c r="AG277" s="6">
        <f>[1]Results!AJ1668</f>
        <v>4609.7239900000004</v>
      </c>
      <c r="AH277" s="6">
        <f>[1]Results!AK1668</f>
        <v>4647.5522920000003</v>
      </c>
      <c r="AI277" s="6">
        <f>[1]Results!AL1668</f>
        <v>4686.3808479999998</v>
      </c>
      <c r="AJ277" s="6">
        <f>[1]Results!AM1668</f>
        <v>4726.2868019999996</v>
      </c>
      <c r="AK277" s="6">
        <f>[1]Results!AN1668</f>
        <v>4767.3321370000003</v>
      </c>
      <c r="AL277" s="6">
        <f>[1]Results!AO1668</f>
        <v>4809.5647859999999</v>
      </c>
      <c r="AM277" s="6">
        <f>[1]Results!AP1668</f>
        <v>4851.8632589999997</v>
      </c>
      <c r="AN277" s="6">
        <f>[1]Results!AQ1668</f>
        <v>4894.5337319999999</v>
      </c>
      <c r="AO277" s="6">
        <f>[1]Results!AR1668</f>
        <v>4937.9501490000002</v>
      </c>
      <c r="AP277" s="6">
        <f>[1]Results!AS1668</f>
        <v>4982.3954320000003</v>
      </c>
      <c r="AQ277" s="6">
        <f>[1]Results!AT1668</f>
        <v>5028.0475839999999</v>
      </c>
      <c r="AR277" s="6">
        <f>[1]Results!AU1668</f>
        <v>5074.7669329999999</v>
      </c>
      <c r="AS277" s="6">
        <f>[1]Results!AV1668</f>
        <v>5122.3844360000003</v>
      </c>
      <c r="AT277" s="6">
        <f>[1]Results!AW1668</f>
        <v>5170.821672</v>
      </c>
      <c r="AU277" s="6">
        <f>[1]Results!AX1668</f>
        <v>5220.1304490000002</v>
      </c>
      <c r="AV277" s="6">
        <f>[1]Results!AY1668</f>
        <v>5270.4539519999998</v>
      </c>
      <c r="AW277" s="6">
        <f>[1]Results!AZ1668</f>
        <v>5322.0634339999997</v>
      </c>
      <c r="AX277" s="6">
        <f>[1]Results!BA1668</f>
        <v>5375.07798</v>
      </c>
      <c r="AY277" s="6">
        <f>[1]Results!BB1668</f>
        <v>5429.573316</v>
      </c>
      <c r="AZ277" s="6">
        <f>[1]Results!BC1668</f>
        <v>5485.5920779999997</v>
      </c>
      <c r="BA277" s="6">
        <f>[1]Results!BD1668</f>
        <v>5543.1500310000001</v>
      </c>
      <c r="BB277" s="6">
        <f>[1]Results!BE1668</f>
        <v>6294.689676</v>
      </c>
      <c r="BC277" s="6">
        <f>[1]Results!BF1668</f>
        <v>6382.6613719999996</v>
      </c>
      <c r="BD277" s="6">
        <f>[1]Results!BG1668</f>
        <v>6472.0753290000002</v>
      </c>
      <c r="BE277" s="6">
        <f>[1]Results!BH1668</f>
        <v>6562.95615</v>
      </c>
      <c r="BF277" s="6">
        <f>[1]Results!BI1668</f>
        <v>6655.3246710000003</v>
      </c>
    </row>
    <row r="279" spans="1:58" x14ac:dyDescent="0.35">
      <c r="A279" s="12" t="s">
        <v>21</v>
      </c>
      <c r="B279" t="s">
        <v>26</v>
      </c>
      <c r="C279" s="4">
        <f>C263/C271-1</f>
        <v>-7.990165074456268E-5</v>
      </c>
      <c r="D279" s="4">
        <f t="shared" ref="D279:AK279" si="162">D263/D271-1</f>
        <v>-1.6770739449101235E-4</v>
      </c>
      <c r="E279" s="4">
        <f t="shared" si="162"/>
        <v>-2.42678879527225E-4</v>
      </c>
      <c r="F279" s="4">
        <f t="shared" si="162"/>
        <v>-3.0461138598636417E-4</v>
      </c>
      <c r="G279" s="4">
        <f t="shared" si="162"/>
        <v>-3.6457648232668394E-4</v>
      </c>
      <c r="H279" s="4">
        <f t="shared" si="162"/>
        <v>-4.3398962438678801E-4</v>
      </c>
      <c r="I279" s="4">
        <f t="shared" si="162"/>
        <v>-5.1781953129836911E-4</v>
      </c>
      <c r="J279" s="4">
        <f t="shared" si="162"/>
        <v>-6.1558659303395658E-4</v>
      </c>
      <c r="K279" s="4">
        <f t="shared" si="162"/>
        <v>-7.2395238748113044E-4</v>
      </c>
      <c r="L279" s="4">
        <f t="shared" si="162"/>
        <v>-8.3864295526281385E-4</v>
      </c>
      <c r="M279" s="4">
        <f t="shared" si="162"/>
        <v>-9.557889408511322E-4</v>
      </c>
      <c r="N279" s="4">
        <f t="shared" si="162"/>
        <v>-1.0728104895060264E-3</v>
      </c>
      <c r="O279" s="4">
        <f t="shared" si="162"/>
        <v>-1.1873975456896391E-3</v>
      </c>
      <c r="P279" s="4">
        <f t="shared" si="162"/>
        <v>-1.2985890127444888E-3</v>
      </c>
      <c r="Q279" s="4">
        <f t="shared" si="162"/>
        <v>-1.4061677325434285E-3</v>
      </c>
      <c r="R279" s="4">
        <f t="shared" si="162"/>
        <v>-1.5102329132327119E-3</v>
      </c>
      <c r="S279" s="4">
        <f t="shared" si="162"/>
        <v>-1.6117399249089281E-3</v>
      </c>
      <c r="T279" s="4">
        <f t="shared" si="162"/>
        <v>-1.7105637800307605E-3</v>
      </c>
      <c r="U279" s="4">
        <f t="shared" si="162"/>
        <v>-1.8070682722030051E-3</v>
      </c>
      <c r="V279" s="4">
        <f t="shared" si="162"/>
        <v>-1.9017735418084269E-3</v>
      </c>
      <c r="W279" s="4">
        <f t="shared" si="162"/>
        <v>-1.9950957668335434E-3</v>
      </c>
      <c r="X279" s="4">
        <f t="shared" si="162"/>
        <v>-2.0876764023937122E-3</v>
      </c>
      <c r="Y279" s="4">
        <f t="shared" si="162"/>
        <v>-2.1797259913345357E-3</v>
      </c>
      <c r="Z279" s="4">
        <f t="shared" si="162"/>
        <v>-2.2713064791546334E-3</v>
      </c>
      <c r="AA279" s="4">
        <f t="shared" si="162"/>
        <v>-2.3623866148028139E-3</v>
      </c>
      <c r="AB279" s="4">
        <f t="shared" si="162"/>
        <v>-2.4525452258008507E-3</v>
      </c>
      <c r="AC279" s="4">
        <f t="shared" si="162"/>
        <v>-2.5419964116742966E-3</v>
      </c>
      <c r="AD279" s="4">
        <f t="shared" si="162"/>
        <v>-2.6308041994201892E-3</v>
      </c>
      <c r="AE279" s="4">
        <f t="shared" si="162"/>
        <v>-2.7186566389146849E-3</v>
      </c>
      <c r="AF279" s="4">
        <f t="shared" si="162"/>
        <v>-2.8051125980971259E-3</v>
      </c>
      <c r="AG279" s="4">
        <f t="shared" si="162"/>
        <v>-2.8897449351492632E-3</v>
      </c>
      <c r="AH279" s="4">
        <f t="shared" si="162"/>
        <v>-2.9720126343377729E-3</v>
      </c>
      <c r="AI279" s="4">
        <f>AI263/AI271-1</f>
        <v>-3.051747734689858E-3</v>
      </c>
      <c r="AJ279" s="4">
        <f t="shared" si="162"/>
        <v>-3.1287626490840159E-3</v>
      </c>
      <c r="AK279" s="4">
        <f t="shared" si="162"/>
        <v>-3.2029088577831821E-3</v>
      </c>
      <c r="AL279" s="4">
        <f>AL263/AL271-1</f>
        <v>-3.2740997057254528E-3</v>
      </c>
      <c r="AM279" s="4">
        <f t="shared" ref="AM279:BC279" si="163">AM263/AM271-1</f>
        <v>-3.3404645037190539E-3</v>
      </c>
      <c r="AN279" s="4">
        <f t="shared" si="163"/>
        <v>-3.4029986906468634E-3</v>
      </c>
      <c r="AO279" s="4">
        <f t="shared" si="163"/>
        <v>-3.4613596968097182E-3</v>
      </c>
      <c r="AP279" s="4">
        <f t="shared" si="163"/>
        <v>-3.5148055462913552E-3</v>
      </c>
      <c r="AQ279" s="4">
        <f t="shared" si="163"/>
        <v>-3.5628521016943804E-3</v>
      </c>
      <c r="AR279" s="4">
        <f t="shared" si="163"/>
        <v>-3.6707418085414334E-3</v>
      </c>
      <c r="AS279" s="4">
        <f t="shared" si="163"/>
        <v>-3.8678545525573371E-3</v>
      </c>
      <c r="AT279" s="4">
        <f t="shared" si="163"/>
        <v>-4.1513390196602495E-3</v>
      </c>
      <c r="AU279" s="4">
        <f t="shared" si="163"/>
        <v>-4.5011789387197076E-3</v>
      </c>
      <c r="AV279" s="4">
        <f t="shared" si="163"/>
        <v>-4.8935157268585883E-3</v>
      </c>
      <c r="AW279" s="4">
        <f t="shared" si="163"/>
        <v>-5.2184260647440972E-3</v>
      </c>
      <c r="AX279" s="4">
        <f t="shared" si="163"/>
        <v>-5.423639802278446E-3</v>
      </c>
      <c r="AY279" s="4">
        <f t="shared" si="163"/>
        <v>-5.5062344921213979E-3</v>
      </c>
      <c r="AZ279" s="4">
        <f t="shared" si="163"/>
        <v>-5.4901541858489722E-3</v>
      </c>
      <c r="BA279" s="4">
        <f t="shared" si="163"/>
        <v>-5.4062695622214552E-3</v>
      </c>
      <c r="BB279" s="4">
        <f t="shared" si="163"/>
        <v>-1.8968324761670097E-4</v>
      </c>
      <c r="BC279" s="4">
        <f t="shared" si="163"/>
        <v>3.056175197979627E-5</v>
      </c>
      <c r="BD279" s="4">
        <f t="shared" ref="BD279:BF279" si="164">BD263/BD271-1</f>
        <v>2.6725331404020558E-4</v>
      </c>
      <c r="BE279" s="4">
        <f t="shared" si="164"/>
        <v>5.1902589871888338E-4</v>
      </c>
      <c r="BF279" s="4">
        <f t="shared" si="164"/>
        <v>7.8444032673608E-4</v>
      </c>
    </row>
    <row r="280" spans="1:58" x14ac:dyDescent="0.35">
      <c r="A280" t="s">
        <v>88</v>
      </c>
      <c r="B280" t="s">
        <v>7</v>
      </c>
      <c r="C280" s="4">
        <f>(C264-C272)/C$271</f>
        <v>-1.478136584752291E-5</v>
      </c>
      <c r="D280" s="4">
        <f t="shared" ref="D280:AL280" si="165">(D264-D272)/D$271</f>
        <v>-2.2343846222189136E-5</v>
      </c>
      <c r="E280" s="4">
        <f t="shared" si="165"/>
        <v>-2.7496288730070389E-5</v>
      </c>
      <c r="F280" s="4">
        <f t="shared" si="165"/>
        <v>-3.1221579894626219E-5</v>
      </c>
      <c r="G280" s="4">
        <f t="shared" si="165"/>
        <v>-3.4032098574735284E-5</v>
      </c>
      <c r="H280" s="4">
        <f t="shared" si="165"/>
        <v>-3.6175661875184338E-5</v>
      </c>
      <c r="I280" s="4">
        <f t="shared" si="165"/>
        <v>-3.7839461662798412E-5</v>
      </c>
      <c r="J280" s="4">
        <f t="shared" si="165"/>
        <v>-3.9025595623365821E-5</v>
      </c>
      <c r="K280" s="4">
        <f t="shared" si="165"/>
        <v>-3.9728192392312961E-5</v>
      </c>
      <c r="L280" s="4">
        <f t="shared" si="165"/>
        <v>-3.9925003261948201E-5</v>
      </c>
      <c r="M280" s="4">
        <f t="shared" si="165"/>
        <v>-3.9619785128631028E-5</v>
      </c>
      <c r="N280" s="4">
        <f t="shared" si="165"/>
        <v>-3.9046733064520109E-5</v>
      </c>
      <c r="O280" s="4">
        <f t="shared" si="165"/>
        <v>-3.7946557632896082E-5</v>
      </c>
      <c r="P280" s="4">
        <f t="shared" si="165"/>
        <v>-3.6253528384686672E-5</v>
      </c>
      <c r="Q280" s="4">
        <f t="shared" si="165"/>
        <v>-3.3959539384092422E-5</v>
      </c>
      <c r="R280" s="4">
        <f t="shared" si="165"/>
        <v>-3.1081811958715273E-5</v>
      </c>
      <c r="S280" s="4">
        <f t="shared" si="165"/>
        <v>-2.7979500716202626E-5</v>
      </c>
      <c r="T280" s="4">
        <f t="shared" si="165"/>
        <v>-2.4412469650099575E-5</v>
      </c>
      <c r="U280" s="4">
        <f t="shared" si="165"/>
        <v>-2.0347454152115041E-5</v>
      </c>
      <c r="V280" s="4">
        <f t="shared" si="165"/>
        <v>-1.5802600420853151E-5</v>
      </c>
      <c r="W280" s="4">
        <f t="shared" si="165"/>
        <v>-1.0783092508741391E-5</v>
      </c>
      <c r="X280" s="4">
        <f t="shared" si="165"/>
        <v>-5.3625218811557998E-6</v>
      </c>
      <c r="Y280" s="4">
        <f t="shared" si="165"/>
        <v>4.4541865770390701E-7</v>
      </c>
      <c r="Z280" s="4">
        <f t="shared" si="165"/>
        <v>6.6186446047906892E-6</v>
      </c>
      <c r="AA280" s="4">
        <f t="shared" si="165"/>
        <v>1.3135274968817356E-5</v>
      </c>
      <c r="AB280" s="4">
        <f t="shared" si="165"/>
        <v>2.0039644568922023E-5</v>
      </c>
      <c r="AC280" s="4">
        <f t="shared" si="165"/>
        <v>2.7365056231156395E-5</v>
      </c>
      <c r="AD280" s="4">
        <f t="shared" si="165"/>
        <v>3.4998126754538058E-5</v>
      </c>
      <c r="AE280" s="4">
        <f t="shared" si="165"/>
        <v>4.2906924170957256E-5</v>
      </c>
      <c r="AF280" s="4">
        <f t="shared" si="165"/>
        <v>5.1079959275409205E-5</v>
      </c>
      <c r="AG280" s="4">
        <f t="shared" si="165"/>
        <v>5.9511573387995402E-5</v>
      </c>
      <c r="AH280" s="4">
        <f t="shared" si="165"/>
        <v>6.8270655629504919E-5</v>
      </c>
      <c r="AI280" s="4">
        <f t="shared" si="165"/>
        <v>7.7291930962411818E-5</v>
      </c>
      <c r="AJ280" s="4">
        <f t="shared" si="165"/>
        <v>8.6554896914529841E-5</v>
      </c>
      <c r="AK280" s="4">
        <f t="shared" si="165"/>
        <v>9.6049798550605417E-5</v>
      </c>
      <c r="AL280" s="4">
        <f t="shared" si="165"/>
        <v>1.0576933034008147E-4</v>
      </c>
      <c r="AM280" s="4">
        <f t="shared" ref="AM280:BC280" si="166">(AM264-AM272)/AM$271</f>
        <v>1.1634612813839494E-4</v>
      </c>
      <c r="AN280" s="4">
        <f t="shared" si="166"/>
        <v>1.2723831630251305E-4</v>
      </c>
      <c r="AO280" s="4">
        <f t="shared" si="166"/>
        <v>1.3828188122774252E-4</v>
      </c>
      <c r="AP280" s="4">
        <f t="shared" si="166"/>
        <v>1.4941343162436929E-4</v>
      </c>
      <c r="AQ280" s="4">
        <f t="shared" si="166"/>
        <v>1.6061292026537538E-4</v>
      </c>
      <c r="AR280" s="4">
        <f t="shared" si="166"/>
        <v>1.6939532570627448E-4</v>
      </c>
      <c r="AS280" s="4">
        <f t="shared" si="166"/>
        <v>1.7573103720427486E-4</v>
      </c>
      <c r="AT280" s="4">
        <f t="shared" si="166"/>
        <v>1.8020088936602594E-4</v>
      </c>
      <c r="AU280" s="4">
        <f t="shared" si="166"/>
        <v>1.8341742010148399E-4</v>
      </c>
      <c r="AV280" s="4">
        <f t="shared" si="166"/>
        <v>1.8585756811719868E-4</v>
      </c>
      <c r="AW280" s="4">
        <f t="shared" si="166"/>
        <v>1.9156798129493939E-4</v>
      </c>
      <c r="AX280" s="4">
        <f t="shared" si="166"/>
        <v>2.0056648876946542E-4</v>
      </c>
      <c r="AY280" s="4">
        <f t="shared" si="166"/>
        <v>2.1221956532340726E-4</v>
      </c>
      <c r="AZ280" s="4">
        <f t="shared" si="166"/>
        <v>2.2580978414765517E-4</v>
      </c>
      <c r="BA280" s="4">
        <f t="shared" si="166"/>
        <v>2.4074632213611061E-4</v>
      </c>
      <c r="BB280" s="4">
        <f t="shared" si="166"/>
        <v>9.4659051125381113E-5</v>
      </c>
      <c r="BC280" s="4">
        <f t="shared" si="166"/>
        <v>1.0198390273222677E-4</v>
      </c>
      <c r="BD280" s="4">
        <f t="shared" ref="BD280:BF280" si="167">(BD264-BD272)/BD$271</f>
        <v>1.0943101375679349E-4</v>
      </c>
      <c r="BE280" s="4">
        <f t="shared" si="167"/>
        <v>1.1697477004672881E-4</v>
      </c>
      <c r="BF280" s="4">
        <f t="shared" si="167"/>
        <v>1.2459345722464171E-4</v>
      </c>
    </row>
    <row r="281" spans="1:58" x14ac:dyDescent="0.35">
      <c r="B281" t="s">
        <v>30</v>
      </c>
      <c r="C281" s="4">
        <f t="shared" ref="C281:AL281" si="168">(C265-C273)/C$271</f>
        <v>-2.5984012088651973E-5</v>
      </c>
      <c r="D281" s="4">
        <f t="shared" si="168"/>
        <v>-6.410407217539261E-5</v>
      </c>
      <c r="E281" s="4">
        <f t="shared" si="168"/>
        <v>-1.001839231479983E-4</v>
      </c>
      <c r="F281" s="4">
        <f t="shared" si="168"/>
        <v>-1.316695251773984E-4</v>
      </c>
      <c r="G281" s="4">
        <f t="shared" si="168"/>
        <v>-1.6255620607730944E-4</v>
      </c>
      <c r="H281" s="4">
        <f t="shared" si="168"/>
        <v>-1.9811032528336785E-4</v>
      </c>
      <c r="I281" s="4">
        <f t="shared" si="168"/>
        <v>-2.412918947097036E-4</v>
      </c>
      <c r="J281" s="4">
        <f t="shared" si="168"/>
        <v>-2.9259001497748297E-4</v>
      </c>
      <c r="K281" s="4">
        <f t="shared" si="168"/>
        <v>-3.5081633114552625E-4</v>
      </c>
      <c r="L281" s="4">
        <f t="shared" si="168"/>
        <v>-4.139894247552727E-4</v>
      </c>
      <c r="M281" s="4">
        <f t="shared" si="168"/>
        <v>-4.7998289635528226E-4</v>
      </c>
      <c r="N281" s="4">
        <f t="shared" si="168"/>
        <v>-5.4709988927402324E-4</v>
      </c>
      <c r="O281" s="4">
        <f t="shared" si="168"/>
        <v>-6.1402301944947111E-4</v>
      </c>
      <c r="P281" s="4">
        <f t="shared" si="168"/>
        <v>-6.7998218788757787E-4</v>
      </c>
      <c r="Q281" s="4">
        <f t="shared" si="168"/>
        <v>-7.4460691094486845E-4</v>
      </c>
      <c r="R281" s="4">
        <f t="shared" si="168"/>
        <v>-8.0775271739786097E-4</v>
      </c>
      <c r="S281" s="4">
        <f t="shared" si="168"/>
        <v>-8.6946227050901535E-4</v>
      </c>
      <c r="T281" s="4">
        <f t="shared" si="168"/>
        <v>-9.2980403841584603E-4</v>
      </c>
      <c r="U281" s="4">
        <f t="shared" si="168"/>
        <v>-9.8895629755510407E-4</v>
      </c>
      <c r="V281" s="4">
        <f t="shared" si="168"/>
        <v>-1.0471609486076294E-3</v>
      </c>
      <c r="W281" s="4">
        <f t="shared" si="168"/>
        <v>-1.1047239967261809E-3</v>
      </c>
      <c r="X281" s="4">
        <f t="shared" si="168"/>
        <v>-1.1617863995367684E-3</v>
      </c>
      <c r="Y281" s="4">
        <f t="shared" si="168"/>
        <v>-1.2185172871480314E-3</v>
      </c>
      <c r="Z281" s="4">
        <f t="shared" si="168"/>
        <v>-1.2749791011349605E-3</v>
      </c>
      <c r="AA281" s="4">
        <f t="shared" si="168"/>
        <v>-1.3311609446646391E-3</v>
      </c>
      <c r="AB281" s="4">
        <f t="shared" si="168"/>
        <v>-1.3871816206914992E-3</v>
      </c>
      <c r="AC281" s="4">
        <f t="shared" si="168"/>
        <v>-1.4427988050753271E-3</v>
      </c>
      <c r="AD281" s="4">
        <f t="shared" si="168"/>
        <v>-1.497962410615601E-3</v>
      </c>
      <c r="AE281" s="4">
        <f t="shared" si="168"/>
        <v>-1.5524812128036379E-3</v>
      </c>
      <c r="AF281" s="4">
        <f t="shared" si="168"/>
        <v>-1.6060766430457127E-3</v>
      </c>
      <c r="AG281" s="4">
        <f t="shared" si="168"/>
        <v>-1.6584556715786532E-3</v>
      </c>
      <c r="AH281" s="4">
        <f t="shared" si="168"/>
        <v>-1.7093280005795837E-3</v>
      </c>
      <c r="AI281" s="4">
        <f t="shared" si="168"/>
        <v>-1.7584681281768929E-3</v>
      </c>
      <c r="AJ281" s="4">
        <f t="shared" si="168"/>
        <v>-1.8056837908204937E-3</v>
      </c>
      <c r="AK281" s="4">
        <f t="shared" si="168"/>
        <v>-1.8508191880197795E-3</v>
      </c>
      <c r="AL281" s="4">
        <f t="shared" si="168"/>
        <v>-1.8937604197771763E-3</v>
      </c>
      <c r="AM281" s="4">
        <f t="shared" ref="AM281:BC281" si="169">(AM265-AM273)/AM$271</f>
        <v>-1.9342103278263531E-3</v>
      </c>
      <c r="AN281" s="4">
        <f t="shared" si="169"/>
        <v>-1.9720600338920449E-3</v>
      </c>
      <c r="AO281" s="4">
        <f t="shared" si="169"/>
        <v>-2.0069755205604331E-3</v>
      </c>
      <c r="AP281" s="4">
        <f t="shared" si="169"/>
        <v>-2.0385250982848046E-3</v>
      </c>
      <c r="AQ281" s="4">
        <f t="shared" si="169"/>
        <v>-2.0663909740220227E-3</v>
      </c>
      <c r="AR281" s="4">
        <f t="shared" si="169"/>
        <v>-2.1220633904653606E-3</v>
      </c>
      <c r="AS281" s="4">
        <f t="shared" si="169"/>
        <v>-2.225032964713975E-3</v>
      </c>
      <c r="AT281" s="4">
        <f t="shared" si="169"/>
        <v>-2.3784981895904563E-3</v>
      </c>
      <c r="AU281" s="4">
        <f t="shared" si="169"/>
        <v>-2.5746373195785007E-3</v>
      </c>
      <c r="AV281" s="4">
        <f t="shared" si="169"/>
        <v>-2.8013285213679649E-3</v>
      </c>
      <c r="AW281" s="4">
        <f t="shared" si="169"/>
        <v>-3.0036130881029425E-3</v>
      </c>
      <c r="AX281" s="4">
        <f t="shared" si="169"/>
        <v>-3.1463512657315916E-3</v>
      </c>
      <c r="AY281" s="4">
        <f t="shared" si="169"/>
        <v>-3.2197246492364625E-3</v>
      </c>
      <c r="AZ281" s="4">
        <f t="shared" si="169"/>
        <v>-3.2311186993463498E-3</v>
      </c>
      <c r="BA281" s="4">
        <f t="shared" si="169"/>
        <v>-3.1950539870475589E-3</v>
      </c>
      <c r="BB281" s="4">
        <f t="shared" si="169"/>
        <v>3.9656188976705569E-5</v>
      </c>
      <c r="BC281" s="4">
        <f t="shared" si="169"/>
        <v>2.122757031854655E-4</v>
      </c>
      <c r="BD281" s="4">
        <f t="shared" ref="BD281:BF281" si="170">(BD265-BD273)/BD$271</f>
        <v>3.9830307740515013E-4</v>
      </c>
      <c r="BE281" s="4">
        <f t="shared" si="170"/>
        <v>5.9690661777737962E-4</v>
      </c>
      <c r="BF281" s="4">
        <f t="shared" si="170"/>
        <v>8.0713243591082643E-4</v>
      </c>
    </row>
    <row r="282" spans="1:58" x14ac:dyDescent="0.35">
      <c r="B282" t="s">
        <v>28</v>
      </c>
      <c r="C282" s="4">
        <f t="shared" ref="C282:AL282" si="171">(C266-C274)/C$271</f>
        <v>-1.2656645305364625E-6</v>
      </c>
      <c r="D282" s="4">
        <f t="shared" si="171"/>
        <v>-2.6137282674704872E-6</v>
      </c>
      <c r="E282" s="4">
        <f t="shared" si="171"/>
        <v>-3.7509011947702823E-6</v>
      </c>
      <c r="F282" s="4">
        <f t="shared" si="171"/>
        <v>-4.729300455293819E-6</v>
      </c>
      <c r="G282" s="4">
        <f t="shared" si="171"/>
        <v>-5.7351224636899204E-6</v>
      </c>
      <c r="H282" s="4">
        <f t="shared" si="171"/>
        <v>-6.9302296020563622E-6</v>
      </c>
      <c r="I282" s="4">
        <f t="shared" si="171"/>
        <v>-8.3757265143823646E-6</v>
      </c>
      <c r="J282" s="4">
        <f t="shared" si="171"/>
        <v>-1.0055266955027541E-5</v>
      </c>
      <c r="K282" s="4">
        <f t="shared" si="171"/>
        <v>-1.1915320656816029E-5</v>
      </c>
      <c r="L282" s="4">
        <f t="shared" si="171"/>
        <v>-1.3894079674618792E-5</v>
      </c>
      <c r="M282" s="4">
        <f t="shared" si="171"/>
        <v>-1.5942955274514847E-5</v>
      </c>
      <c r="N282" s="4">
        <f t="shared" si="171"/>
        <v>-1.8021652621160339E-5</v>
      </c>
      <c r="O282" s="4">
        <f t="shared" si="171"/>
        <v>-2.0101848832826598E-5</v>
      </c>
      <c r="P282" s="4">
        <f t="shared" si="171"/>
        <v>-2.217185180963631E-5</v>
      </c>
      <c r="Q282" s="4">
        <f t="shared" si="171"/>
        <v>-2.4228214226475591E-5</v>
      </c>
      <c r="R282" s="4">
        <f t="shared" si="171"/>
        <v>-2.6270193697950001E-5</v>
      </c>
      <c r="S282" s="4">
        <f t="shared" si="171"/>
        <v>-2.8309425309470296E-5</v>
      </c>
      <c r="T282" s="4">
        <f t="shared" si="171"/>
        <v>-3.0339604078489184E-5</v>
      </c>
      <c r="U282" s="4">
        <f t="shared" si="171"/>
        <v>-3.2361930492133543E-5</v>
      </c>
      <c r="V282" s="4">
        <f t="shared" si="171"/>
        <v>-3.4380356450053609E-5</v>
      </c>
      <c r="W282" s="4">
        <f t="shared" si="171"/>
        <v>-3.6391032005000827E-5</v>
      </c>
      <c r="X282" s="4">
        <f t="shared" si="171"/>
        <v>-3.8414781163095569E-5</v>
      </c>
      <c r="Y282" s="4">
        <f t="shared" si="171"/>
        <v>-4.0448371028372308E-5</v>
      </c>
      <c r="Z282" s="4">
        <f t="shared" si="171"/>
        <v>-4.2490331095836737E-5</v>
      </c>
      <c r="AA282" s="4">
        <f t="shared" si="171"/>
        <v>-4.4540017527358217E-5</v>
      </c>
      <c r="AB282" s="4">
        <f t="shared" si="171"/>
        <v>-4.6568266668731556E-5</v>
      </c>
      <c r="AC282" s="4">
        <f t="shared" si="171"/>
        <v>-4.8617130954110707E-5</v>
      </c>
      <c r="AD282" s="4">
        <f t="shared" si="171"/>
        <v>-5.0685171957782954E-5</v>
      </c>
      <c r="AE282" s="4">
        <f t="shared" si="171"/>
        <v>-5.2768489283900756E-5</v>
      </c>
      <c r="AF282" s="4">
        <f t="shared" si="171"/>
        <v>-5.4862976205991678E-5</v>
      </c>
      <c r="AG282" s="4">
        <f t="shared" si="171"/>
        <v>-5.6965367643169598E-5</v>
      </c>
      <c r="AH282" s="4">
        <f t="shared" si="171"/>
        <v>-5.9070371943451761E-5</v>
      </c>
      <c r="AI282" s="4">
        <f t="shared" si="171"/>
        <v>-6.1178476552614037E-5</v>
      </c>
      <c r="AJ282" s="4">
        <f t="shared" si="171"/>
        <v>-6.3289307662922926E-5</v>
      </c>
      <c r="AK282" s="4">
        <f t="shared" si="171"/>
        <v>-6.5402586859292344E-5</v>
      </c>
      <c r="AL282" s="4">
        <f t="shared" si="171"/>
        <v>-6.7518506706549454E-5</v>
      </c>
      <c r="AM282" s="4">
        <f t="shared" ref="AM282:BC282" si="172">(AM266-AM274)/AM$271</f>
        <v>-6.9599679467614059E-5</v>
      </c>
      <c r="AN282" s="4">
        <f t="shared" si="172"/>
        <v>-7.1671634542774647E-5</v>
      </c>
      <c r="AO282" s="4">
        <f t="shared" si="172"/>
        <v>-7.3735731093706392E-5</v>
      </c>
      <c r="AP282" s="4">
        <f t="shared" si="172"/>
        <v>-7.5784835750545001E-5</v>
      </c>
      <c r="AQ282" s="4">
        <f t="shared" si="172"/>
        <v>-7.781322829088062E-5</v>
      </c>
      <c r="AR282" s="4">
        <f t="shared" si="172"/>
        <v>-8.0795201506086355E-5</v>
      </c>
      <c r="AS282" s="4">
        <f t="shared" si="172"/>
        <v>-8.5079239887503718E-5</v>
      </c>
      <c r="AT282" s="4">
        <f t="shared" si="172"/>
        <v>-9.0571212757661529E-5</v>
      </c>
      <c r="AU282" s="4">
        <f t="shared" si="172"/>
        <v>-9.6987227312668862E-5</v>
      </c>
      <c r="AV282" s="4">
        <f t="shared" si="172"/>
        <v>-1.0403121332519885E-4</v>
      </c>
      <c r="AW282" s="4">
        <f t="shared" si="172"/>
        <v>-1.1013336229768546E-4</v>
      </c>
      <c r="AX282" s="4">
        <f t="shared" si="172"/>
        <v>-1.1469363353374694E-4</v>
      </c>
      <c r="AY282" s="4">
        <f t="shared" si="172"/>
        <v>-1.1777515052257967E-4</v>
      </c>
      <c r="AZ282" s="4">
        <f t="shared" si="172"/>
        <v>-1.1973251129661213E-4</v>
      </c>
      <c r="BA282" s="4">
        <f t="shared" si="172"/>
        <v>-1.2094723333754431E-4</v>
      </c>
      <c r="BB282" s="4">
        <f t="shared" si="172"/>
        <v>-5.9952501037244454E-5</v>
      </c>
      <c r="BC282" s="4">
        <f t="shared" si="172"/>
        <v>-6.0984718023528869E-5</v>
      </c>
      <c r="BD282" s="4">
        <f t="shared" ref="BD282:BF282" si="173">(BD266-BD274)/BD$271</f>
        <v>-6.1930063848194579E-5</v>
      </c>
      <c r="BE282" s="4">
        <f t="shared" si="173"/>
        <v>-6.2801415214710579E-5</v>
      </c>
      <c r="BF282" s="4">
        <f t="shared" si="173"/>
        <v>-6.36110091234999E-5</v>
      </c>
    </row>
    <row r="283" spans="1:58" x14ac:dyDescent="0.35">
      <c r="B283" t="s">
        <v>10</v>
      </c>
      <c r="C283" s="4">
        <f t="shared" ref="C283:AL283" si="174">(C267-C275)/C$271</f>
        <v>-3.8957844835181332E-5</v>
      </c>
      <c r="D283" s="4">
        <f t="shared" si="174"/>
        <v>-8.783310709253937E-5</v>
      </c>
      <c r="E283" s="4">
        <f t="shared" si="174"/>
        <v>-1.2794297185900522E-4</v>
      </c>
      <c r="F283" s="4">
        <f t="shared" si="174"/>
        <v>-1.5937735266300133E-4</v>
      </c>
      <c r="G283" s="4">
        <f t="shared" si="174"/>
        <v>-1.8941912808929557E-4</v>
      </c>
      <c r="H283" s="4">
        <f t="shared" si="174"/>
        <v>-2.2500315799986825E-4</v>
      </c>
      <c r="I283" s="4">
        <f t="shared" si="174"/>
        <v>-2.6797910837082658E-4</v>
      </c>
      <c r="J283" s="4">
        <f t="shared" si="174"/>
        <v>-3.1715462899817705E-4</v>
      </c>
      <c r="K283" s="4">
        <f t="shared" si="174"/>
        <v>-3.7023074934732002E-4</v>
      </c>
      <c r="L283" s="4">
        <f t="shared" si="174"/>
        <v>-4.2487964338397004E-4</v>
      </c>
      <c r="M283" s="4">
        <f t="shared" si="174"/>
        <v>-4.7933137002899339E-4</v>
      </c>
      <c r="N283" s="4">
        <f t="shared" si="174"/>
        <v>-5.3257709126532386E-4</v>
      </c>
      <c r="O283" s="4">
        <f t="shared" si="174"/>
        <v>-5.8393113564861592E-4</v>
      </c>
      <c r="P283" s="4">
        <f t="shared" si="174"/>
        <v>-6.3330018878660196E-4</v>
      </c>
      <c r="Q283" s="4">
        <f t="shared" si="174"/>
        <v>-6.8085393211966881E-4</v>
      </c>
      <c r="R283" s="4">
        <f t="shared" si="174"/>
        <v>-7.2679016193004018E-4</v>
      </c>
      <c r="S283" s="4">
        <f t="shared" si="174"/>
        <v>-7.7164611780588426E-4</v>
      </c>
      <c r="T283" s="4">
        <f t="shared" si="174"/>
        <v>-8.1544226550462934E-4</v>
      </c>
      <c r="U283" s="4">
        <f t="shared" si="174"/>
        <v>-8.5837817794657417E-4</v>
      </c>
      <c r="V283" s="4">
        <f t="shared" si="174"/>
        <v>-9.0070858378809345E-4</v>
      </c>
      <c r="W283" s="4">
        <f t="shared" si="174"/>
        <v>-9.4258401506281439E-4</v>
      </c>
      <c r="X283" s="4">
        <f t="shared" si="174"/>
        <v>-9.8439746868020633E-4</v>
      </c>
      <c r="Y283" s="4">
        <f t="shared" si="174"/>
        <v>-1.0262057629514887E-3</v>
      </c>
      <c r="Z283" s="4">
        <f t="shared" si="174"/>
        <v>-1.0680071552114664E-3</v>
      </c>
      <c r="AA283" s="4">
        <f t="shared" si="174"/>
        <v>-1.1097719284866821E-3</v>
      </c>
      <c r="AB283" s="4">
        <f t="shared" si="174"/>
        <v>-1.151121890727881E-3</v>
      </c>
      <c r="AC283" s="4">
        <f t="shared" si="174"/>
        <v>-1.1924289876410932E-3</v>
      </c>
      <c r="AD283" s="4">
        <f t="shared" si="174"/>
        <v>-1.2337000092269065E-3</v>
      </c>
      <c r="AE283" s="4">
        <f t="shared" si="174"/>
        <v>-1.2747890716761294E-3</v>
      </c>
      <c r="AF283" s="4">
        <f t="shared" si="174"/>
        <v>-1.3155243151800316E-3</v>
      </c>
      <c r="AG283" s="4">
        <f t="shared" si="174"/>
        <v>-1.3557642420379105E-3</v>
      </c>
      <c r="AH283" s="4">
        <f t="shared" si="174"/>
        <v>-1.3953195199839956E-3</v>
      </c>
      <c r="AI283" s="4">
        <f t="shared" si="174"/>
        <v>-1.4341778107008539E-3</v>
      </c>
      <c r="AJ283" s="4">
        <f t="shared" si="174"/>
        <v>-1.4723219514501899E-3</v>
      </c>
      <c r="AK283" s="4">
        <f t="shared" si="174"/>
        <v>-1.5097491230897796E-3</v>
      </c>
      <c r="AL283" s="4">
        <f t="shared" si="174"/>
        <v>-1.5464793553273935E-3</v>
      </c>
      <c r="AM283" s="4">
        <f t="shared" ref="AM283:BC283" si="175">(AM267-AM275)/AM$271</f>
        <v>-1.581566861749072E-3</v>
      </c>
      <c r="AN283" s="4">
        <f t="shared" si="175"/>
        <v>-1.615551381078802E-3</v>
      </c>
      <c r="AO283" s="4">
        <f t="shared" si="175"/>
        <v>-1.6481576532356719E-3</v>
      </c>
      <c r="AP283" s="4">
        <f t="shared" si="175"/>
        <v>-1.6788968801910102E-3</v>
      </c>
      <c r="AQ283" s="4">
        <f t="shared" si="175"/>
        <v>-1.7075283833176351E-3</v>
      </c>
      <c r="AR283" s="4">
        <f t="shared" si="175"/>
        <v>-1.7646759889777264E-3</v>
      </c>
      <c r="AS283" s="4">
        <f t="shared" si="175"/>
        <v>-1.8601318239871772E-3</v>
      </c>
      <c r="AT283" s="4">
        <f t="shared" si="175"/>
        <v>-1.9886486765132443E-3</v>
      </c>
      <c r="AU283" s="4">
        <f t="shared" si="175"/>
        <v>-2.1388840793991827E-3</v>
      </c>
      <c r="AV283" s="4">
        <f t="shared" si="175"/>
        <v>-2.2997175013531111E-3</v>
      </c>
      <c r="AW283" s="4">
        <f t="shared" si="175"/>
        <v>-2.4212203813965107E-3</v>
      </c>
      <c r="AX283" s="4">
        <f t="shared" si="175"/>
        <v>-2.4867281083815122E-3</v>
      </c>
      <c r="AY283" s="4">
        <f t="shared" si="175"/>
        <v>-2.5025575552326202E-3</v>
      </c>
      <c r="AZ283" s="4">
        <f t="shared" si="175"/>
        <v>-2.4843955054059111E-3</v>
      </c>
      <c r="BA283" s="4">
        <f t="shared" si="175"/>
        <v>-2.4478052649105349E-3</v>
      </c>
      <c r="BB283" s="4">
        <f t="shared" si="175"/>
        <v>-3.6476619793068907E-4</v>
      </c>
      <c r="BC283" s="4">
        <f t="shared" si="175"/>
        <v>-3.3238468903742707E-4</v>
      </c>
      <c r="BD283" s="4">
        <f t="shared" ref="BD283:BF283" si="176">(BD267-BD275)/BD$271</f>
        <v>-2.9733831200710003E-4</v>
      </c>
      <c r="BE283" s="4">
        <f t="shared" si="176"/>
        <v>-2.6009050932757728E-4</v>
      </c>
      <c r="BF283" s="4">
        <f t="shared" si="176"/>
        <v>-2.21071551999681E-4</v>
      </c>
    </row>
    <row r="284" spans="1:58" x14ac:dyDescent="0.35">
      <c r="B284" t="s">
        <v>31</v>
      </c>
      <c r="C284" s="4">
        <f t="shared" ref="C284:AL284" si="177">(C268-C276)/C$271</f>
        <v>6.023116908959223E-7</v>
      </c>
      <c r="D284" s="4">
        <f t="shared" si="177"/>
        <v>2.0293947615996036E-6</v>
      </c>
      <c r="E284" s="4">
        <f t="shared" si="177"/>
        <v>3.3657540804980887E-6</v>
      </c>
      <c r="F284" s="4">
        <f t="shared" si="177"/>
        <v>4.5083844795797509E-6</v>
      </c>
      <c r="G284" s="4">
        <f t="shared" si="177"/>
        <v>5.5828207308533465E-6</v>
      </c>
      <c r="H284" s="4">
        <f t="shared" si="177"/>
        <v>6.741124059927462E-6</v>
      </c>
      <c r="I284" s="4">
        <f t="shared" si="177"/>
        <v>7.9451582543359334E-6</v>
      </c>
      <c r="J284" s="4">
        <f t="shared" si="177"/>
        <v>9.1436954781286466E-6</v>
      </c>
      <c r="K284" s="4">
        <f t="shared" si="177"/>
        <v>1.0310454785555711E-5</v>
      </c>
      <c r="L284" s="4">
        <f t="shared" si="177"/>
        <v>1.1435375858402468E-5</v>
      </c>
      <c r="M284" s="4">
        <f t="shared" si="177"/>
        <v>1.2512345560933639E-5</v>
      </c>
      <c r="N284" s="4">
        <f t="shared" si="177"/>
        <v>1.3558452868332017E-5</v>
      </c>
      <c r="O284" s="4">
        <f t="shared" si="177"/>
        <v>1.4575032182599491E-5</v>
      </c>
      <c r="P284" s="4">
        <f t="shared" si="177"/>
        <v>1.5564069310664598E-5</v>
      </c>
      <c r="Q284" s="4">
        <f t="shared" si="177"/>
        <v>1.6525487437416044E-5</v>
      </c>
      <c r="R284" s="4">
        <f t="shared" si="177"/>
        <v>1.74535373605068E-5</v>
      </c>
      <c r="S284" s="4">
        <f t="shared" si="177"/>
        <v>1.8350431589350649E-5</v>
      </c>
      <c r="T284" s="4">
        <f t="shared" si="177"/>
        <v>1.9208028447832062E-5</v>
      </c>
      <c r="U284" s="4">
        <f t="shared" si="177"/>
        <v>2.0021501555882506E-5</v>
      </c>
      <c r="V284" s="4">
        <f t="shared" si="177"/>
        <v>2.0790109536104842E-5</v>
      </c>
      <c r="W284" s="4">
        <f t="shared" si="177"/>
        <v>2.1520281690339373E-5</v>
      </c>
      <c r="X284" s="4">
        <f t="shared" si="177"/>
        <v>2.2210430668233639E-5</v>
      </c>
      <c r="Y284" s="4">
        <f t="shared" si="177"/>
        <v>2.2865417755909166E-5</v>
      </c>
      <c r="Z284" s="4">
        <f t="shared" si="177"/>
        <v>2.3488973161973101E-5</v>
      </c>
      <c r="AA284" s="4">
        <f t="shared" si="177"/>
        <v>2.4083672711209511E-5</v>
      </c>
      <c r="AB284" s="4">
        <f t="shared" si="177"/>
        <v>2.4663745424305755E-5</v>
      </c>
      <c r="AC284" s="4">
        <f t="shared" si="177"/>
        <v>2.5217066248769094E-5</v>
      </c>
      <c r="AD284" s="4">
        <f t="shared" si="177"/>
        <v>2.5746464646283736E-5</v>
      </c>
      <c r="AE284" s="4">
        <f t="shared" si="177"/>
        <v>2.6253543656159608E-5</v>
      </c>
      <c r="AF284" s="4">
        <f t="shared" si="177"/>
        <v>2.6738725433336656E-5</v>
      </c>
      <c r="AG284" s="4">
        <f t="shared" si="177"/>
        <v>2.7201795842666117E-5</v>
      </c>
      <c r="AH284" s="4">
        <f t="shared" si="177"/>
        <v>2.7640144503688474E-5</v>
      </c>
      <c r="AI284" s="4">
        <f t="shared" si="177"/>
        <v>2.8053990408982685E-5</v>
      </c>
      <c r="AJ284" s="4">
        <f t="shared" si="177"/>
        <v>2.8443810369085866E-5</v>
      </c>
      <c r="AK284" s="4">
        <f t="shared" si="177"/>
        <v>2.8810152882359123E-5</v>
      </c>
      <c r="AL284" s="4">
        <f t="shared" si="177"/>
        <v>2.9153681876969338E-5</v>
      </c>
      <c r="AM284" s="4">
        <f t="shared" ref="AM284:BC284" si="178">(AM268-AM276)/AM$271</f>
        <v>2.9459153196676634E-5</v>
      </c>
      <c r="AN284" s="4">
        <f t="shared" si="178"/>
        <v>2.9732048953282684E-5</v>
      </c>
      <c r="AO284" s="4">
        <f t="shared" si="178"/>
        <v>2.9944309139538837E-5</v>
      </c>
      <c r="AP284" s="4">
        <f t="shared" si="178"/>
        <v>3.0067441823630791E-5</v>
      </c>
      <c r="AQ284" s="4">
        <f t="shared" si="178"/>
        <v>3.0095858859929013E-5</v>
      </c>
      <c r="AR284" s="4">
        <f t="shared" si="178"/>
        <v>3.0127628856547126E-5</v>
      </c>
      <c r="AS284" s="4">
        <f t="shared" si="178"/>
        <v>3.0205572711672364E-5</v>
      </c>
      <c r="AT284" s="4">
        <f t="shared" si="178"/>
        <v>3.0336956957987745E-5</v>
      </c>
      <c r="AU284" s="4">
        <f t="shared" si="178"/>
        <v>3.0506867081754252E-5</v>
      </c>
      <c r="AV284" s="4">
        <f t="shared" si="178"/>
        <v>3.0687896965816528E-5</v>
      </c>
      <c r="AW284" s="4">
        <f t="shared" si="178"/>
        <v>3.0737963343704044E-5</v>
      </c>
      <c r="AX284" s="4">
        <f t="shared" si="178"/>
        <v>3.0646029125951242E-5</v>
      </c>
      <c r="AY284" s="4">
        <f t="shared" si="178"/>
        <v>3.0452307919076673E-5</v>
      </c>
      <c r="AZ284" s="4">
        <f t="shared" si="178"/>
        <v>3.0200826091873444E-5</v>
      </c>
      <c r="BA284" s="4">
        <f t="shared" si="178"/>
        <v>2.9925617521152E-5</v>
      </c>
      <c r="BB284" s="4">
        <f t="shared" si="178"/>
        <v>8.4037079555275743E-6</v>
      </c>
      <c r="BC284" s="4">
        <f t="shared" si="178"/>
        <v>9.3309894264240709E-6</v>
      </c>
      <c r="BD284" s="4">
        <f t="shared" ref="BD284:BF284" si="179">(BD268-BD276)/BD$271</f>
        <v>1.0286919340891557E-5</v>
      </c>
      <c r="BE284" s="4">
        <f t="shared" si="179"/>
        <v>1.1269072019030989E-5</v>
      </c>
      <c r="BF284" s="4">
        <f t="shared" si="179"/>
        <v>1.227595699028493E-5</v>
      </c>
    </row>
    <row r="285" spans="1:58" x14ac:dyDescent="0.35">
      <c r="B285" t="s">
        <v>33</v>
      </c>
      <c r="C285" s="4">
        <f t="shared" ref="C285:AL285" si="180">(C269-C277)/C$271</f>
        <v>4.8528199281884648E-7</v>
      </c>
      <c r="D285" s="4">
        <f t="shared" si="180"/>
        <v>7.1581104694168273E-6</v>
      </c>
      <c r="E285" s="4">
        <f t="shared" si="180"/>
        <v>1.3329420491507757E-5</v>
      </c>
      <c r="F285" s="4">
        <f t="shared" si="180"/>
        <v>1.7877724536362102E-5</v>
      </c>
      <c r="G285" s="4">
        <f t="shared" si="180"/>
        <v>2.1583489265998758E-5</v>
      </c>
      <c r="H285" s="4">
        <f t="shared" si="180"/>
        <v>2.5488712551451518E-5</v>
      </c>
      <c r="I285" s="4">
        <f t="shared" si="180"/>
        <v>2.9721393764198923E-5</v>
      </c>
      <c r="J285" s="4">
        <f t="shared" si="180"/>
        <v>3.4095561072891684E-5</v>
      </c>
      <c r="K285" s="4">
        <f t="shared" si="180"/>
        <v>3.842789286132945E-5</v>
      </c>
      <c r="L285" s="4">
        <f t="shared" si="180"/>
        <v>4.2609678977392219E-5</v>
      </c>
      <c r="M285" s="4">
        <f t="shared" si="180"/>
        <v>4.6575734757735341E-5</v>
      </c>
      <c r="N285" s="4">
        <f t="shared" si="180"/>
        <v>5.0376457392222296E-5</v>
      </c>
      <c r="O285" s="4">
        <f t="shared" si="180"/>
        <v>5.4030058229191091E-5</v>
      </c>
      <c r="P285" s="4">
        <f t="shared" si="180"/>
        <v>5.7554603327792556E-5</v>
      </c>
      <c r="Q285" s="4">
        <f t="shared" si="180"/>
        <v>6.0955248014379123E-5</v>
      </c>
      <c r="R285" s="4">
        <f t="shared" si="180"/>
        <v>6.4208636212715939E-5</v>
      </c>
      <c r="S285" s="4">
        <f t="shared" si="180"/>
        <v>6.7306882124297906E-5</v>
      </c>
      <c r="T285" s="4">
        <f t="shared" si="180"/>
        <v>7.0226766890897751E-5</v>
      </c>
      <c r="U285" s="4">
        <f t="shared" si="180"/>
        <v>7.2953979227080855E-5</v>
      </c>
      <c r="V285" s="4">
        <f t="shared" si="180"/>
        <v>7.5488807425065264E-5</v>
      </c>
      <c r="W285" s="4">
        <f t="shared" si="180"/>
        <v>7.7866194123285009E-5</v>
      </c>
      <c r="X285" s="4">
        <f t="shared" si="180"/>
        <v>8.0074294066198061E-5</v>
      </c>
      <c r="Y285" s="4">
        <f t="shared" si="180"/>
        <v>8.2134460459125591E-5</v>
      </c>
      <c r="Z285" s="4">
        <f t="shared" si="180"/>
        <v>8.4062395453600512E-5</v>
      </c>
      <c r="AA285" s="4">
        <f t="shared" si="180"/>
        <v>8.5867375574680158E-5</v>
      </c>
      <c r="AB285" s="4">
        <f t="shared" si="180"/>
        <v>8.762312941350175E-5</v>
      </c>
      <c r="AC285" s="4">
        <f t="shared" si="180"/>
        <v>8.9266427240042859E-5</v>
      </c>
      <c r="AD285" s="4">
        <f t="shared" si="180"/>
        <v>9.0798929520264748E-5</v>
      </c>
      <c r="AE285" s="4">
        <f t="shared" si="180"/>
        <v>9.2221691791506496E-5</v>
      </c>
      <c r="AF285" s="4">
        <f t="shared" si="180"/>
        <v>9.3532515653757973E-5</v>
      </c>
      <c r="AG285" s="4">
        <f t="shared" si="180"/>
        <v>9.4726863265466287E-5</v>
      </c>
      <c r="AH285" s="4">
        <f t="shared" si="180"/>
        <v>9.5794458036090743E-5</v>
      </c>
      <c r="AI285" s="4">
        <f t="shared" si="180"/>
        <v>9.6730736129299461E-5</v>
      </c>
      <c r="AJ285" s="4">
        <f t="shared" si="180"/>
        <v>9.7533664663854801E-5</v>
      </c>
      <c r="AK285" s="4">
        <f t="shared" si="180"/>
        <v>9.8202184804117572E-5</v>
      </c>
      <c r="AL285" s="4">
        <f t="shared" si="180"/>
        <v>9.8735511315776133E-5</v>
      </c>
      <c r="AM285" s="4">
        <f t="shared" ref="AM285:BC285" si="181">(AM269-AM277)/AM$271</f>
        <v>9.9106979287311246E-5</v>
      </c>
      <c r="AN285" s="4">
        <f t="shared" si="181"/>
        <v>9.9313901764275993E-5</v>
      </c>
      <c r="AO285" s="4">
        <f t="shared" si="181"/>
        <v>9.9283028890888466E-5</v>
      </c>
      <c r="AP285" s="4">
        <f t="shared" si="181"/>
        <v>9.892042865551093E-5</v>
      </c>
      <c r="AQ285" s="4">
        <f t="shared" si="181"/>
        <v>9.8171639585339408E-5</v>
      </c>
      <c r="AR285" s="4">
        <f t="shared" si="181"/>
        <v>9.726984679815664E-5</v>
      </c>
      <c r="AS285" s="4">
        <f t="shared" si="181"/>
        <v>9.6452877752395931E-5</v>
      </c>
      <c r="AT285" s="4">
        <f t="shared" si="181"/>
        <v>9.5841185739202996E-5</v>
      </c>
      <c r="AU285" s="4">
        <f t="shared" si="181"/>
        <v>9.5405407596930869E-5</v>
      </c>
      <c r="AV285" s="4">
        <f t="shared" si="181"/>
        <v>9.5016147774339301E-5</v>
      </c>
      <c r="AW285" s="4">
        <f t="shared" si="181"/>
        <v>9.4234769249655964E-5</v>
      </c>
      <c r="AX285" s="4">
        <f t="shared" si="181"/>
        <v>9.2920392413481902E-5</v>
      </c>
      <c r="AY285" s="4">
        <f t="shared" si="181"/>
        <v>9.1150830304873365E-5</v>
      </c>
      <c r="AZ285" s="4">
        <f t="shared" si="181"/>
        <v>8.9082023217845098E-5</v>
      </c>
      <c r="BA285" s="4">
        <f t="shared" si="181"/>
        <v>8.6864223029936452E-5</v>
      </c>
      <c r="BB285" s="4">
        <f t="shared" si="181"/>
        <v>9.2316250345479334E-5</v>
      </c>
      <c r="BC285" s="4">
        <f t="shared" si="181"/>
        <v>1.0033992508310688E-4</v>
      </c>
      <c r="BD285" s="4">
        <f t="shared" ref="BD285:BF285" si="182">(BD269-BD277)/BD$271</f>
        <v>1.085000512414055E-4</v>
      </c>
      <c r="BE285" s="4">
        <f t="shared" si="182"/>
        <v>1.1676775366156194E-4</v>
      </c>
      <c r="BF285" s="4">
        <f t="shared" si="182"/>
        <v>1.2512125437130579E-4</v>
      </c>
    </row>
    <row r="287" spans="1:58" x14ac:dyDescent="0.35">
      <c r="A287" s="12" t="s">
        <v>21</v>
      </c>
      <c r="C287" s="7" t="s">
        <v>15</v>
      </c>
      <c r="D287" s="7" t="s">
        <v>16</v>
      </c>
      <c r="E287" s="7" t="s">
        <v>17</v>
      </c>
    </row>
    <row r="288" spans="1:58" x14ac:dyDescent="0.35">
      <c r="A288" t="s">
        <v>88</v>
      </c>
      <c r="B288" t="s">
        <v>26</v>
      </c>
      <c r="C288" s="4">
        <f>R279</f>
        <v>-1.5102329132327119E-3</v>
      </c>
      <c r="D288" s="4">
        <f>AB279</f>
        <v>-2.4525452258008507E-3</v>
      </c>
      <c r="E288" s="4">
        <f>AL279</f>
        <v>-3.2740997057254528E-3</v>
      </c>
    </row>
    <row r="289" spans="1:58" x14ac:dyDescent="0.35">
      <c r="B289" t="s">
        <v>7</v>
      </c>
      <c r="C289" s="4">
        <f t="shared" ref="C289:C294" si="183">R280</f>
        <v>-3.1081811958715273E-5</v>
      </c>
      <c r="D289" s="4">
        <f t="shared" ref="D289:D294" si="184">AB280</f>
        <v>2.0039644568922023E-5</v>
      </c>
      <c r="E289" s="4">
        <f t="shared" ref="E289:E294" si="185">AL280</f>
        <v>1.0576933034008147E-4</v>
      </c>
    </row>
    <row r="290" spans="1:58" x14ac:dyDescent="0.35">
      <c r="B290" t="s">
        <v>30</v>
      </c>
      <c r="C290" s="4">
        <f t="shared" si="183"/>
        <v>-8.0775271739786097E-4</v>
      </c>
      <c r="D290" s="4">
        <f t="shared" si="184"/>
        <v>-1.3871816206914992E-3</v>
      </c>
      <c r="E290" s="4">
        <f t="shared" si="185"/>
        <v>-1.8937604197771763E-3</v>
      </c>
    </row>
    <row r="291" spans="1:58" x14ac:dyDescent="0.35">
      <c r="B291" t="s">
        <v>28</v>
      </c>
      <c r="C291" s="4">
        <f t="shared" si="183"/>
        <v>-2.6270193697950001E-5</v>
      </c>
      <c r="D291" s="4">
        <f t="shared" si="184"/>
        <v>-4.6568266668731556E-5</v>
      </c>
      <c r="E291" s="4">
        <f t="shared" si="185"/>
        <v>-6.7518506706549454E-5</v>
      </c>
    </row>
    <row r="292" spans="1:58" x14ac:dyDescent="0.35">
      <c r="B292" t="s">
        <v>10</v>
      </c>
      <c r="C292" s="4">
        <f t="shared" si="183"/>
        <v>-7.2679016193004018E-4</v>
      </c>
      <c r="D292" s="4">
        <f t="shared" si="184"/>
        <v>-1.151121890727881E-3</v>
      </c>
      <c r="E292" s="4">
        <f t="shared" si="185"/>
        <v>-1.5464793553273935E-3</v>
      </c>
    </row>
    <row r="293" spans="1:58" x14ac:dyDescent="0.35">
      <c r="B293" t="s">
        <v>31</v>
      </c>
      <c r="C293" s="4">
        <f t="shared" si="183"/>
        <v>1.74535373605068E-5</v>
      </c>
      <c r="D293" s="4">
        <f t="shared" si="184"/>
        <v>2.4663745424305755E-5</v>
      </c>
      <c r="E293" s="4">
        <f t="shared" si="185"/>
        <v>2.9153681876969338E-5</v>
      </c>
    </row>
    <row r="294" spans="1:58" x14ac:dyDescent="0.35">
      <c r="B294" t="s">
        <v>33</v>
      </c>
      <c r="C294" s="4">
        <f t="shared" si="183"/>
        <v>6.4208636212715939E-5</v>
      </c>
      <c r="D294" s="4">
        <f t="shared" si="184"/>
        <v>8.762312941350175E-5</v>
      </c>
      <c r="E294" s="4">
        <f t="shared" si="185"/>
        <v>9.8735511315776133E-5</v>
      </c>
    </row>
    <row r="295" spans="1:58" x14ac:dyDescent="0.35">
      <c r="C295" s="4"/>
      <c r="D295" s="4"/>
      <c r="E295" s="4"/>
    </row>
    <row r="296" spans="1:58" x14ac:dyDescent="0.35">
      <c r="A296" s="12" t="s">
        <v>89</v>
      </c>
      <c r="C296" s="2">
        <v>42005</v>
      </c>
      <c r="D296" s="2">
        <v>42370</v>
      </c>
      <c r="E296" s="2">
        <v>42736</v>
      </c>
      <c r="F296" s="2">
        <v>43101</v>
      </c>
      <c r="G296" s="2">
        <v>43466</v>
      </c>
      <c r="H296" s="2">
        <v>43831</v>
      </c>
      <c r="I296" s="2">
        <v>44197</v>
      </c>
      <c r="J296" s="2">
        <v>44562</v>
      </c>
      <c r="K296" s="2">
        <v>44927</v>
      </c>
      <c r="L296" s="2">
        <v>45292</v>
      </c>
      <c r="M296" s="2">
        <v>45658</v>
      </c>
      <c r="N296" s="2">
        <v>46023</v>
      </c>
      <c r="O296" s="2">
        <v>46388</v>
      </c>
      <c r="P296" s="2">
        <v>46753</v>
      </c>
      <c r="Q296" s="2">
        <v>47119</v>
      </c>
      <c r="R296" s="2">
        <v>47484</v>
      </c>
      <c r="S296" s="2">
        <v>47849</v>
      </c>
      <c r="T296" s="2">
        <v>48214</v>
      </c>
      <c r="U296" s="2">
        <v>48580</v>
      </c>
      <c r="V296" s="2">
        <v>48945</v>
      </c>
      <c r="W296" s="2">
        <v>49310</v>
      </c>
      <c r="X296" s="2">
        <v>49675</v>
      </c>
      <c r="Y296" s="2">
        <v>50041</v>
      </c>
      <c r="Z296" s="2">
        <v>50406</v>
      </c>
      <c r="AA296" s="2">
        <v>50771</v>
      </c>
      <c r="AB296" s="2">
        <v>51136</v>
      </c>
      <c r="AC296" s="2">
        <v>51502</v>
      </c>
      <c r="AD296" s="2">
        <v>51867</v>
      </c>
      <c r="AE296" s="2">
        <v>52232</v>
      </c>
      <c r="AF296" s="2">
        <v>52597</v>
      </c>
      <c r="AG296" s="2">
        <v>52963</v>
      </c>
      <c r="AH296" s="2">
        <v>53328</v>
      </c>
      <c r="AI296" s="2">
        <v>53693</v>
      </c>
      <c r="AJ296" s="2">
        <v>54058</v>
      </c>
      <c r="AK296" s="2">
        <v>54424</v>
      </c>
      <c r="AL296" s="2">
        <v>54789</v>
      </c>
      <c r="AM296" s="2">
        <v>54790</v>
      </c>
      <c r="AN296" s="2">
        <v>54791</v>
      </c>
      <c r="AO296" s="2">
        <v>54792</v>
      </c>
      <c r="AP296" s="2">
        <v>54793</v>
      </c>
      <c r="AQ296" s="2">
        <v>54794</v>
      </c>
      <c r="AR296" s="2">
        <v>54795</v>
      </c>
      <c r="AS296" s="2">
        <v>54796</v>
      </c>
      <c r="AT296" s="2">
        <v>54797</v>
      </c>
      <c r="AU296" s="2">
        <v>54798</v>
      </c>
      <c r="AV296" s="2">
        <v>54799</v>
      </c>
      <c r="AW296" s="2">
        <v>54800</v>
      </c>
      <c r="AX296" s="2">
        <v>54801</v>
      </c>
      <c r="AY296" s="2">
        <v>54802</v>
      </c>
      <c r="AZ296" s="2">
        <v>54803</v>
      </c>
      <c r="BA296" s="2">
        <v>54804</v>
      </c>
      <c r="BB296" s="2">
        <v>54805</v>
      </c>
      <c r="BC296" s="2">
        <v>54806</v>
      </c>
      <c r="BD296" s="2">
        <v>54807</v>
      </c>
      <c r="BE296" s="2">
        <v>54808</v>
      </c>
      <c r="BF296" s="2">
        <v>54809</v>
      </c>
    </row>
    <row r="297" spans="1:58" x14ac:dyDescent="0.35">
      <c r="A297" t="s">
        <v>39</v>
      </c>
      <c r="B297" t="s">
        <v>56</v>
      </c>
      <c r="C297" s="6">
        <f>[1]Results!F3</f>
        <v>32317.940999999999</v>
      </c>
      <c r="D297" s="6">
        <f>[1]Results!G3</f>
        <v>31939.351060000001</v>
      </c>
      <c r="E297" s="6">
        <f>[1]Results!H3</f>
        <v>31768.191719999999</v>
      </c>
      <c r="F297" s="6">
        <f>[1]Results!I3</f>
        <v>31737.829959999999</v>
      </c>
      <c r="G297" s="6">
        <f>[1]Results!J3</f>
        <v>31803.955259999999</v>
      </c>
      <c r="H297" s="6">
        <f>[1]Results!K3</f>
        <v>31937.514220000001</v>
      </c>
      <c r="I297" s="6">
        <f>[1]Results!L3</f>
        <v>32115.51138</v>
      </c>
      <c r="J297" s="6">
        <f>[1]Results!M3</f>
        <v>32325.26943</v>
      </c>
      <c r="K297" s="6">
        <f>[1]Results!N3</f>
        <v>32558.188969999999</v>
      </c>
      <c r="L297" s="6">
        <f>[1]Results!O3</f>
        <v>32808.313889999998</v>
      </c>
      <c r="M297" s="6">
        <f>[1]Results!P3</f>
        <v>33078.186179999997</v>
      </c>
      <c r="N297" s="6">
        <f>[1]Results!Q3</f>
        <v>33357.535109999997</v>
      </c>
      <c r="O297" s="6">
        <f>[1]Results!R3</f>
        <v>33643.84994</v>
      </c>
      <c r="P297" s="6">
        <f>[1]Results!S3</f>
        <v>33935.092490000003</v>
      </c>
      <c r="Q297" s="6">
        <f>[1]Results!T3</f>
        <v>34229.704729999998</v>
      </c>
      <c r="R297" s="6">
        <f>[1]Results!U3</f>
        <v>34526.539510000002</v>
      </c>
      <c r="S297" s="6">
        <f>[1]Results!V3</f>
        <v>34824.762110000003</v>
      </c>
      <c r="T297" s="6">
        <f>[1]Results!W3</f>
        <v>35123.76324</v>
      </c>
      <c r="U297" s="6">
        <f>[1]Results!X3</f>
        <v>35423.086609999998</v>
      </c>
      <c r="V297" s="6">
        <f>[1]Results!Y3</f>
        <v>35722.376519999998</v>
      </c>
      <c r="W297" s="6">
        <f>[1]Results!Z3</f>
        <v>36016.488279999998</v>
      </c>
      <c r="X297" s="6">
        <f>[1]Results!AA3</f>
        <v>36310.366090000003</v>
      </c>
      <c r="Y297" s="6">
        <f>[1]Results!AB3</f>
        <v>36603.908589999999</v>
      </c>
      <c r="Z297" s="6">
        <f>[1]Results!AC3</f>
        <v>36897.089549999997</v>
      </c>
      <c r="AA297" s="6">
        <f>[1]Results!AD3</f>
        <v>37189.852480000001</v>
      </c>
      <c r="AB297" s="6">
        <f>[1]Results!AE3</f>
        <v>37468.418180000001</v>
      </c>
      <c r="AC297" s="6">
        <f>[1]Results!AF3</f>
        <v>37740.819349999998</v>
      </c>
      <c r="AD297" s="6">
        <f>[1]Results!AG3</f>
        <v>38007.610309999996</v>
      </c>
      <c r="AE297" s="6">
        <f>[1]Results!AH3</f>
        <v>38269.616699999999</v>
      </c>
      <c r="AF297" s="6">
        <f>[1]Results!AI3</f>
        <v>38527.714789999998</v>
      </c>
      <c r="AG297" s="6">
        <f>[1]Results!AJ3</f>
        <v>38782.708189999998</v>
      </c>
      <c r="AH297" s="6">
        <f>[1]Results!AK3</f>
        <v>39035.281309999998</v>
      </c>
      <c r="AI297" s="6">
        <f>[1]Results!AL3</f>
        <v>39285.994639999997</v>
      </c>
      <c r="AJ297" s="6">
        <f>[1]Results!AM3</f>
        <v>39535.303099999997</v>
      </c>
      <c r="AK297" s="6">
        <f>[1]Results!AN3</f>
        <v>39783.5821</v>
      </c>
      <c r="AL297" s="6">
        <f>[1]Results!AO3</f>
        <v>40031.151830000003</v>
      </c>
      <c r="AM297" s="6">
        <f>[1]Results!AP3</f>
        <v>40275.203150000001</v>
      </c>
      <c r="AN297" s="6">
        <f>[1]Results!AQ3</f>
        <v>40516.205370000003</v>
      </c>
      <c r="AO297" s="6">
        <f>[1]Results!AR3</f>
        <v>40754.676310000003</v>
      </c>
      <c r="AP297" s="6">
        <f>[1]Results!AS3</f>
        <v>40991.210679999997</v>
      </c>
      <c r="AQ297" s="6">
        <f>[1]Results!AT3</f>
        <v>41226.437819999999</v>
      </c>
      <c r="AR297" s="6">
        <f>[1]Results!AU3</f>
        <v>41460.972439999998</v>
      </c>
      <c r="AS297" s="6">
        <f>[1]Results!AV3</f>
        <v>41695.375950000001</v>
      </c>
      <c r="AT297" s="6">
        <f>[1]Results!AW3</f>
        <v>41930.137009999999</v>
      </c>
      <c r="AU297" s="6">
        <f>[1]Results!AX3</f>
        <v>42165.667159999997</v>
      </c>
      <c r="AV297" s="6">
        <f>[1]Results!AY3</f>
        <v>42402.304819999998</v>
      </c>
      <c r="AW297" s="6">
        <f>[1]Results!AZ3</f>
        <v>42640.620459999998</v>
      </c>
      <c r="AX297" s="6">
        <f>[1]Results!BA3</f>
        <v>42880.748749999999</v>
      </c>
      <c r="AY297" s="6">
        <f>[1]Results!BB3</f>
        <v>43122.228230000001</v>
      </c>
      <c r="AZ297" s="6">
        <f>[1]Results!BC3</f>
        <v>43364.557209999999</v>
      </c>
      <c r="BA297" s="6">
        <f>[1]Results!BD3</f>
        <v>43607.449289999997</v>
      </c>
      <c r="BB297" s="6">
        <f>[1]Results!BE3</f>
        <v>46008.79161</v>
      </c>
      <c r="BC297" s="6">
        <f>[1]Results!BF3</f>
        <v>46338.604979999996</v>
      </c>
      <c r="BD297" s="6">
        <f>[1]Results!BG3</f>
        <v>46669.607629999999</v>
      </c>
      <c r="BE297" s="6">
        <f>[1]Results!BH3</f>
        <v>47001.910230000001</v>
      </c>
      <c r="BF297" s="6">
        <f>[1]Results!BI3</f>
        <v>47335.641969999997</v>
      </c>
    </row>
    <row r="298" spans="1:58" x14ac:dyDescent="0.35">
      <c r="B298" t="s">
        <v>53</v>
      </c>
      <c r="C298" s="6">
        <f>[1]Results!F4</f>
        <v>32271.24</v>
      </c>
      <c r="D298" s="6">
        <f>[1]Results!G4</f>
        <v>31874.833890000002</v>
      </c>
      <c r="E298" s="6">
        <f>[1]Results!H4</f>
        <v>31684.918229999999</v>
      </c>
      <c r="F298" s="6">
        <f>[1]Results!I4</f>
        <v>31635.349719999998</v>
      </c>
      <c r="G298" s="6">
        <f>[1]Results!J4</f>
        <v>31682.127850000001</v>
      </c>
      <c r="H298" s="6">
        <f>[1]Results!K4</f>
        <v>31796.38855</v>
      </c>
      <c r="I298" s="6">
        <f>[1]Results!L4</f>
        <v>31955.28557</v>
      </c>
      <c r="J298" s="6">
        <f>[1]Results!M4</f>
        <v>32146.20822</v>
      </c>
      <c r="K298" s="6">
        <f>[1]Results!N4</f>
        <v>32360.59434</v>
      </c>
      <c r="L298" s="6">
        <f>[1]Results!O4</f>
        <v>32592.506450000001</v>
      </c>
      <c r="M298" s="6">
        <f>[1]Results!P4</f>
        <v>32844.42914</v>
      </c>
      <c r="N298" s="6">
        <f>[1]Results!Q4</f>
        <v>33106.156289999999</v>
      </c>
      <c r="O298" s="6">
        <f>[1]Results!R4</f>
        <v>33375.173629999998</v>
      </c>
      <c r="P298" s="6">
        <f>[1]Results!S4</f>
        <v>33649.436690000002</v>
      </c>
      <c r="Q298" s="6">
        <f>[1]Results!T4</f>
        <v>33927.377840000001</v>
      </c>
      <c r="R298" s="6">
        <f>[1]Results!U4</f>
        <v>34207.837330000002</v>
      </c>
      <c r="S298" s="6">
        <f>[1]Results!V4</f>
        <v>34489.965450000003</v>
      </c>
      <c r="T298" s="6">
        <f>[1]Results!W4</f>
        <v>34773.136140000002</v>
      </c>
      <c r="U298" s="6">
        <f>[1]Results!X4</f>
        <v>35056.875010000003</v>
      </c>
      <c r="V298" s="6">
        <f>[1]Results!Y4</f>
        <v>35340.807240000002</v>
      </c>
      <c r="W298" s="6">
        <f>[1]Results!Z4</f>
        <v>35619.816500000001</v>
      </c>
      <c r="X298" s="6">
        <f>[1]Results!AA4</f>
        <v>35898.776440000001</v>
      </c>
      <c r="Y298" s="6">
        <f>[1]Results!AB4</f>
        <v>36177.562420000002</v>
      </c>
      <c r="Z298" s="6">
        <f>[1]Results!AC4</f>
        <v>36456.123399999997</v>
      </c>
      <c r="AA298" s="6">
        <f>[1]Results!AD4</f>
        <v>36734.377529999998</v>
      </c>
      <c r="AB298" s="6">
        <f>[1]Results!AE4</f>
        <v>36998.661039999999</v>
      </c>
      <c r="AC298" s="6">
        <f>[1]Results!AF4</f>
        <v>37256.902309999998</v>
      </c>
      <c r="AD298" s="6">
        <f>[1]Results!AG4</f>
        <v>37509.6227</v>
      </c>
      <c r="AE298" s="6">
        <f>[1]Results!AH4</f>
        <v>37757.609859999997</v>
      </c>
      <c r="AF298" s="6">
        <f>[1]Results!AI4</f>
        <v>38001.699099999998</v>
      </c>
      <c r="AG298" s="6">
        <f>[1]Results!AJ4</f>
        <v>38242.651319999997</v>
      </c>
      <c r="AH298" s="6">
        <f>[1]Results!AK4</f>
        <v>38481.106879999999</v>
      </c>
      <c r="AI298" s="6">
        <f>[1]Results!AL4</f>
        <v>38717.580900000001</v>
      </c>
      <c r="AJ298" s="6">
        <f>[1]Results!AM4</f>
        <v>38952.48143</v>
      </c>
      <c r="AK298" s="6">
        <f>[1]Results!AN4</f>
        <v>39186.135130000002</v>
      </c>
      <c r="AL298" s="6">
        <f>[1]Results!AO4</f>
        <v>39418.81121</v>
      </c>
      <c r="AM298" s="6">
        <f>[1]Results!AP4</f>
        <v>39647.683830000002</v>
      </c>
      <c r="AN298" s="6">
        <f>[1]Results!AQ4</f>
        <v>39873.165889999997</v>
      </c>
      <c r="AO298" s="6">
        <f>[1]Results!AR4</f>
        <v>40095.714460000003</v>
      </c>
      <c r="AP298" s="6">
        <f>[1]Results!AS4</f>
        <v>40315.858350000002</v>
      </c>
      <c r="AQ298" s="6">
        <f>[1]Results!AT4</f>
        <v>40534.156060000001</v>
      </c>
      <c r="AR298" s="6">
        <f>[1]Results!AU4</f>
        <v>40751.146630000003</v>
      </c>
      <c r="AS298" s="6">
        <f>[1]Results!AV4</f>
        <v>40967.311110000002</v>
      </c>
      <c r="AT298" s="6">
        <f>[1]Results!AW4</f>
        <v>41183.053070000002</v>
      </c>
      <c r="AU298" s="6">
        <f>[1]Results!AX4</f>
        <v>41398.693850000003</v>
      </c>
      <c r="AV298" s="6">
        <f>[1]Results!AY4</f>
        <v>41614.476199999997</v>
      </c>
      <c r="AW298" s="6">
        <f>[1]Results!AZ4</f>
        <v>41830.86421</v>
      </c>
      <c r="AX298" s="6">
        <f>[1]Results!BA4</f>
        <v>42047.883710000002</v>
      </c>
      <c r="AY298" s="6">
        <f>[1]Results!BB4</f>
        <v>42264.965129999997</v>
      </c>
      <c r="AZ298" s="6">
        <f>[1]Results!BC4</f>
        <v>42481.491499999996</v>
      </c>
      <c r="BA298" s="6">
        <f>[1]Results!BD4</f>
        <v>42697.04952</v>
      </c>
      <c r="BB298" s="6">
        <f>[1]Results!BE4</f>
        <v>45733.742980000003</v>
      </c>
      <c r="BC298" s="6">
        <f>[1]Results!BF4</f>
        <v>46096.605170000003</v>
      </c>
      <c r="BD298" s="6">
        <f>[1]Results!BG4</f>
        <v>46464.389629999998</v>
      </c>
      <c r="BE298" s="6">
        <f>[1]Results!BH4</f>
        <v>46837.523480000003</v>
      </c>
      <c r="BF298" s="6">
        <f>[1]Results!BI4</f>
        <v>47216.482490000002</v>
      </c>
    </row>
    <row r="299" spans="1:58" x14ac:dyDescent="0.35">
      <c r="B299" t="s">
        <v>54</v>
      </c>
      <c r="C299" s="6">
        <f>[1]Results!F20</f>
        <v>1.9359999999999999</v>
      </c>
      <c r="D299" s="6">
        <f>[1]Results!G20</f>
        <v>1.9926811069999999</v>
      </c>
      <c r="E299" s="6">
        <f>[1]Results!H20</f>
        <v>2.0605754809999999</v>
      </c>
      <c r="F299" s="6">
        <f>[1]Results!I20</f>
        <v>2.1347755259999999</v>
      </c>
      <c r="G299" s="6">
        <f>[1]Results!J20</f>
        <v>2.2121081760000001</v>
      </c>
      <c r="H299" s="6">
        <f>[1]Results!K20</f>
        <v>2.2905826399999998</v>
      </c>
      <c r="I299" s="6">
        <f>[1]Results!L20</f>
        <v>2.3686494059999998</v>
      </c>
      <c r="J299" s="6">
        <f>[1]Results!M20</f>
        <v>2.4455663470000002</v>
      </c>
      <c r="K299" s="6">
        <f>[1]Results!N20</f>
        <v>2.5208953850000002</v>
      </c>
      <c r="L299" s="6">
        <f>[1]Results!O20</f>
        <v>2.594390352</v>
      </c>
      <c r="M299" s="6">
        <f>[1]Results!P20</f>
        <v>2.6664891919999998</v>
      </c>
      <c r="N299" s="6">
        <f>[1]Results!Q20</f>
        <v>2.736552563</v>
      </c>
      <c r="O299" s="6">
        <f>[1]Results!R20</f>
        <v>2.8045605550000001</v>
      </c>
      <c r="P299" s="6">
        <f>[1]Results!S20</f>
        <v>2.870517532</v>
      </c>
      <c r="Q299" s="6">
        <f>[1]Results!T20</f>
        <v>2.9344542800000002</v>
      </c>
      <c r="R299" s="6">
        <f>[1]Results!U20</f>
        <v>2.9964236799999999</v>
      </c>
      <c r="S299" s="6">
        <f>[1]Results!V20</f>
        <v>3.0564937689999998</v>
      </c>
      <c r="T299" s="6">
        <f>[1]Results!W20</f>
        <v>3.1147415679999999</v>
      </c>
      <c r="U299" s="6">
        <f>[1]Results!X20</f>
        <v>3.1712479330000001</v>
      </c>
      <c r="V299" s="6">
        <f>[1]Results!Y20</f>
        <v>3.226093927</v>
      </c>
      <c r="W299" s="6">
        <f>[1]Results!Z20</f>
        <v>3.2789547610000001</v>
      </c>
      <c r="X299" s="6">
        <f>[1]Results!AA20</f>
        <v>3.3303317629999998</v>
      </c>
      <c r="Y299" s="6">
        <f>[1]Results!AB20</f>
        <v>3.3803068760000001</v>
      </c>
      <c r="Z299" s="6">
        <f>[1]Results!AC20</f>
        <v>3.4289622959999999</v>
      </c>
      <c r="AA299" s="6">
        <f>[1]Results!AD20</f>
        <v>3.476372155</v>
      </c>
      <c r="AB299" s="6">
        <f>[1]Results!AE20</f>
        <v>3.5214643880000001</v>
      </c>
      <c r="AC299" s="6">
        <f>[1]Results!AF20</f>
        <v>3.5649585799999999</v>
      </c>
      <c r="AD299" s="6">
        <f>[1]Results!AG20</f>
        <v>3.6069589049999999</v>
      </c>
      <c r="AE299" s="6">
        <f>[1]Results!AH20</f>
        <v>3.6475888080000001</v>
      </c>
      <c r="AF299" s="6">
        <f>[1]Results!AI20</f>
        <v>3.6869731689999998</v>
      </c>
      <c r="AG299" s="6">
        <f>[1]Results!AJ20</f>
        <v>3.725228274</v>
      </c>
      <c r="AH299" s="6">
        <f>[1]Results!AK20</f>
        <v>3.7624579909999998</v>
      </c>
      <c r="AI299" s="6">
        <f>[1]Results!AL20</f>
        <v>3.798753359</v>
      </c>
      <c r="AJ299" s="6">
        <f>[1]Results!AM20</f>
        <v>3.8341941020000001</v>
      </c>
      <c r="AK299" s="6">
        <f>[1]Results!AN20</f>
        <v>3.868850787</v>
      </c>
      <c r="AL299" s="6">
        <f>[1]Results!AO20</f>
        <v>3.9027868859999999</v>
      </c>
      <c r="AM299" s="6">
        <f>[1]Results!AP20</f>
        <v>3.935803639</v>
      </c>
      <c r="AN299" s="6">
        <f>[1]Results!AQ20</f>
        <v>3.9679683300000002</v>
      </c>
      <c r="AO299" s="6">
        <f>[1]Results!AR20</f>
        <v>3.999350443</v>
      </c>
      <c r="AP299" s="6">
        <f>[1]Results!AS20</f>
        <v>4.0300241379999999</v>
      </c>
      <c r="AQ299" s="6">
        <f>[1]Results!AT20</f>
        <v>4.0600648880000003</v>
      </c>
      <c r="AR299" s="6">
        <f>[1]Results!AU20</f>
        <v>4.0895454679999999</v>
      </c>
      <c r="AS299" s="6">
        <f>[1]Results!AV20</f>
        <v>4.1185327579999997</v>
      </c>
      <c r="AT299" s="6">
        <f>[1]Results!AW20</f>
        <v>4.1470860890000001</v>
      </c>
      <c r="AU299" s="6">
        <f>[1]Results!AX20</f>
        <v>4.1752568200000004</v>
      </c>
      <c r="AV299" s="6">
        <f>[1]Results!AY20</f>
        <v>4.2030885939999996</v>
      </c>
      <c r="AW299" s="6">
        <f>[1]Results!AZ20</f>
        <v>4.2306425110000001</v>
      </c>
      <c r="AX299" s="6">
        <f>[1]Results!BA20</f>
        <v>4.2579420649999999</v>
      </c>
      <c r="AY299" s="6">
        <f>[1]Results!BB20</f>
        <v>4.2849594340000001</v>
      </c>
      <c r="AZ299" s="6">
        <f>[1]Results!BC20</f>
        <v>4.3116608269999999</v>
      </c>
      <c r="BA299" s="6">
        <f>[1]Results!BD20</f>
        <v>4.3380276420000001</v>
      </c>
      <c r="BB299" s="6">
        <f>[1]Results!BE20</f>
        <v>4.6286853649999999</v>
      </c>
      <c r="BC299" s="6">
        <f>[1]Results!BF20</f>
        <v>4.6688759529999997</v>
      </c>
      <c r="BD299" s="6">
        <f>[1]Results!BG20</f>
        <v>4.7093404809999999</v>
      </c>
      <c r="BE299" s="6">
        <f>[1]Results!BH20</f>
        <v>4.7501298930000004</v>
      </c>
      <c r="BF299" s="6">
        <f>[1]Results!BI20</f>
        <v>4.7912988260000002</v>
      </c>
    </row>
    <row r="300" spans="1:58" x14ac:dyDescent="0.35">
      <c r="B300" t="s">
        <v>55</v>
      </c>
      <c r="C300" s="6">
        <f>[1]Results!F12</f>
        <v>44.765000000000001</v>
      </c>
      <c r="D300" s="6">
        <f>[1]Results!G12</f>
        <v>62.524489260000003</v>
      </c>
      <c r="E300" s="6">
        <f>[1]Results!H12</f>
        <v>81.212913090000001</v>
      </c>
      <c r="F300" s="6">
        <f>[1]Results!I12</f>
        <v>100.34546640000001</v>
      </c>
      <c r="G300" s="6">
        <f>[1]Results!J12</f>
        <v>119.6152986</v>
      </c>
      <c r="H300" s="6">
        <f>[1]Results!K12</f>
        <v>138.83508409999999</v>
      </c>
      <c r="I300" s="6">
        <f>[1]Results!L12</f>
        <v>157.85716120000001</v>
      </c>
      <c r="J300" s="6">
        <f>[1]Results!M12</f>
        <v>176.6156373</v>
      </c>
      <c r="K300" s="6">
        <f>[1]Results!N12</f>
        <v>195.07372649999999</v>
      </c>
      <c r="L300" s="6">
        <f>[1]Results!O12</f>
        <v>213.2130421</v>
      </c>
      <c r="M300" s="6">
        <f>[1]Results!P12</f>
        <v>231.09054839999999</v>
      </c>
      <c r="N300" s="6">
        <f>[1]Results!Q12</f>
        <v>248.64227</v>
      </c>
      <c r="O300" s="6">
        <f>[1]Results!R12</f>
        <v>265.87175159999998</v>
      </c>
      <c r="P300" s="6">
        <f>[1]Results!S12</f>
        <v>282.78528399999999</v>
      </c>
      <c r="Q300" s="6">
        <f>[1]Results!T12</f>
        <v>299.39243449999998</v>
      </c>
      <c r="R300" s="6">
        <f>[1]Results!U12</f>
        <v>315.70575830000001</v>
      </c>
      <c r="S300" s="6">
        <f>[1]Results!V12</f>
        <v>331.74016760000001</v>
      </c>
      <c r="T300" s="6">
        <f>[1]Results!W12</f>
        <v>347.51235800000001</v>
      </c>
      <c r="U300" s="6">
        <f>[1]Results!X12</f>
        <v>363.04034830000001</v>
      </c>
      <c r="V300" s="6">
        <f>[1]Results!Y12</f>
        <v>378.34317950000002</v>
      </c>
      <c r="W300" s="6">
        <f>[1]Results!Z12</f>
        <v>393.39283289999997</v>
      </c>
      <c r="X300" s="6">
        <f>[1]Results!AA12</f>
        <v>408.25931809999997</v>
      </c>
      <c r="Y300" s="6">
        <f>[1]Results!AB12</f>
        <v>422.96586300000001</v>
      </c>
      <c r="Z300" s="6">
        <f>[1]Results!AC12</f>
        <v>437.53719050000001</v>
      </c>
      <c r="AA300" s="6">
        <f>[1]Results!AD12</f>
        <v>451.99858360000002</v>
      </c>
      <c r="AB300" s="6">
        <f>[1]Results!AE12</f>
        <v>466.23568010000002</v>
      </c>
      <c r="AC300" s="6">
        <f>[1]Results!AF12</f>
        <v>480.3520848</v>
      </c>
      <c r="AD300" s="6">
        <f>[1]Results!AG12</f>
        <v>494.38064900000001</v>
      </c>
      <c r="AE300" s="6">
        <f>[1]Results!AH12</f>
        <v>508.35924949999998</v>
      </c>
      <c r="AF300" s="6">
        <f>[1]Results!AI12</f>
        <v>522.32871079999995</v>
      </c>
      <c r="AG300" s="6">
        <f>[1]Results!AJ12</f>
        <v>536.33163660000002</v>
      </c>
      <c r="AH300" s="6">
        <f>[1]Results!AK12</f>
        <v>550.41197350000004</v>
      </c>
      <c r="AI300" s="6">
        <f>[1]Results!AL12</f>
        <v>564.61498589999997</v>
      </c>
      <c r="AJ300" s="6">
        <f>[1]Results!AM12</f>
        <v>578.98747530000003</v>
      </c>
      <c r="AK300" s="6">
        <f>[1]Results!AN12</f>
        <v>593.5781164</v>
      </c>
      <c r="AL300" s="6">
        <f>[1]Results!AO12</f>
        <v>608.43782329999999</v>
      </c>
      <c r="AM300" s="6">
        <f>[1]Results!AP12</f>
        <v>623.58350780000001</v>
      </c>
      <c r="AN300" s="6">
        <f>[1]Results!AQ12</f>
        <v>639.07150249999995</v>
      </c>
      <c r="AO300" s="6">
        <f>[1]Results!AR12</f>
        <v>654.96250339999995</v>
      </c>
      <c r="AP300" s="6">
        <f>[1]Results!AS12</f>
        <v>671.32230270000002</v>
      </c>
      <c r="AQ300" s="6">
        <f>[1]Results!AT12</f>
        <v>688.22169469999994</v>
      </c>
      <c r="AR300" s="6">
        <f>[1]Results!AU12</f>
        <v>705.73626999999999</v>
      </c>
      <c r="AS300" s="6">
        <f>[1]Results!AV12</f>
        <v>723.94630359999996</v>
      </c>
      <c r="AT300" s="6">
        <f>[1]Results!AW12</f>
        <v>742.93685370000003</v>
      </c>
      <c r="AU300" s="6">
        <f>[1]Results!AX12</f>
        <v>762.79805229999999</v>
      </c>
      <c r="AV300" s="6">
        <f>[1]Results!AY12</f>
        <v>783.62552670000002</v>
      </c>
      <c r="AW300" s="6">
        <f>[1]Results!AZ12</f>
        <v>805.52559880000001</v>
      </c>
      <c r="AX300" s="6">
        <f>[1]Results!BA12</f>
        <v>828.60709129999998</v>
      </c>
      <c r="AY300" s="6">
        <f>[1]Results!BB12</f>
        <v>852.97813710000003</v>
      </c>
      <c r="AZ300" s="6">
        <f>[1]Results!BC12</f>
        <v>878.75404060000005</v>
      </c>
      <c r="BA300" s="6">
        <f>[1]Results!BD12</f>
        <v>906.06173360000003</v>
      </c>
      <c r="BB300" s="6">
        <f>[1]Results!BE12</f>
        <v>270.4199448</v>
      </c>
      <c r="BC300" s="6">
        <f>[1]Results!BF12</f>
        <v>237.33092400000001</v>
      </c>
      <c r="BD300" s="6">
        <f>[1]Results!BG12</f>
        <v>200.5086518</v>
      </c>
      <c r="BE300" s="6">
        <f>[1]Results!BH12</f>
        <v>159.6366142</v>
      </c>
      <c r="BF300" s="6">
        <f>[1]Results!BI12</f>
        <v>114.3681741</v>
      </c>
    </row>
    <row r="302" spans="1:58" x14ac:dyDescent="0.35">
      <c r="A302" s="12" t="s">
        <v>89</v>
      </c>
      <c r="C302" s="2">
        <v>42005</v>
      </c>
      <c r="D302" s="2">
        <v>42370</v>
      </c>
      <c r="E302" s="2">
        <v>42736</v>
      </c>
      <c r="F302" s="2">
        <v>43101</v>
      </c>
      <c r="G302" s="2">
        <v>43466</v>
      </c>
      <c r="H302" s="2">
        <v>43831</v>
      </c>
      <c r="I302" s="2">
        <v>44197</v>
      </c>
      <c r="J302" s="2">
        <v>44562</v>
      </c>
      <c r="K302" s="2">
        <v>44927</v>
      </c>
      <c r="L302" s="2">
        <v>45292</v>
      </c>
      <c r="M302" s="2">
        <v>45658</v>
      </c>
      <c r="N302" s="2">
        <v>46023</v>
      </c>
      <c r="O302" s="2">
        <v>46388</v>
      </c>
      <c r="P302" s="2">
        <v>46753</v>
      </c>
      <c r="Q302" s="2">
        <v>47119</v>
      </c>
      <c r="R302" s="2">
        <v>47484</v>
      </c>
      <c r="S302" s="2">
        <v>47849</v>
      </c>
      <c r="T302" s="2">
        <v>48214</v>
      </c>
      <c r="U302" s="2">
        <v>48580</v>
      </c>
      <c r="V302" s="2">
        <v>48945</v>
      </c>
      <c r="W302" s="2">
        <v>49310</v>
      </c>
      <c r="X302" s="2">
        <v>49675</v>
      </c>
      <c r="Y302" s="2">
        <v>50041</v>
      </c>
      <c r="Z302" s="2">
        <v>50406</v>
      </c>
      <c r="AA302" s="2">
        <v>50771</v>
      </c>
      <c r="AB302" s="2">
        <v>51136</v>
      </c>
      <c r="AC302" s="2">
        <v>51502</v>
      </c>
      <c r="AD302" s="2">
        <v>51867</v>
      </c>
      <c r="AE302" s="2">
        <v>52232</v>
      </c>
      <c r="AF302" s="2">
        <v>52597</v>
      </c>
      <c r="AG302" s="2">
        <v>52963</v>
      </c>
      <c r="AH302" s="2">
        <v>53328</v>
      </c>
      <c r="AI302" s="2">
        <v>53693</v>
      </c>
      <c r="AJ302" s="2">
        <v>54058</v>
      </c>
      <c r="AK302" s="2">
        <v>54424</v>
      </c>
      <c r="AL302" s="2">
        <v>54789</v>
      </c>
      <c r="AM302" s="2">
        <v>54790</v>
      </c>
      <c r="AN302" s="2">
        <v>54791</v>
      </c>
      <c r="AO302" s="2">
        <v>54792</v>
      </c>
      <c r="AP302" s="2">
        <v>54793</v>
      </c>
      <c r="AQ302" s="2">
        <v>54794</v>
      </c>
      <c r="AR302" s="2">
        <v>54795</v>
      </c>
      <c r="AS302" s="2">
        <v>54796</v>
      </c>
      <c r="AT302" s="2">
        <v>54797</v>
      </c>
      <c r="AU302" s="2">
        <v>54798</v>
      </c>
      <c r="AV302" s="2">
        <v>54799</v>
      </c>
      <c r="AW302" s="2">
        <v>54800</v>
      </c>
      <c r="AX302" s="2">
        <v>54801</v>
      </c>
      <c r="AY302" s="2">
        <v>54802</v>
      </c>
      <c r="AZ302" s="2">
        <v>54803</v>
      </c>
      <c r="BA302" s="2">
        <v>54804</v>
      </c>
      <c r="BB302" s="2">
        <v>54805</v>
      </c>
      <c r="BC302" s="2">
        <v>54806</v>
      </c>
      <c r="BD302" s="2">
        <v>54807</v>
      </c>
      <c r="BE302" s="2">
        <v>54808</v>
      </c>
      <c r="BF302" s="2">
        <v>54809</v>
      </c>
    </row>
    <row r="303" spans="1:58" x14ac:dyDescent="0.35">
      <c r="A303" t="s">
        <v>38</v>
      </c>
      <c r="B303" t="s">
        <v>56</v>
      </c>
      <c r="C303" s="6">
        <f>[1]Results!F28</f>
        <v>32317.940999999999</v>
      </c>
      <c r="D303" s="6">
        <f>[1]Results!G28</f>
        <v>31939.413820000002</v>
      </c>
      <c r="E303" s="6">
        <f>[1]Results!H28</f>
        <v>31767.999100000001</v>
      </c>
      <c r="F303" s="6">
        <f>[1]Results!I28</f>
        <v>31737.15164</v>
      </c>
      <c r="G303" s="6">
        <f>[1]Results!J28</f>
        <v>31802.68003</v>
      </c>
      <c r="H303" s="6">
        <f>[1]Results!K28</f>
        <v>31935.599470000001</v>
      </c>
      <c r="I303" s="6">
        <f>[1]Results!L28</f>
        <v>32112.91791</v>
      </c>
      <c r="J303" s="6">
        <f>[1]Results!M28</f>
        <v>32321.922279999999</v>
      </c>
      <c r="K303" s="6">
        <f>[1]Results!N28</f>
        <v>32553.970389999999</v>
      </c>
      <c r="L303" s="6">
        <f>[1]Results!O28</f>
        <v>32803.076229999999</v>
      </c>
      <c r="M303" s="6">
        <f>[1]Results!P28</f>
        <v>33071.77132</v>
      </c>
      <c r="N303" s="6">
        <f>[1]Results!Q28</f>
        <v>33349.797509999997</v>
      </c>
      <c r="O303" s="6">
        <f>[1]Results!R28</f>
        <v>33634.667130000002</v>
      </c>
      <c r="P303" s="6">
        <f>[1]Results!S28</f>
        <v>33924.373959999997</v>
      </c>
      <c r="Q303" s="6">
        <f>[1]Results!T28</f>
        <v>34217.393909999999</v>
      </c>
      <c r="R303" s="6">
        <f>[1]Results!U28</f>
        <v>34512.610350000003</v>
      </c>
      <c r="S303" s="6">
        <f>[1]Results!V28</f>
        <v>34809.215429999997</v>
      </c>
      <c r="T303" s="6">
        <f>[1]Results!W28</f>
        <v>35106.618929999997</v>
      </c>
      <c r="U303" s="6">
        <f>[1]Results!X28</f>
        <v>35404.376470000003</v>
      </c>
      <c r="V303" s="6">
        <f>[1]Results!Y28</f>
        <v>35702.13867</v>
      </c>
      <c r="W303" s="6">
        <f>[1]Results!Z28</f>
        <v>35994.763850000003</v>
      </c>
      <c r="X303" s="6">
        <f>[1]Results!AA28</f>
        <v>36287.188699999999</v>
      </c>
      <c r="Y303" s="6">
        <f>[1]Results!AB28</f>
        <v>36579.305939999998</v>
      </c>
      <c r="Z303" s="6">
        <f>[1]Results!AC28</f>
        <v>36871.079380000003</v>
      </c>
      <c r="AA303" s="6">
        <f>[1]Results!AD28</f>
        <v>37162.44212</v>
      </c>
      <c r="AB303" s="6">
        <f>[1]Results!AE28</f>
        <v>37439.611779999999</v>
      </c>
      <c r="AC303" s="6">
        <f>[1]Results!AF28</f>
        <v>37710.603329999998</v>
      </c>
      <c r="AD303" s="6">
        <f>[1]Results!AG28</f>
        <v>37975.96632</v>
      </c>
      <c r="AE303" s="6">
        <f>[1]Results!AH28</f>
        <v>38236.518279999997</v>
      </c>
      <c r="AF303" s="6">
        <f>[1]Results!AI28</f>
        <v>38493.128989999997</v>
      </c>
      <c r="AG303" s="6">
        <f>[1]Results!AJ28</f>
        <v>38746.598279999998</v>
      </c>
      <c r="AH303" s="6">
        <f>[1]Results!AK28</f>
        <v>38997.608639999999</v>
      </c>
      <c r="AI303" s="6">
        <f>[1]Results!AL28</f>
        <v>39246.720880000001</v>
      </c>
      <c r="AJ303" s="6">
        <f>[1]Results!AM28</f>
        <v>39494.391770000002</v>
      </c>
      <c r="AK303" s="6">
        <f>[1]Results!AN28</f>
        <v>39740.999049999999</v>
      </c>
      <c r="AL303" s="6">
        <f>[1]Results!AO28</f>
        <v>39986.865640000004</v>
      </c>
      <c r="AM303" s="6">
        <f>[1]Results!AP28</f>
        <v>40229.181219999999</v>
      </c>
      <c r="AN303" s="6">
        <f>[1]Results!AQ28</f>
        <v>40468.41491</v>
      </c>
      <c r="AO303" s="6">
        <f>[1]Results!AR28</f>
        <v>40705.087169999999</v>
      </c>
      <c r="AP303" s="6">
        <f>[1]Results!AS28</f>
        <v>40939.791899999997</v>
      </c>
      <c r="AQ303" s="6">
        <f>[1]Results!AT28</f>
        <v>41173.159339999998</v>
      </c>
      <c r="AR303" s="6">
        <f>[1]Results!AU28</f>
        <v>41405.829059999996</v>
      </c>
      <c r="AS303" s="6">
        <f>[1]Results!AV28</f>
        <v>41638.327899999997</v>
      </c>
      <c r="AT303" s="6">
        <f>[1]Results!AW28</f>
        <v>41870.727639999997</v>
      </c>
      <c r="AU303" s="6">
        <f>[1]Results!AX28</f>
        <v>42103.02061</v>
      </c>
      <c r="AV303" s="6">
        <f>[1]Results!AY28</f>
        <v>42335.294150000002</v>
      </c>
      <c r="AW303" s="6">
        <f>[1]Results!AZ28</f>
        <v>42568.02403</v>
      </c>
      <c r="AX303" s="6">
        <f>[1]Results!BA28</f>
        <v>42801.495869999999</v>
      </c>
      <c r="AY303" s="6">
        <f>[1]Results!BB28</f>
        <v>43036.027990000002</v>
      </c>
      <c r="AZ303" s="6">
        <f>[1]Results!BC28</f>
        <v>43271.928520000001</v>
      </c>
      <c r="BA303" s="6">
        <f>[1]Results!BD28</f>
        <v>43509.473530000003</v>
      </c>
      <c r="BB303" s="6">
        <f>[1]Results!BE28</f>
        <v>45939.1077</v>
      </c>
      <c r="BC303" s="6">
        <f>[1]Results!BF28</f>
        <v>46264.987730000001</v>
      </c>
      <c r="BD303" s="6">
        <f>[1]Results!BG28</f>
        <v>46592.00649</v>
      </c>
      <c r="BE303" s="6">
        <f>[1]Results!BH28</f>
        <v>46920.289089999998</v>
      </c>
      <c r="BF303" s="6">
        <f>[1]Results!BI28</f>
        <v>47249.974520000003</v>
      </c>
    </row>
    <row r="304" spans="1:58" x14ac:dyDescent="0.35">
      <c r="B304" t="s">
        <v>53</v>
      </c>
      <c r="C304" s="6">
        <f>[1]Results!F29</f>
        <v>32271.24</v>
      </c>
      <c r="D304" s="6">
        <f>[1]Results!G29</f>
        <v>31874.892759999999</v>
      </c>
      <c r="E304" s="6">
        <f>[1]Results!H29</f>
        <v>31684.715349999999</v>
      </c>
      <c r="F304" s="6">
        <f>[1]Results!I29</f>
        <v>31634.649519999999</v>
      </c>
      <c r="G304" s="6">
        <f>[1]Results!J29</f>
        <v>31680.81164</v>
      </c>
      <c r="H304" s="6">
        <f>[1]Results!K29</f>
        <v>31794.404869999998</v>
      </c>
      <c r="I304" s="6">
        <f>[1]Results!L29</f>
        <v>31952.585709999999</v>
      </c>
      <c r="J304" s="6">
        <f>[1]Results!M29</f>
        <v>32142.707170000001</v>
      </c>
      <c r="K304" s="6">
        <f>[1]Results!N29</f>
        <v>32356.163619999999</v>
      </c>
      <c r="L304" s="6">
        <f>[1]Results!O29</f>
        <v>32586.986649999999</v>
      </c>
      <c r="M304" s="6">
        <f>[1]Results!P29</f>
        <v>32837.648759999996</v>
      </c>
      <c r="N304" s="6">
        <f>[1]Results!Q29</f>
        <v>33097.954919999996</v>
      </c>
      <c r="O304" s="6">
        <f>[1]Results!R29</f>
        <v>33365.411990000001</v>
      </c>
      <c r="P304" s="6">
        <f>[1]Results!S29</f>
        <v>33638.005340000003</v>
      </c>
      <c r="Q304" s="6">
        <f>[1]Results!T29</f>
        <v>33914.198929999999</v>
      </c>
      <c r="R304" s="6">
        <f>[1]Results!U29</f>
        <v>34192.861140000001</v>
      </c>
      <c r="S304" s="6">
        <f>[1]Results!V29</f>
        <v>34473.166570000001</v>
      </c>
      <c r="T304" s="6">
        <f>[1]Results!W29</f>
        <v>34754.50563</v>
      </c>
      <c r="U304" s="6">
        <f>[1]Results!X29</f>
        <v>35036.413119999997</v>
      </c>
      <c r="V304" s="6">
        <f>[1]Results!Y29</f>
        <v>35318.517720000003</v>
      </c>
      <c r="W304" s="6">
        <f>[1]Results!Z29</f>
        <v>35595.703800000003</v>
      </c>
      <c r="X304" s="6">
        <f>[1]Results!AA29</f>
        <v>35872.833830000003</v>
      </c>
      <c r="Y304" s="6">
        <f>[1]Results!AB29</f>
        <v>36149.773829999998</v>
      </c>
      <c r="Z304" s="6">
        <f>[1]Results!AC29</f>
        <v>36426.459170000002</v>
      </c>
      <c r="AA304" s="6">
        <f>[1]Results!AD29</f>
        <v>36702.793689999999</v>
      </c>
      <c r="AB304" s="6">
        <f>[1]Results!AE29</f>
        <v>36965.109490000003</v>
      </c>
      <c r="AC304" s="6">
        <f>[1]Results!AF29</f>
        <v>37221.311309999997</v>
      </c>
      <c r="AD304" s="6">
        <f>[1]Results!AG29</f>
        <v>37471.910929999998</v>
      </c>
      <c r="AE304" s="6">
        <f>[1]Results!AH29</f>
        <v>37717.682569999997</v>
      </c>
      <c r="AF304" s="6">
        <f>[1]Results!AI29</f>
        <v>37959.449260000001</v>
      </c>
      <c r="AG304" s="6">
        <f>[1]Results!AJ29</f>
        <v>38197.961779999998</v>
      </c>
      <c r="AH304" s="6">
        <f>[1]Results!AK29</f>
        <v>38433.851669999996</v>
      </c>
      <c r="AI304" s="6">
        <f>[1]Results!AL29</f>
        <v>38667.626940000002</v>
      </c>
      <c r="AJ304" s="6">
        <f>[1]Results!AM29</f>
        <v>38899.689400000003</v>
      </c>
      <c r="AK304" s="6">
        <f>[1]Results!AN29</f>
        <v>39130.35931</v>
      </c>
      <c r="AL304" s="6">
        <f>[1]Results!AO29</f>
        <v>39359.89918</v>
      </c>
      <c r="AM304" s="6">
        <f>[1]Results!AP29</f>
        <v>39585.473870000002</v>
      </c>
      <c r="AN304" s="6">
        <f>[1]Results!AQ29</f>
        <v>39807.485460000004</v>
      </c>
      <c r="AO304" s="6">
        <f>[1]Results!AR29</f>
        <v>40026.382089999999</v>
      </c>
      <c r="AP304" s="6">
        <f>[1]Results!AS29</f>
        <v>40242.67929</v>
      </c>
      <c r="AQ304" s="6">
        <f>[1]Results!AT29</f>
        <v>40456.922919999997</v>
      </c>
      <c r="AR304" s="6">
        <f>[1]Results!AU29</f>
        <v>40669.661840000001</v>
      </c>
      <c r="AS304" s="6">
        <f>[1]Results!AV29</f>
        <v>40881.326280000001</v>
      </c>
      <c r="AT304" s="6">
        <f>[1]Results!AW29</f>
        <v>41091.890290000003</v>
      </c>
      <c r="AU304" s="6">
        <f>[1]Results!AX29</f>
        <v>41301.24224</v>
      </c>
      <c r="AV304" s="6">
        <f>[1]Results!AY29</f>
        <v>41509.356359999998</v>
      </c>
      <c r="AW304" s="6">
        <f>[1]Results!AZ29</f>
        <v>41716.580650000004</v>
      </c>
      <c r="AX304" s="6">
        <f>[1]Results!BA29</f>
        <v>41923.066709999999</v>
      </c>
      <c r="AY304" s="6">
        <f>[1]Results!BB29</f>
        <v>42128.988440000001</v>
      </c>
      <c r="AZ304" s="6">
        <f>[1]Results!BC29</f>
        <v>42334.49912</v>
      </c>
      <c r="BA304" s="6">
        <f>[1]Results!BD29</f>
        <v>42539.709089999997</v>
      </c>
      <c r="BB304" s="6">
        <f>[1]Results!BE29</f>
        <v>45601.084470000002</v>
      </c>
      <c r="BC304" s="6">
        <f>[1]Results!BF29</f>
        <v>45952.474289999998</v>
      </c>
      <c r="BD304" s="6">
        <f>[1]Results!BG29</f>
        <v>46307.97365</v>
      </c>
      <c r="BE304" s="6">
        <f>[1]Results!BH29</f>
        <v>46667.953820000002</v>
      </c>
      <c r="BF304" s="6">
        <f>[1]Results!BI29</f>
        <v>47032.82314</v>
      </c>
    </row>
    <row r="305" spans="1:58" x14ac:dyDescent="0.35">
      <c r="B305" t="s">
        <v>54</v>
      </c>
      <c r="C305" s="6">
        <f>[1]Results!F45</f>
        <v>1.9359999999999999</v>
      </c>
      <c r="D305" s="6">
        <f>[1]Results!G45</f>
        <v>1.9926860529999999</v>
      </c>
      <c r="E305" s="6">
        <f>[1]Results!H45</f>
        <v>2.0605585130000001</v>
      </c>
      <c r="F305" s="6">
        <f>[1]Results!I45</f>
        <v>2.1347165119999998</v>
      </c>
      <c r="G305" s="6">
        <f>[1]Results!J45</f>
        <v>2.21199652</v>
      </c>
      <c r="H305" s="6">
        <f>[1]Results!K45</f>
        <v>2.2904132819999998</v>
      </c>
      <c r="I305" s="6">
        <f>[1]Results!L45</f>
        <v>2.3684174979999999</v>
      </c>
      <c r="J305" s="6">
        <f>[1]Results!M45</f>
        <v>2.4452639729999999</v>
      </c>
      <c r="K305" s="6">
        <f>[1]Results!N45</f>
        <v>2.5205109179999998</v>
      </c>
      <c r="L305" s="6">
        <f>[1]Results!O45</f>
        <v>2.5939094520000001</v>
      </c>
      <c r="M305" s="6">
        <f>[1]Results!P45</f>
        <v>2.665896359</v>
      </c>
      <c r="N305" s="6">
        <f>[1]Results!Q45</f>
        <v>2.7358330739999999</v>
      </c>
      <c r="O305" s="6">
        <f>[1]Results!R45</f>
        <v>2.803701335</v>
      </c>
      <c r="P305" s="6">
        <f>[1]Results!S45</f>
        <v>2.8695079190000001</v>
      </c>
      <c r="Q305" s="6">
        <f>[1]Results!T45</f>
        <v>2.9332862180000001</v>
      </c>
      <c r="R305" s="6">
        <f>[1]Results!U45</f>
        <v>2.9950914690000001</v>
      </c>
      <c r="S305" s="6">
        <f>[1]Results!V45</f>
        <v>3.0549937840000001</v>
      </c>
      <c r="T305" s="6">
        <f>[1]Results!W45</f>
        <v>3.1130716270000001</v>
      </c>
      <c r="U305" s="6">
        <f>[1]Results!X45</f>
        <v>3.1694067029999999</v>
      </c>
      <c r="V305" s="6">
        <f>[1]Results!Y45</f>
        <v>3.2240804569999999</v>
      </c>
      <c r="W305" s="6">
        <f>[1]Results!Z45</f>
        <v>3.2767682420000002</v>
      </c>
      <c r="X305" s="6">
        <f>[1]Results!AA45</f>
        <v>3.3279705229999998</v>
      </c>
      <c r="Y305" s="6">
        <f>[1]Results!AB45</f>
        <v>3.3777685239999999</v>
      </c>
      <c r="Z305" s="6">
        <f>[1]Results!AC45</f>
        <v>3.426243339</v>
      </c>
      <c r="AA305" s="6">
        <f>[1]Results!AD45</f>
        <v>3.4734679260000001</v>
      </c>
      <c r="AB305" s="6">
        <f>[1]Results!AE45</f>
        <v>3.5183698739999998</v>
      </c>
      <c r="AC305" s="6">
        <f>[1]Results!AF45</f>
        <v>3.5616667830000002</v>
      </c>
      <c r="AD305" s="6">
        <f>[1]Results!AG45</f>
        <v>3.60346199</v>
      </c>
      <c r="AE305" s="6">
        <f>[1]Results!AH45</f>
        <v>3.6438777689999999</v>
      </c>
      <c r="AF305" s="6">
        <f>[1]Results!AI45</f>
        <v>3.6830379120000001</v>
      </c>
      <c r="AG305" s="6">
        <f>[1]Results!AJ45</f>
        <v>3.721057788</v>
      </c>
      <c r="AH305" s="6">
        <f>[1]Results!AK45</f>
        <v>3.7580404440000001</v>
      </c>
      <c r="AI305" s="6">
        <f>[1]Results!AL45</f>
        <v>3.7940762380000002</v>
      </c>
      <c r="AJ305" s="6">
        <f>[1]Results!AM45</f>
        <v>3.8292442800000002</v>
      </c>
      <c r="AK305" s="6">
        <f>[1]Results!AN45</f>
        <v>3.863614514</v>
      </c>
      <c r="AL305" s="6">
        <f>[1]Results!AO45</f>
        <v>3.8972497509999999</v>
      </c>
      <c r="AM305" s="6">
        <f>[1]Results!AP45</f>
        <v>3.9299503570000001</v>
      </c>
      <c r="AN305" s="6">
        <f>[1]Results!AQ45</f>
        <v>3.9617826030000001</v>
      </c>
      <c r="AO305" s="6">
        <f>[1]Results!AR45</f>
        <v>3.9928151139999999</v>
      </c>
      <c r="AP305" s="6">
        <f>[1]Results!AS45</f>
        <v>4.0231208189999998</v>
      </c>
      <c r="AQ305" s="6">
        <f>[1]Results!AT45</f>
        <v>4.0527740080000001</v>
      </c>
      <c r="AR305" s="6">
        <f>[1]Results!AU45</f>
        <v>4.0818481469999996</v>
      </c>
      <c r="AS305" s="6">
        <f>[1]Results!AV45</f>
        <v>4.1104057330000003</v>
      </c>
      <c r="AT305" s="6">
        <f>[1]Results!AW45</f>
        <v>4.1384698459999996</v>
      </c>
      <c r="AU305" s="6">
        <f>[1]Results!AX45</f>
        <v>4.1660547540000001</v>
      </c>
      <c r="AV305" s="6">
        <f>[1]Results!AY45</f>
        <v>4.1931803209999998</v>
      </c>
      <c r="AW305" s="6">
        <f>[1]Results!AZ45</f>
        <v>4.2198963970000003</v>
      </c>
      <c r="AX305" s="6">
        <f>[1]Results!BA45</f>
        <v>4.2462354940000004</v>
      </c>
      <c r="AY305" s="6">
        <f>[1]Results!BB45</f>
        <v>4.2722309550000004</v>
      </c>
      <c r="AZ305" s="6">
        <f>[1]Results!BC45</f>
        <v>4.2979134480000001</v>
      </c>
      <c r="BA305" s="6">
        <f>[1]Results!BD45</f>
        <v>4.3233091129999996</v>
      </c>
      <c r="BB305" s="6">
        <f>[1]Results!BE45</f>
        <v>4.6165073259999998</v>
      </c>
      <c r="BC305" s="6">
        <f>[1]Results!BF45</f>
        <v>4.6556279380000003</v>
      </c>
      <c r="BD305" s="6">
        <f>[1]Results!BG45</f>
        <v>4.6949460810000003</v>
      </c>
      <c r="BE305" s="6">
        <f>[1]Results!BH45</f>
        <v>4.7345074699999996</v>
      </c>
      <c r="BF305" s="6">
        <f>[1]Results!BI45</f>
        <v>4.7743605000000002</v>
      </c>
    </row>
    <row r="306" spans="1:58" x14ac:dyDescent="0.35">
      <c r="B306" t="s">
        <v>55</v>
      </c>
      <c r="C306" s="6">
        <f>[1]Results!F37</f>
        <v>44.765000000000001</v>
      </c>
      <c r="D306" s="6">
        <f>[1]Results!G37</f>
        <v>62.528375959999998</v>
      </c>
      <c r="E306" s="6">
        <f>[1]Results!H37</f>
        <v>81.223196360000003</v>
      </c>
      <c r="F306" s="6">
        <f>[1]Results!I37</f>
        <v>100.3674043</v>
      </c>
      <c r="G306" s="6">
        <f>[1]Results!J37</f>
        <v>119.65639229999999</v>
      </c>
      <c r="H306" s="6">
        <f>[1]Results!K37</f>
        <v>138.90418539999999</v>
      </c>
      <c r="I306" s="6">
        <f>[1]Results!L37</f>
        <v>157.96378809999999</v>
      </c>
      <c r="J306" s="6">
        <f>[1]Results!M37</f>
        <v>176.76984100000001</v>
      </c>
      <c r="K306" s="6">
        <f>[1]Results!N37</f>
        <v>195.286258</v>
      </c>
      <c r="L306" s="6">
        <f>[1]Results!O37</f>
        <v>213.49567200000001</v>
      </c>
      <c r="M306" s="6">
        <f>[1]Results!P37</f>
        <v>231.45667019999999</v>
      </c>
      <c r="N306" s="6">
        <f>[1]Results!Q37</f>
        <v>249.10676280000001</v>
      </c>
      <c r="O306" s="6">
        <f>[1]Results!R37</f>
        <v>266.45143089999999</v>
      </c>
      <c r="P306" s="6">
        <f>[1]Results!S37</f>
        <v>283.49911400000002</v>
      </c>
      <c r="Q306" s="6">
        <f>[1]Results!T37</f>
        <v>300.26168560000002</v>
      </c>
      <c r="R306" s="6">
        <f>[1]Results!U37</f>
        <v>316.75412010000002</v>
      </c>
      <c r="S306" s="6">
        <f>[1]Results!V37</f>
        <v>332.99386329999999</v>
      </c>
      <c r="T306" s="6">
        <f>[1]Results!W37</f>
        <v>349.0002288</v>
      </c>
      <c r="U306" s="6">
        <f>[1]Results!X37</f>
        <v>364.79394439999999</v>
      </c>
      <c r="V306" s="6">
        <f>[1]Results!Y37</f>
        <v>380.39687609999999</v>
      </c>
      <c r="W306" s="6">
        <f>[1]Results!Z37</f>
        <v>395.78327380000002</v>
      </c>
      <c r="X306" s="6">
        <f>[1]Results!AA37</f>
        <v>411.02689750000002</v>
      </c>
      <c r="Y306" s="6">
        <f>[1]Results!AB37</f>
        <v>426.15434770000002</v>
      </c>
      <c r="Z306" s="6">
        <f>[1]Results!AC37</f>
        <v>441.19396860000001</v>
      </c>
      <c r="AA306" s="6">
        <f>[1]Results!AD37</f>
        <v>456.17496190000003</v>
      </c>
      <c r="AB306" s="6">
        <f>[1]Results!AE37</f>
        <v>470.98391659999999</v>
      </c>
      <c r="AC306" s="6">
        <f>[1]Results!AF37</f>
        <v>485.73034760000002</v>
      </c>
      <c r="AD306" s="6">
        <f>[1]Results!AG37</f>
        <v>500.45192969999999</v>
      </c>
      <c r="AE306" s="6">
        <f>[1]Results!AH37</f>
        <v>515.19183250000003</v>
      </c>
      <c r="AF306" s="6">
        <f>[1]Results!AI37</f>
        <v>529.9966885</v>
      </c>
      <c r="AG306" s="6">
        <f>[1]Results!AJ37</f>
        <v>544.9154423</v>
      </c>
      <c r="AH306" s="6">
        <f>[1]Results!AK37</f>
        <v>559.99892450000004</v>
      </c>
      <c r="AI306" s="6">
        <f>[1]Results!AL37</f>
        <v>575.29986010000005</v>
      </c>
      <c r="AJ306" s="6">
        <f>[1]Results!AM37</f>
        <v>590.87312489999999</v>
      </c>
      <c r="AK306" s="6">
        <f>[1]Results!AN37</f>
        <v>606.77612360000001</v>
      </c>
      <c r="AL306" s="6">
        <f>[1]Results!AO37</f>
        <v>623.06921320000004</v>
      </c>
      <c r="AM306" s="6">
        <f>[1]Results!AP37</f>
        <v>639.77739729999996</v>
      </c>
      <c r="AN306" s="6">
        <f>[1]Results!AQ37</f>
        <v>656.96765909999999</v>
      </c>
      <c r="AO306" s="6">
        <f>[1]Results!AR37</f>
        <v>674.71226420000005</v>
      </c>
      <c r="AP306" s="6">
        <f>[1]Results!AS37</f>
        <v>693.08949250000001</v>
      </c>
      <c r="AQ306" s="6">
        <f>[1]Results!AT37</f>
        <v>712.18365040000003</v>
      </c>
      <c r="AR306" s="6">
        <f>[1]Results!AU37</f>
        <v>732.08537060000003</v>
      </c>
      <c r="AS306" s="6">
        <f>[1]Results!AV37</f>
        <v>752.89121599999999</v>
      </c>
      <c r="AT306" s="6">
        <f>[1]Results!AW37</f>
        <v>774.69888200000003</v>
      </c>
      <c r="AU306" s="6">
        <f>[1]Results!AX37</f>
        <v>797.61231799999996</v>
      </c>
      <c r="AV306" s="6">
        <f>[1]Results!AY37</f>
        <v>821.7446099</v>
      </c>
      <c r="AW306" s="6">
        <f>[1]Results!AZ37</f>
        <v>847.22347709999997</v>
      </c>
      <c r="AX306" s="6">
        <f>[1]Results!BA37</f>
        <v>874.18292459999998</v>
      </c>
      <c r="AY306" s="6">
        <f>[1]Results!BB37</f>
        <v>902.76732130000005</v>
      </c>
      <c r="AZ306" s="6">
        <f>[1]Results!BC37</f>
        <v>933.13148950000004</v>
      </c>
      <c r="BA306" s="6">
        <f>[1]Results!BD37</f>
        <v>965.44113370000002</v>
      </c>
      <c r="BB306" s="6">
        <f>[1]Results!BE37</f>
        <v>333.40671650000002</v>
      </c>
      <c r="BC306" s="6">
        <f>[1]Results!BF37</f>
        <v>307.85780840000001</v>
      </c>
      <c r="BD306" s="6">
        <f>[1]Results!BG37</f>
        <v>279.3378955</v>
      </c>
      <c r="BE306" s="6">
        <f>[1]Results!BH37</f>
        <v>247.6007549</v>
      </c>
      <c r="BF306" s="6">
        <f>[1]Results!BI37</f>
        <v>212.3770069</v>
      </c>
    </row>
    <row r="308" spans="1:58" x14ac:dyDescent="0.35">
      <c r="A308" s="12" t="s">
        <v>90</v>
      </c>
      <c r="B308" s="5" t="str">
        <f>[1]Hybrid!A18</f>
        <v>auto_ca_cfut_2</v>
      </c>
      <c r="C308" s="5">
        <f>[1]Hybrid!B18</f>
        <v>7095.7005250000002</v>
      </c>
      <c r="D308" s="5">
        <f>[1]Hybrid!C18</f>
        <v>7145.2360580000004</v>
      </c>
      <c r="E308" s="5">
        <f>[1]Hybrid!D18</f>
        <v>7246.3474109999997</v>
      </c>
      <c r="F308" s="5">
        <f>[1]Hybrid!E18</f>
        <v>7382.2872020000004</v>
      </c>
      <c r="G308" s="5">
        <f>[1]Hybrid!F18</f>
        <v>7541.831972</v>
      </c>
      <c r="H308" s="5">
        <f>[1]Hybrid!G18</f>
        <v>7717.6019910000005</v>
      </c>
      <c r="I308" s="5">
        <f>[1]Hybrid!H18</f>
        <v>7903.5991370000002</v>
      </c>
      <c r="J308" s="5">
        <f>[1]Hybrid!I18</f>
        <v>8096.6039639999999</v>
      </c>
      <c r="K308" s="5">
        <f>[1]Hybrid!J18</f>
        <v>8294.4529050000001</v>
      </c>
      <c r="L308" s="5">
        <f>[1]Hybrid!K18</f>
        <v>8495.6728519999997</v>
      </c>
      <c r="M308" s="5">
        <f>[1]Hybrid!L18</f>
        <v>8701.3381320000008</v>
      </c>
      <c r="N308" s="5">
        <f>[1]Hybrid!M18</f>
        <v>8908.544269</v>
      </c>
      <c r="O308" s="5">
        <f>[1]Hybrid!N18</f>
        <v>9116.7091459999992</v>
      </c>
      <c r="P308" s="5">
        <f>[1]Hybrid!O18</f>
        <v>9325.3617979999999</v>
      </c>
      <c r="Q308" s="5">
        <f>[1]Hybrid!P18</f>
        <v>9534.1556340000006</v>
      </c>
      <c r="R308" s="5">
        <f>[1]Hybrid!Q18</f>
        <v>9742.8542049999996</v>
      </c>
      <c r="S308" s="5">
        <f>[1]Hybrid!R18</f>
        <v>9951.3051140000007</v>
      </c>
      <c r="T308" s="5">
        <f>[1]Hybrid!S18</f>
        <v>10159.415870000001</v>
      </c>
      <c r="U308" s="5">
        <f>[1]Hybrid!T18</f>
        <v>10367.13327</v>
      </c>
      <c r="V308" s="5">
        <f>[1]Hybrid!U18</f>
        <v>10574.428610000001</v>
      </c>
      <c r="W308" s="5">
        <f>[1]Hybrid!V18</f>
        <v>10779.65084</v>
      </c>
      <c r="X308" s="5">
        <f>[1]Hybrid!W18</f>
        <v>10984.52097</v>
      </c>
      <c r="Y308" s="5">
        <f>[1]Hybrid!X18</f>
        <v>11189.07879</v>
      </c>
      <c r="Z308" s="5">
        <f>[1]Hybrid!Y18</f>
        <v>11393.38983</v>
      </c>
      <c r="AA308" s="5">
        <f>[1]Hybrid!Z18</f>
        <v>11597.50784</v>
      </c>
      <c r="AB308" s="5">
        <f>[1]Hybrid!AA18</f>
        <v>11796.677960000001</v>
      </c>
      <c r="AC308" s="5">
        <f>[1]Hybrid!AB18</f>
        <v>11993.70098</v>
      </c>
      <c r="AD308" s="5">
        <f>[1]Hybrid!AC18</f>
        <v>12188.79329</v>
      </c>
      <c r="AE308" s="5">
        <f>[1]Hybrid!AD18</f>
        <v>12382.27735</v>
      </c>
      <c r="AF308" s="5">
        <f>[1]Hybrid!AE18</f>
        <v>12574.50297</v>
      </c>
      <c r="AG308" s="5">
        <f>[1]Hybrid!AF18</f>
        <v>12765.80183</v>
      </c>
      <c r="AH308" s="5">
        <f>[1]Hybrid!AG18</f>
        <v>12956.46925</v>
      </c>
      <c r="AI308" s="5">
        <f>[1]Hybrid!AH18</f>
        <v>13146.761140000001</v>
      </c>
      <c r="AJ308" s="5">
        <f>[1]Hybrid!AI18</f>
        <v>13336.89947</v>
      </c>
      <c r="AK308" s="5">
        <f>[1]Hybrid!AJ18</f>
        <v>13527.080679999999</v>
      </c>
      <c r="AL308" s="5">
        <f>[1]Hybrid!AK18</f>
        <v>13717.483679999999</v>
      </c>
      <c r="AM308" s="5">
        <f>[1]Hybrid!AL18</f>
        <v>13907.106879999999</v>
      </c>
      <c r="AN308" s="5">
        <f>[1]Hybrid!AM18</f>
        <v>14096.16661</v>
      </c>
      <c r="AO308" s="5">
        <f>[1]Hybrid!AN18</f>
        <v>14284.89854</v>
      </c>
      <c r="AP308" s="5">
        <f>[1]Hybrid!AO18</f>
        <v>14473.570229999999</v>
      </c>
      <c r="AQ308" s="5">
        <f>[1]Hybrid!AP18</f>
        <v>14662.465620000001</v>
      </c>
      <c r="AR308" s="5">
        <f>[1]Hybrid!AQ18</f>
        <v>14851.865820000001</v>
      </c>
      <c r="AS308" s="5">
        <f>[1]Hybrid!AR18</f>
        <v>15042.03342</v>
      </c>
      <c r="AT308" s="5">
        <f>[1]Hybrid!AS18</f>
        <v>15233.2039</v>
      </c>
      <c r="AU308" s="5">
        <f>[1]Hybrid!AT18</f>
        <v>15425.58286</v>
      </c>
      <c r="AV308" s="5">
        <f>[1]Hybrid!AU18</f>
        <v>15619.346519999999</v>
      </c>
      <c r="AW308" s="5">
        <f>[1]Hybrid!AV18</f>
        <v>15814.747649999999</v>
      </c>
      <c r="AX308" s="5">
        <f>[1]Hybrid!AW18</f>
        <v>16011.831459999999</v>
      </c>
      <c r="AY308" s="5">
        <f>[1]Hybrid!AX18</f>
        <v>16210.40112</v>
      </c>
      <c r="AZ308" s="5">
        <f>[1]Hybrid!AY18</f>
        <v>16410.251530000001</v>
      </c>
      <c r="BA308" s="5">
        <f>[1]Hybrid!AZ18</f>
        <v>16611.27317</v>
      </c>
      <c r="BB308" s="5">
        <f>[1]Hybrid!BA18</f>
        <v>18081.43362</v>
      </c>
      <c r="BC308" s="5">
        <f>[1]Hybrid!BB18</f>
        <v>18357.057929999999</v>
      </c>
      <c r="BD308" s="5">
        <f>[1]Hybrid!BC18</f>
        <v>18637.218840000001</v>
      </c>
      <c r="BE308" s="5">
        <f>[1]Hybrid!BD18</f>
        <v>18922.18578</v>
      </c>
      <c r="BF308" s="5">
        <f>[1]Hybrid!BE18</f>
        <v>19212.253079999999</v>
      </c>
    </row>
    <row r="309" spans="1:58" x14ac:dyDescent="0.35">
      <c r="A309" t="s">
        <v>39</v>
      </c>
      <c r="B309" s="5" t="str">
        <f>[1]Hybrid!A20</f>
        <v>auto_cb_cfut_2</v>
      </c>
      <c r="C309" s="5">
        <f>[1]Hybrid!B20</f>
        <v>8251.256421</v>
      </c>
      <c r="D309" s="5">
        <f>[1]Hybrid!C20</f>
        <v>8186.1751469999999</v>
      </c>
      <c r="E309" s="5">
        <f>[1]Hybrid!D20</f>
        <v>8178.2327699999996</v>
      </c>
      <c r="F309" s="5">
        <f>[1]Hybrid!E20</f>
        <v>8210.4163759999992</v>
      </c>
      <c r="G309" s="5">
        <f>[1]Hybrid!F20</f>
        <v>8271.1828260000002</v>
      </c>
      <c r="H309" s="5">
        <f>[1]Hybrid!G20</f>
        <v>8352.7921069999993</v>
      </c>
      <c r="I309" s="5">
        <f>[1]Hybrid!H20</f>
        <v>8448.9247589999995</v>
      </c>
      <c r="J309" s="5">
        <f>[1]Hybrid!I20</f>
        <v>8555.9828870000001</v>
      </c>
      <c r="K309" s="5">
        <f>[1]Hybrid!J20</f>
        <v>8671.4302889999999</v>
      </c>
      <c r="L309" s="5">
        <f>[1]Hybrid!K20</f>
        <v>8793.4326230000006</v>
      </c>
      <c r="M309" s="5">
        <f>[1]Hybrid!L20</f>
        <v>8922.5864490000004</v>
      </c>
      <c r="N309" s="5">
        <f>[1]Hybrid!M20</f>
        <v>9055.7840099999994</v>
      </c>
      <c r="O309" s="5">
        <f>[1]Hybrid!N20</f>
        <v>9192.1360249999998</v>
      </c>
      <c r="P309" s="5">
        <f>[1]Hybrid!O20</f>
        <v>9330.8865999999998</v>
      </c>
      <c r="Q309" s="5">
        <f>[1]Hybrid!P20</f>
        <v>9471.4215650000006</v>
      </c>
      <c r="R309" s="5">
        <f>[1]Hybrid!Q20</f>
        <v>9613.2519950000005</v>
      </c>
      <c r="S309" s="5">
        <f>[1]Hybrid!R20</f>
        <v>9755.9874359999994</v>
      </c>
      <c r="T309" s="5">
        <f>[1]Hybrid!S20</f>
        <v>9899.3114339999993</v>
      </c>
      <c r="U309" s="5">
        <f>[1]Hybrid!T20</f>
        <v>10042.9607</v>
      </c>
      <c r="V309" s="5">
        <f>[1]Hybrid!U20</f>
        <v>10186.70989</v>
      </c>
      <c r="W309" s="5">
        <f>[1]Hybrid!V20</f>
        <v>10328.874959999999</v>
      </c>
      <c r="X309" s="5">
        <f>[1]Hybrid!W20</f>
        <v>10470.85641</v>
      </c>
      <c r="Y309" s="5">
        <f>[1]Hybrid!X20</f>
        <v>10612.52997</v>
      </c>
      <c r="Z309" s="5">
        <f>[1]Hybrid!Y20</f>
        <v>10753.80348</v>
      </c>
      <c r="AA309" s="5">
        <f>[1]Hybrid!Z20</f>
        <v>10894.58286</v>
      </c>
      <c r="AB309" s="5">
        <f>[1]Hybrid!AA20</f>
        <v>11030.495860000001</v>
      </c>
      <c r="AC309" s="5">
        <f>[1]Hybrid!AB20</f>
        <v>11163.95284</v>
      </c>
      <c r="AD309" s="5">
        <f>[1]Hybrid!AC20</f>
        <v>11295.0512</v>
      </c>
      <c r="AE309" s="5">
        <f>[1]Hybrid!AD20</f>
        <v>11423.98395</v>
      </c>
      <c r="AF309" s="5">
        <f>[1]Hybrid!AE20</f>
        <v>11550.96926</v>
      </c>
      <c r="AG309" s="5">
        <f>[1]Hybrid!AF20</f>
        <v>11676.21002</v>
      </c>
      <c r="AH309" s="5">
        <f>[1]Hybrid!AG20</f>
        <v>11799.87773</v>
      </c>
      <c r="AI309" s="5">
        <f>[1]Hybrid!AH20</f>
        <v>11922.109640000001</v>
      </c>
      <c r="AJ309" s="5">
        <f>[1]Hybrid!AI20</f>
        <v>12043.01346</v>
      </c>
      <c r="AK309" s="5">
        <f>[1]Hybrid!AJ20</f>
        <v>12162.674559999999</v>
      </c>
      <c r="AL309" s="5">
        <f>[1]Hybrid!AK20</f>
        <v>12281.16274</v>
      </c>
      <c r="AM309" s="5">
        <f>[1]Hybrid!AL20</f>
        <v>12397.542530000001</v>
      </c>
      <c r="AN309" s="5">
        <f>[1]Hybrid!AM20</f>
        <v>12511.928110000001</v>
      </c>
      <c r="AO309" s="5">
        <f>[1]Hybrid!AN20</f>
        <v>12624.449699999999</v>
      </c>
      <c r="AP309" s="5">
        <f>[1]Hybrid!AO20</f>
        <v>12735.2626</v>
      </c>
      <c r="AQ309" s="5">
        <f>[1]Hybrid!AP20</f>
        <v>12844.533170000001</v>
      </c>
      <c r="AR309" s="5">
        <f>[1]Hybrid!AQ20</f>
        <v>12952.422350000001</v>
      </c>
      <c r="AS309" s="5">
        <f>[1]Hybrid!AR20</f>
        <v>13059.072399999999</v>
      </c>
      <c r="AT309" s="5">
        <f>[1]Hybrid!AS20</f>
        <v>13164.599980000001</v>
      </c>
      <c r="AU309" s="5">
        <f>[1]Hybrid!AT20</f>
        <v>13269.0941</v>
      </c>
      <c r="AV309" s="5">
        <f>[1]Hybrid!AU20</f>
        <v>13372.61681</v>
      </c>
      <c r="AW309" s="5">
        <f>[1]Hybrid!AV20</f>
        <v>13475.299870000001</v>
      </c>
      <c r="AX309" s="5">
        <f>[1]Hybrid!AW20</f>
        <v>13577.12506</v>
      </c>
      <c r="AY309" s="5">
        <f>[1]Hybrid!AX20</f>
        <v>13677.87689</v>
      </c>
      <c r="AZ309" s="5">
        <f>[1]Hybrid!AY20</f>
        <v>13777.324769999999</v>
      </c>
      <c r="BA309" s="5">
        <f>[1]Hybrid!AZ20</f>
        <v>13875.305609999999</v>
      </c>
      <c r="BB309" s="5">
        <f>[1]Hybrid!BA20</f>
        <v>14944.95203</v>
      </c>
      <c r="BC309" s="5">
        <f>[1]Hybrid!BB20</f>
        <v>15091.13233</v>
      </c>
      <c r="BD309" s="5">
        <f>[1]Hybrid!BC20</f>
        <v>15237.753839999999</v>
      </c>
      <c r="BE309" s="5">
        <f>[1]Hybrid!BD20</f>
        <v>15384.92359</v>
      </c>
      <c r="BF309" s="5">
        <f>[1]Hybrid!BE20</f>
        <v>15532.76332</v>
      </c>
    </row>
    <row r="310" spans="1:58" x14ac:dyDescent="0.35">
      <c r="B310" s="5" t="str">
        <f>[1]Hybrid!A22</f>
        <v>auto_cc_cfut_2</v>
      </c>
      <c r="C310" s="5">
        <f>[1]Hybrid!B22</f>
        <v>6777.6024520000001</v>
      </c>
      <c r="D310" s="5">
        <f>[1]Hybrid!C22</f>
        <v>6649.1359400000001</v>
      </c>
      <c r="E310" s="5">
        <f>[1]Hybrid!D22</f>
        <v>6565.9300229999999</v>
      </c>
      <c r="F310" s="5">
        <f>[1]Hybrid!E22</f>
        <v>6515.535202</v>
      </c>
      <c r="G310" s="5">
        <f>[1]Hybrid!F22</f>
        <v>6489.4067409999998</v>
      </c>
      <c r="H310" s="5">
        <f>[1]Hybrid!G22</f>
        <v>6481.7133409999997</v>
      </c>
      <c r="I310" s="5">
        <f>[1]Hybrid!H22</f>
        <v>6487.6743130000004</v>
      </c>
      <c r="J310" s="5">
        <f>[1]Hybrid!I22</f>
        <v>6504.4322179999999</v>
      </c>
      <c r="K310" s="5">
        <f>[1]Hybrid!J22</f>
        <v>6529.8996189999998</v>
      </c>
      <c r="L310" s="5">
        <f>[1]Hybrid!K22</f>
        <v>6562.5037030000003</v>
      </c>
      <c r="M310" s="5">
        <f>[1]Hybrid!L22</f>
        <v>6602.3469809999997</v>
      </c>
      <c r="N310" s="5">
        <f>[1]Hybrid!M22</f>
        <v>6647.0477499999997</v>
      </c>
      <c r="O310" s="5">
        <f>[1]Hybrid!N22</f>
        <v>6695.7546039999997</v>
      </c>
      <c r="P310" s="5">
        <f>[1]Hybrid!O22</f>
        <v>6747.728435</v>
      </c>
      <c r="Q310" s="5">
        <f>[1]Hybrid!P22</f>
        <v>6802.3451869999999</v>
      </c>
      <c r="R310" s="5">
        <f>[1]Hybrid!Q22</f>
        <v>6859.0824869999997</v>
      </c>
      <c r="S310" s="5">
        <f>[1]Hybrid!R22</f>
        <v>6917.4998640000003</v>
      </c>
      <c r="T310" s="5">
        <f>[1]Hybrid!S22</f>
        <v>6977.2208620000001</v>
      </c>
      <c r="U310" s="5">
        <f>[1]Hybrid!T22</f>
        <v>7037.9178400000001</v>
      </c>
      <c r="V310" s="5">
        <f>[1]Hybrid!U22</f>
        <v>7099.3006539999997</v>
      </c>
      <c r="W310" s="5">
        <f>[1]Hybrid!V22</f>
        <v>7160.1352619999998</v>
      </c>
      <c r="X310" s="5">
        <f>[1]Hybrid!W22</f>
        <v>7221.2250969999996</v>
      </c>
      <c r="Y310" s="5">
        <f>[1]Hybrid!X22</f>
        <v>7282.3779290000002</v>
      </c>
      <c r="Z310" s="5">
        <f>[1]Hybrid!Y22</f>
        <v>7343.4301999999998</v>
      </c>
      <c r="AA310" s="5">
        <f>[1]Hybrid!Z22</f>
        <v>7404.2246690000002</v>
      </c>
      <c r="AB310" s="5">
        <f>[1]Hybrid!AA22</f>
        <v>7461.859426</v>
      </c>
      <c r="AC310" s="5">
        <f>[1]Hybrid!AB22</f>
        <v>7517.8273470000004</v>
      </c>
      <c r="AD310" s="5">
        <f>[1]Hybrid!AC22</f>
        <v>7572.1291549999996</v>
      </c>
      <c r="AE310" s="5">
        <f>[1]Hybrid!AD22</f>
        <v>7624.8293480000002</v>
      </c>
      <c r="AF310" s="5">
        <f>[1]Hybrid!AE22</f>
        <v>7676.0105739999999</v>
      </c>
      <c r="AG310" s="5">
        <f>[1]Hybrid!AF22</f>
        <v>7725.7477580000004</v>
      </c>
      <c r="AH310" s="5">
        <f>[1]Hybrid!AG22</f>
        <v>7774.0977549999998</v>
      </c>
      <c r="AI310" s="5">
        <f>[1]Hybrid!AH22</f>
        <v>7821.0975120000003</v>
      </c>
      <c r="AJ310" s="5">
        <f>[1]Hybrid!AI22</f>
        <v>7866.766928</v>
      </c>
      <c r="AK310" s="5">
        <f>[1]Hybrid!AJ22</f>
        <v>7911.1133280000004</v>
      </c>
      <c r="AL310" s="5">
        <f>[1]Hybrid!AK22</f>
        <v>7954.1356770000002</v>
      </c>
      <c r="AM310" s="5">
        <f>[1]Hybrid!AL22</f>
        <v>7995.2164659999999</v>
      </c>
      <c r="AN310" s="5">
        <f>[1]Hybrid!AM22</f>
        <v>8034.3926730000003</v>
      </c>
      <c r="AO310" s="5">
        <f>[1]Hybrid!AN22</f>
        <v>8071.71234</v>
      </c>
      <c r="AP310" s="5">
        <f>[1]Hybrid!AO22</f>
        <v>8107.2392019999998</v>
      </c>
      <c r="AQ310" s="5">
        <f>[1]Hybrid!AP22</f>
        <v>8141.0436319999999</v>
      </c>
      <c r="AR310" s="5">
        <f>[1]Hybrid!AQ22</f>
        <v>8173.1924339999996</v>
      </c>
      <c r="AS310" s="5">
        <f>[1]Hybrid!AR22</f>
        <v>8203.740914</v>
      </c>
      <c r="AT310" s="5">
        <f>[1]Hybrid!AS22</f>
        <v>8232.7288559999997</v>
      </c>
      <c r="AU310" s="5">
        <f>[1]Hybrid!AT22</f>
        <v>8260.1795239999992</v>
      </c>
      <c r="AV310" s="5">
        <f>[1]Hybrid!AU22</f>
        <v>8286.1003400000009</v>
      </c>
      <c r="AW310" s="5">
        <f>[1]Hybrid!AV22</f>
        <v>8310.5457430000006</v>
      </c>
      <c r="AX310" s="5">
        <f>[1]Hybrid!AW22</f>
        <v>8333.4943760000006</v>
      </c>
      <c r="AY310" s="5">
        <f>[1]Hybrid!AX22</f>
        <v>8354.8101750000005</v>
      </c>
      <c r="AZ310" s="5">
        <f>[1]Hybrid!AY22</f>
        <v>8374.3450670000002</v>
      </c>
      <c r="BA310" s="5">
        <f>[1]Hybrid!AZ22</f>
        <v>8391.9865929999996</v>
      </c>
      <c r="BB310" s="5">
        <f>[1]Hybrid!BA22</f>
        <v>8944.8946360000009</v>
      </c>
      <c r="BC310" s="5">
        <f>[1]Hybrid!BB22</f>
        <v>8984.7352420000007</v>
      </c>
      <c r="BD310" s="5">
        <f>[1]Hybrid!BC22</f>
        <v>9023.4650409999995</v>
      </c>
      <c r="BE310" s="5">
        <f>[1]Hybrid!BD22</f>
        <v>9061.1200069999995</v>
      </c>
      <c r="BF310" s="5">
        <f>[1]Hybrid!BE22</f>
        <v>9097.7437040000004</v>
      </c>
    </row>
    <row r="311" spans="1:58" x14ac:dyDescent="0.35">
      <c r="B311" s="5" t="str">
        <f>[1]Hybrid!A24</f>
        <v>auto_cd_cfut_2</v>
      </c>
      <c r="C311" s="5">
        <f>[1]Hybrid!B24</f>
        <v>4159.6639080000004</v>
      </c>
      <c r="D311" s="5">
        <f>[1]Hybrid!C24</f>
        <v>4055.9339909999999</v>
      </c>
      <c r="E311" s="5">
        <f>[1]Hybrid!D24</f>
        <v>3977.832574</v>
      </c>
      <c r="F311" s="5">
        <f>[1]Hybrid!E24</f>
        <v>3917.8616280000001</v>
      </c>
      <c r="G311" s="5">
        <f>[1]Hybrid!F24</f>
        <v>3870.9169440000001</v>
      </c>
      <c r="H311" s="5">
        <f>[1]Hybrid!G24</f>
        <v>3833.534416</v>
      </c>
      <c r="I311" s="5">
        <f>[1]Hybrid!H24</f>
        <v>3802.9357030000001</v>
      </c>
      <c r="J311" s="5">
        <f>[1]Hybrid!I24</f>
        <v>3777.4444370000001</v>
      </c>
      <c r="K311" s="5">
        <f>[1]Hybrid!J24</f>
        <v>3755.839923</v>
      </c>
      <c r="L311" s="5">
        <f>[1]Hybrid!K24</f>
        <v>3737.2038280000002</v>
      </c>
      <c r="M311" s="5">
        <f>[1]Hybrid!L24</f>
        <v>3721.4809759999998</v>
      </c>
      <c r="N311" s="5">
        <f>[1]Hybrid!M24</f>
        <v>3707.387252</v>
      </c>
      <c r="O311" s="5">
        <f>[1]Hybrid!N24</f>
        <v>3694.432131</v>
      </c>
      <c r="P311" s="5">
        <f>[1]Hybrid!O24</f>
        <v>3682.1971629999998</v>
      </c>
      <c r="Q311" s="5">
        <f>[1]Hybrid!P24</f>
        <v>3670.3334669999999</v>
      </c>
      <c r="R311" s="5">
        <f>[1]Hybrid!Q24</f>
        <v>3658.5524999999998</v>
      </c>
      <c r="S311" s="5">
        <f>[1]Hybrid!R24</f>
        <v>3646.6147059999998</v>
      </c>
      <c r="T311" s="5">
        <f>[1]Hybrid!S24</f>
        <v>3634.3196950000001</v>
      </c>
      <c r="U311" s="5">
        <f>[1]Hybrid!T24</f>
        <v>3621.4980740000001</v>
      </c>
      <c r="V311" s="5">
        <f>[1]Hybrid!U24</f>
        <v>3608.0053079999998</v>
      </c>
      <c r="W311" s="5">
        <f>[1]Hybrid!V24</f>
        <v>3593.2979679999999</v>
      </c>
      <c r="X311" s="5">
        <f>[1]Hybrid!W24</f>
        <v>3577.730004</v>
      </c>
      <c r="Y311" s="5">
        <f>[1]Hybrid!X24</f>
        <v>3561.2197729999998</v>
      </c>
      <c r="Z311" s="5">
        <f>[1]Hybrid!Y24</f>
        <v>3543.7014979999999</v>
      </c>
      <c r="AA311" s="5">
        <f>[1]Hybrid!Z24</f>
        <v>3525.1164090000002</v>
      </c>
      <c r="AB311" s="5">
        <f>[1]Hybrid!AA24</f>
        <v>3504.320804</v>
      </c>
      <c r="AC311" s="5">
        <f>[1]Hybrid!AB24</f>
        <v>3481.9646590000002</v>
      </c>
      <c r="AD311" s="5">
        <f>[1]Hybrid!AC24</f>
        <v>3458.0896579999999</v>
      </c>
      <c r="AE311" s="5">
        <f>[1]Hybrid!AD24</f>
        <v>3432.7597049999999</v>
      </c>
      <c r="AF311" s="5">
        <f>[1]Hybrid!AE24</f>
        <v>3406.0431760000001</v>
      </c>
      <c r="AG311" s="5">
        <f>[1]Hybrid!AF24</f>
        <v>3378.003549</v>
      </c>
      <c r="AH311" s="5">
        <f>[1]Hybrid!AG24</f>
        <v>3348.6960760000002</v>
      </c>
      <c r="AI311" s="5">
        <f>[1]Hybrid!AH24</f>
        <v>3318.1675970000001</v>
      </c>
      <c r="AJ311" s="5">
        <f>[1]Hybrid!AI24</f>
        <v>3286.458016</v>
      </c>
      <c r="AK311" s="5">
        <f>[1]Hybrid!AJ24</f>
        <v>3253.602316</v>
      </c>
      <c r="AL311" s="5">
        <f>[1]Hybrid!AK24</f>
        <v>3219.6324079999999</v>
      </c>
      <c r="AM311" s="5">
        <f>[1]Hybrid!AL24</f>
        <v>3184.3809839999999</v>
      </c>
      <c r="AN311" s="5">
        <f>[1]Hybrid!AM24</f>
        <v>3147.9045230000002</v>
      </c>
      <c r="AO311" s="5">
        <f>[1]Hybrid!AN24</f>
        <v>3110.2631999999999</v>
      </c>
      <c r="AP311" s="5">
        <f>[1]Hybrid!AO24</f>
        <v>3071.5213389999999</v>
      </c>
      <c r="AQ311" s="5">
        <f>[1]Hybrid!AP24</f>
        <v>3031.744158</v>
      </c>
      <c r="AR311" s="5">
        <f>[1]Hybrid!AQ24</f>
        <v>2990.9947029999998</v>
      </c>
      <c r="AS311" s="5">
        <f>[1]Hybrid!AR24</f>
        <v>2949.3318089999998</v>
      </c>
      <c r="AT311" s="5">
        <f>[1]Hybrid!AS24</f>
        <v>2906.809358</v>
      </c>
      <c r="AU311" s="5">
        <f>[1]Hybrid!AT24</f>
        <v>2863.4764930000001</v>
      </c>
      <c r="AV311" s="5">
        <f>[1]Hybrid!AU24</f>
        <v>2819.3782769999998</v>
      </c>
      <c r="AW311" s="5">
        <f>[1]Hybrid!AV24</f>
        <v>2774.5795079999998</v>
      </c>
      <c r="AX311" s="5">
        <f>[1]Hybrid!AW24</f>
        <v>2729.1386200000002</v>
      </c>
      <c r="AY311" s="5">
        <f>[1]Hybrid!AX24</f>
        <v>2683.0835550000002</v>
      </c>
      <c r="AZ311" s="5">
        <f>[1]Hybrid!AY24</f>
        <v>2636.434444</v>
      </c>
      <c r="BA311" s="5">
        <f>[1]Hybrid!AZ24</f>
        <v>2589.2159590000001</v>
      </c>
      <c r="BB311" s="5">
        <f>[1]Hybrid!BA24</f>
        <v>2593.1708560000002</v>
      </c>
      <c r="BC311" s="5">
        <f>[1]Hybrid!BB24</f>
        <v>2544.777732</v>
      </c>
      <c r="BD311" s="5">
        <f>[1]Hybrid!BC24</f>
        <v>2495.8074900000001</v>
      </c>
      <c r="BE311" s="5">
        <f>[1]Hybrid!BD24</f>
        <v>2446.3127749999999</v>
      </c>
      <c r="BF311" s="5">
        <f>[1]Hybrid!BE24</f>
        <v>2396.3466669999998</v>
      </c>
    </row>
    <row r="312" spans="1:58" x14ac:dyDescent="0.35">
      <c r="B312" s="5" t="str">
        <f>[1]Hybrid!A26</f>
        <v>auto_ce_cfut_2</v>
      </c>
      <c r="C312" s="5">
        <f>[1]Hybrid!B26</f>
        <v>2503.7292430000002</v>
      </c>
      <c r="D312" s="5">
        <f>[1]Hybrid!C26</f>
        <v>2443.5728859999999</v>
      </c>
      <c r="E312" s="5">
        <f>[1]Hybrid!D26</f>
        <v>2397.8151290000001</v>
      </c>
      <c r="F312" s="5">
        <f>[1]Hybrid!E26</f>
        <v>2361.6686730000001</v>
      </c>
      <c r="G312" s="5">
        <f>[1]Hybrid!F26</f>
        <v>2331.94076</v>
      </c>
      <c r="H312" s="5">
        <f>[1]Hybrid!G26</f>
        <v>2306.5163090000001</v>
      </c>
      <c r="I312" s="5">
        <f>[1]Hybrid!H26</f>
        <v>2283.751424</v>
      </c>
      <c r="J312" s="5">
        <f>[1]Hybrid!I26</f>
        <v>2262.692571</v>
      </c>
      <c r="K312" s="5">
        <f>[1]Hybrid!J26</f>
        <v>2242.6751020000002</v>
      </c>
      <c r="L312" s="5">
        <f>[1]Hybrid!K26</f>
        <v>2223.222859</v>
      </c>
      <c r="M312" s="5">
        <f>[1]Hybrid!L26</f>
        <v>2204.352065</v>
      </c>
      <c r="N312" s="5">
        <f>[1]Hybrid!M26</f>
        <v>2185.3922600000001</v>
      </c>
      <c r="O312" s="5">
        <f>[1]Hybrid!N26</f>
        <v>2166.127782</v>
      </c>
      <c r="P312" s="5">
        <f>[1]Hybrid!O26</f>
        <v>2146.386947</v>
      </c>
      <c r="Q312" s="5">
        <f>[1]Hybrid!P26</f>
        <v>2126.0388069999999</v>
      </c>
      <c r="R312" s="5">
        <f>[1]Hybrid!Q26</f>
        <v>2104.9868660000002</v>
      </c>
      <c r="S312" s="5">
        <f>[1]Hybrid!R26</f>
        <v>2083.1621449999998</v>
      </c>
      <c r="T312" s="5">
        <f>[1]Hybrid!S26</f>
        <v>2060.51737</v>
      </c>
      <c r="U312" s="5">
        <f>[1]Hybrid!T26</f>
        <v>2037.022236</v>
      </c>
      <c r="V312" s="5">
        <f>[1]Hybrid!U26</f>
        <v>2012.6598260000001</v>
      </c>
      <c r="W312" s="5">
        <f>[1]Hybrid!V26</f>
        <v>1987.218566</v>
      </c>
      <c r="X312" s="5">
        <f>[1]Hybrid!W26</f>
        <v>1960.9325140000001</v>
      </c>
      <c r="Y312" s="5">
        <f>[1]Hybrid!X26</f>
        <v>1933.8165959999999</v>
      </c>
      <c r="Z312" s="5">
        <f>[1]Hybrid!Y26</f>
        <v>1905.892507</v>
      </c>
      <c r="AA312" s="5">
        <f>[1]Hybrid!Z26</f>
        <v>1877.184757</v>
      </c>
      <c r="AB312" s="5">
        <f>[1]Hybrid!AA26</f>
        <v>1847.2240240000001</v>
      </c>
      <c r="AC312" s="5">
        <f>[1]Hybrid!AB26</f>
        <v>1816.374622</v>
      </c>
      <c r="AD312" s="5">
        <f>[1]Hybrid!AC26</f>
        <v>1784.714528</v>
      </c>
      <c r="AE312" s="5">
        <f>[1]Hybrid!AD26</f>
        <v>1752.3278399999999</v>
      </c>
      <c r="AF312" s="5">
        <f>[1]Hybrid!AE26</f>
        <v>1719.297053</v>
      </c>
      <c r="AG312" s="5">
        <f>[1]Hybrid!AF26</f>
        <v>1685.6993259999999</v>
      </c>
      <c r="AH312" s="5">
        <f>[1]Hybrid!AG26</f>
        <v>1651.6054180000001</v>
      </c>
      <c r="AI312" s="5">
        <f>[1]Hybrid!AH26</f>
        <v>1617.079943</v>
      </c>
      <c r="AJ312" s="5">
        <f>[1]Hybrid!AI26</f>
        <v>1582.182282</v>
      </c>
      <c r="AK312" s="5">
        <f>[1]Hybrid!AJ26</f>
        <v>1546.9676810000001</v>
      </c>
      <c r="AL312" s="5">
        <f>[1]Hybrid!AK26</f>
        <v>1511.4882279999999</v>
      </c>
      <c r="AM312" s="5">
        <f>[1]Hybrid!AL26</f>
        <v>1475.719122</v>
      </c>
      <c r="AN312" s="5">
        <f>[1]Hybrid!AM26</f>
        <v>1439.722344</v>
      </c>
      <c r="AO312" s="5">
        <f>[1]Hybrid!AN26</f>
        <v>1403.5593200000001</v>
      </c>
      <c r="AP312" s="5">
        <f>[1]Hybrid!AO26</f>
        <v>1367.290786</v>
      </c>
      <c r="AQ312" s="5">
        <f>[1]Hybrid!AP26</f>
        <v>1330.975518</v>
      </c>
      <c r="AR312" s="5">
        <f>[1]Hybrid!AQ26</f>
        <v>1294.6693150000001</v>
      </c>
      <c r="AS312" s="5">
        <f>[1]Hybrid!AR26</f>
        <v>1258.4244450000001</v>
      </c>
      <c r="AT312" s="5">
        <f>[1]Hybrid!AS26</f>
        <v>1222.2895679999999</v>
      </c>
      <c r="AU312" s="5">
        <f>[1]Hybrid!AT26</f>
        <v>1186.309992</v>
      </c>
      <c r="AV312" s="5">
        <f>[1]Hybrid!AU26</f>
        <v>1150.528047</v>
      </c>
      <c r="AW312" s="5">
        <f>[1]Hybrid!AV26</f>
        <v>1114.9924619999999</v>
      </c>
      <c r="AX312" s="5">
        <f>[1]Hybrid!AW26</f>
        <v>1079.7514430000001</v>
      </c>
      <c r="AY312" s="5">
        <f>[1]Hybrid!AX26</f>
        <v>1044.841269</v>
      </c>
      <c r="AZ312" s="5">
        <f>[1]Hybrid!AY26</f>
        <v>1010.292422</v>
      </c>
      <c r="BA312" s="5">
        <f>[1]Hybrid!AZ26</f>
        <v>976.13361850000001</v>
      </c>
      <c r="BB312" s="5">
        <f>[1]Hybrid!BA26</f>
        <v>942.4006637</v>
      </c>
      <c r="BC312" s="5">
        <f>[1]Hybrid!BB26</f>
        <v>908.72411469999997</v>
      </c>
      <c r="BD312" s="5">
        <f>[1]Hybrid!BC26</f>
        <v>875.52158870000005</v>
      </c>
      <c r="BE312" s="5">
        <f>[1]Hybrid!BD26</f>
        <v>842.82576189999997</v>
      </c>
      <c r="BF312" s="5">
        <f>[1]Hybrid!BE26</f>
        <v>810.66726630000005</v>
      </c>
    </row>
    <row r="313" spans="1:58" x14ac:dyDescent="0.35">
      <c r="B313" s="5" t="str">
        <f>[1]Hybrid!A28</f>
        <v>auto_cf_cfut_2</v>
      </c>
      <c r="C313" s="5">
        <f>[1]Hybrid!B28</f>
        <v>1243.6668460000001</v>
      </c>
      <c r="D313" s="5">
        <f>[1]Hybrid!C28</f>
        <v>1210.938979</v>
      </c>
      <c r="E313" s="5">
        <f>[1]Hybrid!D28</f>
        <v>1183.6685669999999</v>
      </c>
      <c r="F313" s="5">
        <f>[1]Hybrid!E28</f>
        <v>1159.2648139999999</v>
      </c>
      <c r="G313" s="5">
        <f>[1]Hybrid!F28</f>
        <v>1136.13545</v>
      </c>
      <c r="H313" s="5">
        <f>[1]Hybrid!G28</f>
        <v>1113.336043</v>
      </c>
      <c r="I313" s="5">
        <f>[1]Hybrid!H28</f>
        <v>1090.2349919999999</v>
      </c>
      <c r="J313" s="5">
        <f>[1]Hybrid!I28</f>
        <v>1066.554809</v>
      </c>
      <c r="K313" s="5">
        <f>[1]Hybrid!J28</f>
        <v>1042.1687159999999</v>
      </c>
      <c r="L313" s="5">
        <f>[1]Hybrid!K28</f>
        <v>1017.040855</v>
      </c>
      <c r="M313" s="5">
        <f>[1]Hybrid!L28</f>
        <v>991.31507369999997</v>
      </c>
      <c r="N313" s="5">
        <f>[1]Hybrid!M28</f>
        <v>964.89595299999996</v>
      </c>
      <c r="O313" s="5">
        <f>[1]Hybrid!N28</f>
        <v>937.85305779999999</v>
      </c>
      <c r="P313" s="5">
        <f>[1]Hybrid!O28</f>
        <v>910.26925119999999</v>
      </c>
      <c r="Q313" s="5">
        <f>[1]Hybrid!P28</f>
        <v>882.23674200000005</v>
      </c>
      <c r="R313" s="5">
        <f>[1]Hybrid!Q28</f>
        <v>853.8532007</v>
      </c>
      <c r="S313" s="5">
        <f>[1]Hybrid!R28</f>
        <v>825.21843249999995</v>
      </c>
      <c r="T313" s="5">
        <f>[1]Hybrid!S28</f>
        <v>796.43186089999995</v>
      </c>
      <c r="U313" s="5">
        <f>[1]Hybrid!T28</f>
        <v>767.59062370000004</v>
      </c>
      <c r="V313" s="5">
        <f>[1]Hybrid!U28</f>
        <v>738.78818879999994</v>
      </c>
      <c r="W313" s="5">
        <f>[1]Hybrid!V28</f>
        <v>710.06928909999999</v>
      </c>
      <c r="X313" s="5">
        <f>[1]Hybrid!W28</f>
        <v>681.571147</v>
      </c>
      <c r="Y313" s="5">
        <f>[1]Hybrid!X28</f>
        <v>653.37204259999999</v>
      </c>
      <c r="Z313" s="5">
        <f>[1]Hybrid!Y28</f>
        <v>625.54381409999996</v>
      </c>
      <c r="AA313" s="5">
        <f>[1]Hybrid!Z28</f>
        <v>598.15154989999996</v>
      </c>
      <c r="AB313" s="5">
        <f>[1]Hybrid!AA28</f>
        <v>571.17210590000002</v>
      </c>
      <c r="AC313" s="5">
        <f>[1]Hybrid!AB28</f>
        <v>544.72296449999999</v>
      </c>
      <c r="AD313" s="5">
        <f>[1]Hybrid!AC28</f>
        <v>518.86176469999998</v>
      </c>
      <c r="AE313" s="5">
        <f>[1]Hybrid!AD28</f>
        <v>493.6385727</v>
      </c>
      <c r="AF313" s="5">
        <f>[1]Hybrid!AE28</f>
        <v>469.09542479999999</v>
      </c>
      <c r="AG313" s="5">
        <f>[1]Hybrid!AF28</f>
        <v>445.26657740000002</v>
      </c>
      <c r="AH313" s="5">
        <f>[1]Hybrid!AG28</f>
        <v>422.1790977</v>
      </c>
      <c r="AI313" s="5">
        <f>[1]Hybrid!AH28</f>
        <v>399.85356519999999</v>
      </c>
      <c r="AJ313" s="5">
        <f>[1]Hybrid!AI28</f>
        <v>378.3047871</v>
      </c>
      <c r="AK313" s="5">
        <f>[1]Hybrid!AJ28</f>
        <v>357.54247520000001</v>
      </c>
      <c r="AL313" s="5">
        <f>[1]Hybrid!AK28</f>
        <v>337.57184760000001</v>
      </c>
      <c r="AM313" s="5">
        <f>[1]Hybrid!AL28</f>
        <v>318.38787450000001</v>
      </c>
      <c r="AN313" s="5">
        <f>[1]Hybrid!AM28</f>
        <v>299.99059549999998</v>
      </c>
      <c r="AO313" s="5">
        <f>[1]Hybrid!AN28</f>
        <v>282.3766842</v>
      </c>
      <c r="AP313" s="5">
        <f>[1]Hybrid!AO28</f>
        <v>265.53969740000002</v>
      </c>
      <c r="AQ313" s="5">
        <f>[1]Hybrid!AP28</f>
        <v>249.47029839999999</v>
      </c>
      <c r="AR313" s="5">
        <f>[1]Hybrid!AQ28</f>
        <v>234.15652779999999</v>
      </c>
      <c r="AS313" s="5">
        <f>[1]Hybrid!AR28</f>
        <v>219.58410409999999</v>
      </c>
      <c r="AT313" s="5">
        <f>[1]Hybrid!AS28</f>
        <v>205.73673640000001</v>
      </c>
      <c r="AU313" s="5">
        <f>[1]Hybrid!AT28</f>
        <v>192.59642980000001</v>
      </c>
      <c r="AV313" s="5">
        <f>[1]Hybrid!AU28</f>
        <v>180.14376920000001</v>
      </c>
      <c r="AW313" s="5">
        <f>[1]Hybrid!AV28</f>
        <v>168.3587905</v>
      </c>
      <c r="AX313" s="5">
        <f>[1]Hybrid!AW28</f>
        <v>157.22092900000001</v>
      </c>
      <c r="AY313" s="5">
        <f>[1]Hybrid!AX28</f>
        <v>146.70819560000001</v>
      </c>
      <c r="AZ313" s="5">
        <f>[1]Hybrid!AY28</f>
        <v>136.7975835</v>
      </c>
      <c r="BA313" s="5">
        <f>[1]Hybrid!AZ28</f>
        <v>127.4655032</v>
      </c>
      <c r="BB313" s="5">
        <f>[1]Hybrid!BA28</f>
        <v>114.4251134</v>
      </c>
      <c r="BC313" s="5">
        <f>[1]Hybrid!BB28</f>
        <v>106.3615669</v>
      </c>
      <c r="BD313" s="5">
        <f>[1]Hybrid!BC28</f>
        <v>98.805041329999995</v>
      </c>
      <c r="BE313" s="5">
        <f>[1]Hybrid!BD28</f>
        <v>91.7312467</v>
      </c>
      <c r="BF313" s="5">
        <f>[1]Hybrid!BE28</f>
        <v>85.116179560000006</v>
      </c>
    </row>
    <row r="314" spans="1:58" x14ac:dyDescent="0.35">
      <c r="B314" s="5" t="str">
        <f>[1]Hybrid!A30</f>
        <v>auto_cg_cfut_2</v>
      </c>
      <c r="C314" s="5">
        <f>[1]Hybrid!B30</f>
        <v>2239.620606</v>
      </c>
      <c r="D314" s="5">
        <f>[1]Hybrid!C30</f>
        <v>2183.8408880000002</v>
      </c>
      <c r="E314" s="5">
        <f>[1]Hybrid!D30</f>
        <v>2135.0917559999998</v>
      </c>
      <c r="F314" s="5">
        <f>[1]Hybrid!E30</f>
        <v>2088.315822</v>
      </c>
      <c r="G314" s="5">
        <f>[1]Hybrid!F30</f>
        <v>2040.7131609999999</v>
      </c>
      <c r="H314" s="5">
        <f>[1]Hybrid!G30</f>
        <v>1990.8943429999999</v>
      </c>
      <c r="I314" s="5">
        <f>[1]Hybrid!H30</f>
        <v>1938.1652369999999</v>
      </c>
      <c r="J314" s="5">
        <f>[1]Hybrid!I30</f>
        <v>1882.4973359999999</v>
      </c>
      <c r="K314" s="5">
        <f>[1]Hybrid!J30</f>
        <v>1824.12779</v>
      </c>
      <c r="L314" s="5">
        <f>[1]Hybrid!K30</f>
        <v>1763.4297349999999</v>
      </c>
      <c r="M314" s="5">
        <f>[1]Hybrid!L30</f>
        <v>1701.0094630000001</v>
      </c>
      <c r="N314" s="5">
        <f>[1]Hybrid!M30</f>
        <v>1637.1047940000001</v>
      </c>
      <c r="O314" s="5">
        <f>[1]Hybrid!N30</f>
        <v>1572.1608880000001</v>
      </c>
      <c r="P314" s="5">
        <f>[1]Hybrid!O30</f>
        <v>1506.606495</v>
      </c>
      <c r="Q314" s="5">
        <f>[1]Hybrid!P30</f>
        <v>1440.846438</v>
      </c>
      <c r="R314" s="5">
        <f>[1]Hybrid!Q30</f>
        <v>1375.2560719999999</v>
      </c>
      <c r="S314" s="5">
        <f>[1]Hybrid!R30</f>
        <v>1310.1777480000001</v>
      </c>
      <c r="T314" s="5">
        <f>[1]Hybrid!S30</f>
        <v>1245.91905</v>
      </c>
      <c r="U314" s="5">
        <f>[1]Hybrid!T30</f>
        <v>1182.7522650000001</v>
      </c>
      <c r="V314" s="5">
        <f>[1]Hybrid!U30</f>
        <v>1120.9147700000001</v>
      </c>
      <c r="W314" s="5">
        <f>[1]Hybrid!V30</f>
        <v>1060.569608</v>
      </c>
      <c r="X314" s="5">
        <f>[1]Hybrid!W30</f>
        <v>1001.9403</v>
      </c>
      <c r="Y314" s="5">
        <f>[1]Hybrid!X30</f>
        <v>945.16730849999999</v>
      </c>
      <c r="Z314" s="5">
        <f>[1]Hybrid!Y30</f>
        <v>890.36207390000004</v>
      </c>
      <c r="AA314" s="5">
        <f>[1]Hybrid!Z30</f>
        <v>837.60943359999999</v>
      </c>
      <c r="AB314" s="5">
        <f>[1]Hybrid!AA30</f>
        <v>786.91085980000003</v>
      </c>
      <c r="AC314" s="5">
        <f>[1]Hybrid!AB30</f>
        <v>738.35889299999997</v>
      </c>
      <c r="AD314" s="5">
        <f>[1]Hybrid!AC30</f>
        <v>691.98310649999996</v>
      </c>
      <c r="AE314" s="5">
        <f>[1]Hybrid!AD30</f>
        <v>647.79309220000005</v>
      </c>
      <c r="AF314" s="5">
        <f>[1]Hybrid!AE30</f>
        <v>605.78064970000003</v>
      </c>
      <c r="AG314" s="5">
        <f>[1]Hybrid!AF30</f>
        <v>565.92226540000001</v>
      </c>
      <c r="AH314" s="5">
        <f>[1]Hybrid!AG30</f>
        <v>528.1815517</v>
      </c>
      <c r="AI314" s="5">
        <f>[1]Hybrid!AH30</f>
        <v>492.51149679999997</v>
      </c>
      <c r="AJ314" s="5">
        <f>[1]Hybrid!AI30</f>
        <v>458.85648759999998</v>
      </c>
      <c r="AK314" s="5">
        <f>[1]Hybrid!AJ30</f>
        <v>427.15409749999998</v>
      </c>
      <c r="AL314" s="5">
        <f>[1]Hybrid!AK30</f>
        <v>397.33664060000001</v>
      </c>
      <c r="AM314" s="5">
        <f>[1]Hybrid!AL30</f>
        <v>369.32998309999999</v>
      </c>
      <c r="AN314" s="5">
        <f>[1]Hybrid!AM30</f>
        <v>343.0610403</v>
      </c>
      <c r="AO314" s="5">
        <f>[1]Hybrid!AN30</f>
        <v>318.4546689</v>
      </c>
      <c r="AP314" s="5">
        <f>[1]Hybrid!AO30</f>
        <v>295.43449579999998</v>
      </c>
      <c r="AQ314" s="5">
        <f>[1]Hybrid!AP30</f>
        <v>273.92365819999998</v>
      </c>
      <c r="AR314" s="5">
        <f>[1]Hybrid!AQ30</f>
        <v>253.84547280000001</v>
      </c>
      <c r="AS314" s="5">
        <f>[1]Hybrid!AR30</f>
        <v>235.12402420000001</v>
      </c>
      <c r="AT314" s="5">
        <f>[1]Hybrid!AS30</f>
        <v>217.6846673</v>
      </c>
      <c r="AU314" s="5">
        <f>[1]Hybrid!AT30</f>
        <v>201.4544472</v>
      </c>
      <c r="AV314" s="5">
        <f>[1]Hybrid!AU30</f>
        <v>186.3624399</v>
      </c>
      <c r="AW314" s="5">
        <f>[1]Hybrid!AV30</f>
        <v>172.34018929999999</v>
      </c>
      <c r="AX314" s="5">
        <f>[1]Hybrid!AW30</f>
        <v>159.32182739999999</v>
      </c>
      <c r="AY314" s="5">
        <f>[1]Hybrid!AX30</f>
        <v>147.24392839999999</v>
      </c>
      <c r="AZ314" s="5">
        <f>[1]Hybrid!AY30</f>
        <v>136.0456873</v>
      </c>
      <c r="BA314" s="5">
        <f>[1]Hybrid!AZ30</f>
        <v>125.6690747</v>
      </c>
      <c r="BB314" s="5">
        <f>[1]Hybrid!BA30</f>
        <v>112.4660597</v>
      </c>
      <c r="BC314" s="5">
        <f>[1]Hybrid!BB30</f>
        <v>103.8162528</v>
      </c>
      <c r="BD314" s="5">
        <f>[1]Hybrid!BC30</f>
        <v>95.817794160000005</v>
      </c>
      <c r="BE314" s="5">
        <f>[1]Hybrid!BD30</f>
        <v>88.424316970000007</v>
      </c>
      <c r="BF314" s="5">
        <f>[1]Hybrid!BE30</f>
        <v>81.592274309999993</v>
      </c>
    </row>
    <row r="315" spans="1:58" x14ac:dyDescent="0.35">
      <c r="B315" s="5" t="str">
        <f>[1]Hybrid!A32</f>
        <v>auto_ca_cele_2</v>
      </c>
      <c r="C315" s="5">
        <f>[1]Hybrid!B32</f>
        <v>9.8427898650000003</v>
      </c>
      <c r="D315" s="5">
        <f>[1]Hybrid!C32</f>
        <v>15.01139886</v>
      </c>
      <c r="E315" s="5">
        <f>[1]Hybrid!D32</f>
        <v>20.490446309999999</v>
      </c>
      <c r="F315" s="5">
        <f>[1]Hybrid!E32</f>
        <v>26.154494639999999</v>
      </c>
      <c r="G315" s="5">
        <f>[1]Hybrid!F32</f>
        <v>31.922674359999998</v>
      </c>
      <c r="H315" s="5">
        <f>[1]Hybrid!G32</f>
        <v>37.74459779</v>
      </c>
      <c r="I315" s="5">
        <f>[1]Hybrid!H32</f>
        <v>43.578617469999998</v>
      </c>
      <c r="J315" s="5">
        <f>[1]Hybrid!I32</f>
        <v>49.405478809999998</v>
      </c>
      <c r="K315" s="5">
        <f>[1]Hybrid!J32</f>
        <v>55.21361323</v>
      </c>
      <c r="L315" s="5">
        <f>[1]Hybrid!K32</f>
        <v>60.996418159999997</v>
      </c>
      <c r="M315" s="5">
        <f>[1]Hybrid!L32</f>
        <v>66.770414200000005</v>
      </c>
      <c r="N315" s="5">
        <f>[1]Hybrid!M32</f>
        <v>72.514494819999996</v>
      </c>
      <c r="O315" s="5">
        <f>[1]Hybrid!N32</f>
        <v>78.228190720000001</v>
      </c>
      <c r="P315" s="5">
        <f>[1]Hybrid!O32</f>
        <v>83.911809390000002</v>
      </c>
      <c r="Q315" s="5">
        <f>[1]Hybrid!P32</f>
        <v>89.566686540000006</v>
      </c>
      <c r="R315" s="5">
        <f>[1]Hybrid!Q32</f>
        <v>95.195153149999996</v>
      </c>
      <c r="S315" s="5">
        <f>[1]Hybrid!R32</f>
        <v>100.80037230000001</v>
      </c>
      <c r="T315" s="5">
        <f>[1]Hybrid!S32</f>
        <v>106.3861821</v>
      </c>
      <c r="U315" s="5">
        <f>[1]Hybrid!T32</f>
        <v>111.95696700000001</v>
      </c>
      <c r="V315" s="5">
        <f>[1]Hybrid!U32</f>
        <v>117.5175778</v>
      </c>
      <c r="W315" s="5">
        <f>[1]Hybrid!V32</f>
        <v>123.0569794</v>
      </c>
      <c r="X315" s="5">
        <f>[1]Hybrid!W32</f>
        <v>128.59741639999999</v>
      </c>
      <c r="Y315" s="5">
        <f>[1]Hybrid!X32</f>
        <v>134.14561069999999</v>
      </c>
      <c r="Z315" s="5">
        <f>[1]Hybrid!Y32</f>
        <v>139.7090121</v>
      </c>
      <c r="AA315" s="5">
        <f>[1]Hybrid!Z32</f>
        <v>145.2954689</v>
      </c>
      <c r="AB315" s="5">
        <f>[1]Hybrid!AA32</f>
        <v>150.863697</v>
      </c>
      <c r="AC315" s="5">
        <f>[1]Hybrid!AB32</f>
        <v>156.448769</v>
      </c>
      <c r="AD315" s="5">
        <f>[1]Hybrid!AC32</f>
        <v>162.0613195</v>
      </c>
      <c r="AE315" s="5">
        <f>[1]Hybrid!AD32</f>
        <v>167.7140977</v>
      </c>
      <c r="AF315" s="5">
        <f>[1]Hybrid!AE32</f>
        <v>173.42124440000001</v>
      </c>
      <c r="AG315" s="5">
        <f>[1]Hybrid!AF32</f>
        <v>179.19788019999999</v>
      </c>
      <c r="AH315" s="5">
        <f>[1]Hybrid!AG32</f>
        <v>185.0599569</v>
      </c>
      <c r="AI315" s="5">
        <f>[1]Hybrid!AH32</f>
        <v>191.02426109999999</v>
      </c>
      <c r="AJ315" s="5">
        <f>[1]Hybrid!AI32</f>
        <v>197.10850909999999</v>
      </c>
      <c r="AK315" s="5">
        <f>[1]Hybrid!AJ32</f>
        <v>203.33148890000001</v>
      </c>
      <c r="AL315" s="5">
        <f>[1]Hybrid!AK32</f>
        <v>209.71321620000001</v>
      </c>
      <c r="AM315" s="5">
        <f>[1]Hybrid!AL32</f>
        <v>216.26120510000001</v>
      </c>
      <c r="AN315" s="5">
        <f>[1]Hybrid!AM32</f>
        <v>222.99809260000001</v>
      </c>
      <c r="AO315" s="5">
        <f>[1]Hybrid!AN32</f>
        <v>229.94860840000001</v>
      </c>
      <c r="AP315" s="5">
        <f>[1]Hybrid!AO32</f>
        <v>237.13991669999999</v>
      </c>
      <c r="AQ315" s="5">
        <f>[1]Hybrid!AP32</f>
        <v>244.60163850000001</v>
      </c>
      <c r="AR315" s="5">
        <f>[1]Hybrid!AQ32</f>
        <v>252.36582419999999</v>
      </c>
      <c r="AS315" s="5">
        <f>[1]Hybrid!AR32</f>
        <v>260.4669629</v>
      </c>
      <c r="AT315" s="5">
        <f>[1]Hybrid!AS32</f>
        <v>268.94207690000002</v>
      </c>
      <c r="AU315" s="5">
        <f>[1]Hybrid!AT32</f>
        <v>277.83089569999999</v>
      </c>
      <c r="AV315" s="5">
        <f>[1]Hybrid!AU32</f>
        <v>287.17608949999999</v>
      </c>
      <c r="AW315" s="5">
        <f>[1]Hybrid!AV32</f>
        <v>297.02519740000002</v>
      </c>
      <c r="AX315" s="5">
        <f>[1]Hybrid!AW32</f>
        <v>307.42718239999999</v>
      </c>
      <c r="AY315" s="5">
        <f>[1]Hybrid!AX32</f>
        <v>318.43164890000003</v>
      </c>
      <c r="AZ315" s="5">
        <f>[1]Hybrid!AY32</f>
        <v>330.09226649999999</v>
      </c>
      <c r="BA315" s="5">
        <f>[1]Hybrid!AZ32</f>
        <v>342.46872589999998</v>
      </c>
      <c r="BB315" s="5">
        <f>[1]Hybrid!BA32</f>
        <v>99.339215170000003</v>
      </c>
      <c r="BC315" s="5">
        <f>[1]Hybrid!BB32</f>
        <v>86.987539580000004</v>
      </c>
      <c r="BD315" s="5">
        <f>[1]Hybrid!BC32</f>
        <v>73.015126519999995</v>
      </c>
      <c r="BE315" s="5">
        <f>[1]Hybrid!BD32</f>
        <v>57.267535199999998</v>
      </c>
      <c r="BF315" s="5">
        <f>[1]Hybrid!BE32</f>
        <v>39.574651529999997</v>
      </c>
    </row>
    <row r="316" spans="1:58" x14ac:dyDescent="0.35">
      <c r="B316" s="5" t="str">
        <f>[1]Hybrid!A34</f>
        <v>auto_cb_cele_2</v>
      </c>
      <c r="C316" s="5">
        <f>[1]Hybrid!B34</f>
        <v>11.44571741</v>
      </c>
      <c r="D316" s="5">
        <f>[1]Hybrid!C34</f>
        <v>16.322206730000001</v>
      </c>
      <c r="E316" s="5">
        <f>[1]Hybrid!D34</f>
        <v>21.49012896</v>
      </c>
      <c r="F316" s="5">
        <f>[1]Hybrid!E34</f>
        <v>26.826603089999999</v>
      </c>
      <c r="G316" s="5">
        <f>[1]Hybrid!F34</f>
        <v>32.252515180000003</v>
      </c>
      <c r="H316" s="5">
        <f>[1]Hybrid!G34</f>
        <v>37.718506009999999</v>
      </c>
      <c r="I316" s="5">
        <f>[1]Hybrid!H34</f>
        <v>43.183941500000003</v>
      </c>
      <c r="J316" s="5">
        <f>[1]Hybrid!I34</f>
        <v>48.629718150000002</v>
      </c>
      <c r="K316" s="5">
        <f>[1]Hybrid!J34</f>
        <v>54.044140769999998</v>
      </c>
      <c r="L316" s="5">
        <f>[1]Hybrid!K34</f>
        <v>59.420281770000003</v>
      </c>
      <c r="M316" s="5">
        <f>[1]Hybrid!L34</f>
        <v>64.772998700000002</v>
      </c>
      <c r="N316" s="5">
        <f>[1]Hybrid!M34</f>
        <v>70.081712359999997</v>
      </c>
      <c r="O316" s="5">
        <f>[1]Hybrid!N34</f>
        <v>75.345345030000004</v>
      </c>
      <c r="P316" s="5">
        <f>[1]Hybrid!O34</f>
        <v>80.563580299999998</v>
      </c>
      <c r="Q316" s="5">
        <f>[1]Hybrid!P34</f>
        <v>85.737085250000007</v>
      </c>
      <c r="R316" s="5">
        <f>[1]Hybrid!Q34</f>
        <v>90.86746857</v>
      </c>
      <c r="S316" s="5">
        <f>[1]Hybrid!R34</f>
        <v>95.957120540000005</v>
      </c>
      <c r="T316" s="5">
        <f>[1]Hybrid!S34</f>
        <v>101.0090612</v>
      </c>
      <c r="U316" s="5">
        <f>[1]Hybrid!T34</f>
        <v>106.02681699999999</v>
      </c>
      <c r="V316" s="5">
        <f>[1]Hybrid!U34</f>
        <v>111.0143422</v>
      </c>
      <c r="W316" s="5">
        <f>[1]Hybrid!V34</f>
        <v>115.9610497</v>
      </c>
      <c r="X316" s="5">
        <f>[1]Hybrid!W34</f>
        <v>120.88690389999999</v>
      </c>
      <c r="Y316" s="5">
        <f>[1]Hybrid!X34</f>
        <v>125.79756519999999</v>
      </c>
      <c r="Z316" s="5">
        <f>[1]Hybrid!Y34</f>
        <v>130.6993228</v>
      </c>
      <c r="AA316" s="5">
        <f>[1]Hybrid!Z34</f>
        <v>135.59879309999999</v>
      </c>
      <c r="AB316" s="5">
        <f>[1]Hybrid!AA34</f>
        <v>140.45824049999999</v>
      </c>
      <c r="AC316" s="5">
        <f>[1]Hybrid!AB34</f>
        <v>145.30914949999999</v>
      </c>
      <c r="AD316" s="5">
        <f>[1]Hybrid!AC34</f>
        <v>150.16080030000001</v>
      </c>
      <c r="AE316" s="5">
        <f>[1]Hybrid!AD34</f>
        <v>155.0242944</v>
      </c>
      <c r="AF316" s="5">
        <f>[1]Hybrid!AE34</f>
        <v>159.91188550000001</v>
      </c>
      <c r="AG316" s="5">
        <f>[1]Hybrid!AF34</f>
        <v>164.83659599999999</v>
      </c>
      <c r="AH316" s="5">
        <f>[1]Hybrid!AG34</f>
        <v>169.8120681</v>
      </c>
      <c r="AI316" s="5">
        <f>[1]Hybrid!AH34</f>
        <v>174.8525468</v>
      </c>
      <c r="AJ316" s="5">
        <f>[1]Hybrid!AI34</f>
        <v>179.97294389999999</v>
      </c>
      <c r="AK316" s="5">
        <f>[1]Hybrid!AJ34</f>
        <v>185.188939</v>
      </c>
      <c r="AL316" s="5">
        <f>[1]Hybrid!AK34</f>
        <v>190.5170933</v>
      </c>
      <c r="AM316" s="5">
        <f>[1]Hybrid!AL34</f>
        <v>195.9628395</v>
      </c>
      <c r="AN316" s="5">
        <f>[1]Hybrid!AM34</f>
        <v>201.54470409999999</v>
      </c>
      <c r="AO316" s="5">
        <f>[1]Hybrid!AN34</f>
        <v>207.28278789999999</v>
      </c>
      <c r="AP316" s="5">
        <f>[1]Hybrid!AO34</f>
        <v>213.1990131</v>
      </c>
      <c r="AQ316" s="5">
        <f>[1]Hybrid!AP34</f>
        <v>219.31709309999999</v>
      </c>
      <c r="AR316" s="5">
        <f>[1]Hybrid!AQ34</f>
        <v>225.66246000000001</v>
      </c>
      <c r="AS316" s="5">
        <f>[1]Hybrid!AR34</f>
        <v>232.26222139999999</v>
      </c>
      <c r="AT316" s="5">
        <f>[1]Hybrid!AS34</f>
        <v>239.14518609999999</v>
      </c>
      <c r="AU316" s="5">
        <f>[1]Hybrid!AT34</f>
        <v>246.3419518</v>
      </c>
      <c r="AV316" s="5">
        <f>[1]Hybrid!AU34</f>
        <v>253.8850363</v>
      </c>
      <c r="AW316" s="5">
        <f>[1]Hybrid!AV34</f>
        <v>261.8106118</v>
      </c>
      <c r="AX316" s="5">
        <f>[1]Hybrid!AW34</f>
        <v>270.15571019999999</v>
      </c>
      <c r="AY316" s="5">
        <f>[1]Hybrid!AX34</f>
        <v>278.95716540000001</v>
      </c>
      <c r="AZ316" s="5">
        <f>[1]Hybrid!AY34</f>
        <v>288.2542679</v>
      </c>
      <c r="BA316" s="5">
        <f>[1]Hybrid!AZ34</f>
        <v>298.09025509999998</v>
      </c>
      <c r="BB316" s="5">
        <f>[1]Hybrid!BA34</f>
        <v>75.420396510000003</v>
      </c>
      <c r="BC316" s="5">
        <f>[1]Hybrid!BB34</f>
        <v>63.977383179999997</v>
      </c>
      <c r="BD316" s="5">
        <f>[1]Hybrid!BC34</f>
        <v>51.223632559999999</v>
      </c>
      <c r="BE316" s="5">
        <f>[1]Hybrid!BD34</f>
        <v>37.049375359999999</v>
      </c>
      <c r="BF316" s="5">
        <f>[1]Hybrid!BE34</f>
        <v>21.33479221</v>
      </c>
    </row>
    <row r="317" spans="1:58" x14ac:dyDescent="0.35">
      <c r="B317" s="5" t="str">
        <f>[1]Hybrid!A36</f>
        <v>auto_cc_cele_2</v>
      </c>
      <c r="C317" s="5">
        <f>[1]Hybrid!B36</f>
        <v>9.4015406210000005</v>
      </c>
      <c r="D317" s="5">
        <f>[1]Hybrid!C36</f>
        <v>12.71385293</v>
      </c>
      <c r="E317" s="5">
        <f>[1]Hybrid!D36</f>
        <v>16.223530480000001</v>
      </c>
      <c r="F317" s="5">
        <f>[1]Hybrid!E36</f>
        <v>19.84385103</v>
      </c>
      <c r="G317" s="5">
        <f>[1]Hybrid!F36</f>
        <v>23.519069569999999</v>
      </c>
      <c r="H317" s="5">
        <f>[1]Hybrid!G36</f>
        <v>27.214380120000001</v>
      </c>
      <c r="I317" s="5">
        <f>[1]Hybrid!H36</f>
        <v>30.901250080000001</v>
      </c>
      <c r="J317" s="5">
        <f>[1]Hybrid!I36</f>
        <v>34.566076379999998</v>
      </c>
      <c r="K317" s="5">
        <f>[1]Hybrid!J36</f>
        <v>38.200407910000003</v>
      </c>
      <c r="L317" s="5">
        <f>[1]Hybrid!K36</f>
        <v>41.799097269999997</v>
      </c>
      <c r="M317" s="5">
        <f>[1]Hybrid!L36</f>
        <v>45.371800299999997</v>
      </c>
      <c r="N317" s="5">
        <f>[1]Hybrid!M36</f>
        <v>48.90411366</v>
      </c>
      <c r="O317" s="5">
        <f>[1]Hybrid!N36</f>
        <v>52.394925440000002</v>
      </c>
      <c r="P317" s="5">
        <f>[1]Hybrid!O36</f>
        <v>55.843664879999999</v>
      </c>
      <c r="Q317" s="5">
        <f>[1]Hybrid!P36</f>
        <v>59.25044338</v>
      </c>
      <c r="R317" s="5">
        <f>[1]Hybrid!Q36</f>
        <v>62.616018769999997</v>
      </c>
      <c r="S317" s="5">
        <f>[1]Hybrid!R36</f>
        <v>65.941682439999994</v>
      </c>
      <c r="T317" s="5">
        <f>[1]Hybrid!S36</f>
        <v>69.229153580000002</v>
      </c>
      <c r="U317" s="5">
        <f>[1]Hybrid!T36</f>
        <v>72.48049374</v>
      </c>
      <c r="V317" s="5">
        <f>[1]Hybrid!U36</f>
        <v>75.698051399999997</v>
      </c>
      <c r="W317" s="5">
        <f>[1]Hybrid!V36</f>
        <v>78.87458144</v>
      </c>
      <c r="X317" s="5">
        <f>[1]Hybrid!W36</f>
        <v>82.023063399999998</v>
      </c>
      <c r="Y317" s="5">
        <f>[1]Hybrid!X36</f>
        <v>85.146976129999999</v>
      </c>
      <c r="Z317" s="5">
        <f>[1]Hybrid!Y36</f>
        <v>88.250191009999995</v>
      </c>
      <c r="AA317" s="5">
        <f>[1]Hybrid!Z36</f>
        <v>91.336773559999997</v>
      </c>
      <c r="AB317" s="5">
        <f>[1]Hybrid!AA36</f>
        <v>94.381929130000003</v>
      </c>
      <c r="AC317" s="5">
        <f>[1]Hybrid!AB36</f>
        <v>97.406098259999993</v>
      </c>
      <c r="AD317" s="5">
        <f>[1]Hybrid!AC36</f>
        <v>100.415177</v>
      </c>
      <c r="AE317" s="5">
        <f>[1]Hybrid!AD36</f>
        <v>103.4161878</v>
      </c>
      <c r="AF317" s="5">
        <f>[1]Hybrid!AE36</f>
        <v>106.4168341</v>
      </c>
      <c r="AG317" s="5">
        <f>[1]Hybrid!AF36</f>
        <v>109.4252429</v>
      </c>
      <c r="AH317" s="5">
        <f>[1]Hybrid!AG36</f>
        <v>112.449859</v>
      </c>
      <c r="AI317" s="5">
        <f>[1]Hybrid!AH36</f>
        <v>115.499422</v>
      </c>
      <c r="AJ317" s="5">
        <f>[1]Hybrid!AI36</f>
        <v>118.58299390000001</v>
      </c>
      <c r="AK317" s="5">
        <f>[1]Hybrid!AJ36</f>
        <v>121.71001</v>
      </c>
      <c r="AL317" s="5">
        <f>[1]Hybrid!AK36</f>
        <v>124.8903358</v>
      </c>
      <c r="AM317" s="5">
        <f>[1]Hybrid!AL36</f>
        <v>128.1267028</v>
      </c>
      <c r="AN317" s="5">
        <f>[1]Hybrid!AM36</f>
        <v>131.43000599999999</v>
      </c>
      <c r="AO317" s="5">
        <f>[1]Hybrid!AN36</f>
        <v>134.81197090000001</v>
      </c>
      <c r="AP317" s="5">
        <f>[1]Hybrid!AO36</f>
        <v>138.28527740000001</v>
      </c>
      <c r="AQ317" s="5">
        <f>[1]Hybrid!AP36</f>
        <v>141.86351289999999</v>
      </c>
      <c r="AR317" s="5">
        <f>[1]Hybrid!AQ36</f>
        <v>145.56109889999999</v>
      </c>
      <c r="AS317" s="5">
        <f>[1]Hybrid!AR36</f>
        <v>149.3932365</v>
      </c>
      <c r="AT317" s="5">
        <f>[1]Hybrid!AS36</f>
        <v>153.37589120000001</v>
      </c>
      <c r="AU317" s="5">
        <f>[1]Hybrid!AT36</f>
        <v>157.52581459999999</v>
      </c>
      <c r="AV317" s="5">
        <f>[1]Hybrid!AU36</f>
        <v>161.86058890000001</v>
      </c>
      <c r="AW317" s="5">
        <f>[1]Hybrid!AV36</f>
        <v>166.39974860000001</v>
      </c>
      <c r="AX317" s="5">
        <f>[1]Hybrid!AW36</f>
        <v>171.1631548</v>
      </c>
      <c r="AY317" s="5">
        <f>[1]Hybrid!AX36</f>
        <v>176.1701224</v>
      </c>
      <c r="AZ317" s="5">
        <f>[1]Hybrid!AY36</f>
        <v>181.44090130000001</v>
      </c>
      <c r="BA317" s="5">
        <f>[1]Hybrid!AZ36</f>
        <v>186.9974982</v>
      </c>
      <c r="BB317" s="5">
        <f>[1]Hybrid!BA36</f>
        <v>41.767990060000002</v>
      </c>
      <c r="BC317" s="5">
        <f>[1]Hybrid!BB36</f>
        <v>34.301015939999999</v>
      </c>
      <c r="BD317" s="5">
        <f>[1]Hybrid!BC36</f>
        <v>26.084829039999999</v>
      </c>
      <c r="BE317" s="5">
        <f>[1]Hybrid!BD36</f>
        <v>17.065230100000001</v>
      </c>
      <c r="BF317" s="5">
        <f>[1]Hybrid!BE36</f>
        <v>7.1835929309999997</v>
      </c>
    </row>
    <row r="318" spans="1:58" x14ac:dyDescent="0.35">
      <c r="B318" s="5" t="str">
        <f>[1]Hybrid!A38</f>
        <v>auto_cd_cele_2</v>
      </c>
      <c r="C318" s="5">
        <f>[1]Hybrid!B38</f>
        <v>5.770071272</v>
      </c>
      <c r="D318" s="5">
        <f>[1]Hybrid!C38</f>
        <v>7.5723296830000004</v>
      </c>
      <c r="E318" s="5">
        <f>[1]Hybrid!D38</f>
        <v>9.4655786640000006</v>
      </c>
      <c r="F318" s="5">
        <f>[1]Hybrid!E38</f>
        <v>11.396130940000001</v>
      </c>
      <c r="G318" s="5">
        <f>[1]Hybrid!F38</f>
        <v>13.329240390000001</v>
      </c>
      <c r="H318" s="5">
        <f>[1]Hybrid!G38</f>
        <v>15.2429557</v>
      </c>
      <c r="I318" s="5">
        <f>[1]Hybrid!H38</f>
        <v>17.11987246</v>
      </c>
      <c r="J318" s="5">
        <f>[1]Hybrid!I38</f>
        <v>18.951313639999999</v>
      </c>
      <c r="K318" s="5">
        <f>[1]Hybrid!J38</f>
        <v>20.731828400000001</v>
      </c>
      <c r="L318" s="5">
        <f>[1]Hybrid!K38</f>
        <v>22.458015750000001</v>
      </c>
      <c r="M318" s="5">
        <f>[1]Hybrid!L38</f>
        <v>24.133962319999998</v>
      </c>
      <c r="N318" s="5">
        <f>[1]Hybrid!M38</f>
        <v>25.752015449999998</v>
      </c>
      <c r="O318" s="5">
        <f>[1]Hybrid!N38</f>
        <v>27.311281749999999</v>
      </c>
      <c r="P318" s="5">
        <f>[1]Hybrid!O38</f>
        <v>28.811216229999999</v>
      </c>
      <c r="Q318" s="5">
        <f>[1]Hybrid!P38</f>
        <v>30.251647510000002</v>
      </c>
      <c r="R318" s="5">
        <f>[1]Hybrid!Q38</f>
        <v>31.632732359999999</v>
      </c>
      <c r="S318" s="5">
        <f>[1]Hybrid!R38</f>
        <v>32.954883340000002</v>
      </c>
      <c r="T318" s="5">
        <f>[1]Hybrid!S38</f>
        <v>34.218704719999998</v>
      </c>
      <c r="U318" s="5">
        <f>[1]Hybrid!T38</f>
        <v>35.424939879999997</v>
      </c>
      <c r="V318" s="5">
        <f>[1]Hybrid!U38</f>
        <v>36.574433470000002</v>
      </c>
      <c r="W318" s="5">
        <f>[1]Hybrid!V38</f>
        <v>37.664079479999998</v>
      </c>
      <c r="X318" s="5">
        <f>[1]Hybrid!W38</f>
        <v>38.699121839999997</v>
      </c>
      <c r="Y318" s="5">
        <f>[1]Hybrid!X38</f>
        <v>39.680726499999999</v>
      </c>
      <c r="Z318" s="5">
        <f>[1]Hybrid!Y38</f>
        <v>40.610133740000002</v>
      </c>
      <c r="AA318" s="5">
        <f>[1]Hybrid!Z38</f>
        <v>41.488580679999998</v>
      </c>
      <c r="AB318" s="5">
        <f>[1]Hybrid!AA38</f>
        <v>42.30662615</v>
      </c>
      <c r="AC318" s="5">
        <f>[1]Hybrid!AB38</f>
        <v>43.071847810000001</v>
      </c>
      <c r="AD318" s="5">
        <f>[1]Hybrid!AC38</f>
        <v>43.786149139999999</v>
      </c>
      <c r="AE318" s="5">
        <f>[1]Hybrid!AD38</f>
        <v>44.45165669</v>
      </c>
      <c r="AF318" s="5">
        <f>[1]Hybrid!AE38</f>
        <v>45.070551129999998</v>
      </c>
      <c r="AG318" s="5">
        <f>[1]Hybrid!AF38</f>
        <v>45.644973450000002</v>
      </c>
      <c r="AH318" s="5">
        <f>[1]Hybrid!AG38</f>
        <v>46.176986139999997</v>
      </c>
      <c r="AI318" s="5">
        <f>[1]Hybrid!AH38</f>
        <v>46.668563689999999</v>
      </c>
      <c r="AJ318" s="5">
        <f>[1]Hybrid!AI38</f>
        <v>47.12159939</v>
      </c>
      <c r="AK318" s="5">
        <f>[1]Hybrid!AJ38</f>
        <v>47.5379188</v>
      </c>
      <c r="AL318" s="5">
        <f>[1]Hybrid!AK38</f>
        <v>47.919293240000002</v>
      </c>
      <c r="AM318" s="5">
        <f>[1]Hybrid!AL38</f>
        <v>48.265373330000003</v>
      </c>
      <c r="AN318" s="5">
        <f>[1]Hybrid!AM38</f>
        <v>48.578019789999999</v>
      </c>
      <c r="AO318" s="5">
        <f>[1]Hybrid!AN38</f>
        <v>48.859125849999998</v>
      </c>
      <c r="AP318" s="5">
        <f>[1]Hybrid!AO38</f>
        <v>49.110624510000001</v>
      </c>
      <c r="AQ318" s="5">
        <f>[1]Hybrid!AP38</f>
        <v>49.33445571</v>
      </c>
      <c r="AR318" s="5">
        <f>[1]Hybrid!AQ38</f>
        <v>49.532532830000001</v>
      </c>
      <c r="AS318" s="5">
        <f>[1]Hybrid!AR38</f>
        <v>49.706717730000001</v>
      </c>
      <c r="AT318" s="5">
        <f>[1]Hybrid!AS38</f>
        <v>49.858807740000003</v>
      </c>
      <c r="AU318" s="5">
        <f>[1]Hybrid!AT38</f>
        <v>49.990532250000001</v>
      </c>
      <c r="AV318" s="5">
        <f>[1]Hybrid!AU38</f>
        <v>50.103554189999997</v>
      </c>
      <c r="AW318" s="5">
        <f>[1]Hybrid!AV38</f>
        <v>50.199751560000003</v>
      </c>
      <c r="AX318" s="5">
        <f>[1]Hybrid!AW38</f>
        <v>50.280951450000003</v>
      </c>
      <c r="AY318" s="5">
        <f>[1]Hybrid!AX38</f>
        <v>50.348612510000002</v>
      </c>
      <c r="AZ318" s="5">
        <f>[1]Hybrid!AY38</f>
        <v>50.40405647</v>
      </c>
      <c r="BA318" s="5">
        <f>[1]Hybrid!AZ38</f>
        <v>50.448602960000002</v>
      </c>
      <c r="BB318" s="5">
        <f>[1]Hybrid!BA38</f>
        <v>33.875114490000001</v>
      </c>
      <c r="BC318" s="5">
        <f>[1]Hybrid!BB38</f>
        <v>32.826666979999999</v>
      </c>
      <c r="BD318" s="5">
        <f>[1]Hybrid!BC38</f>
        <v>31.723283139999999</v>
      </c>
      <c r="BE318" s="5">
        <f>[1]Hybrid!BD38</f>
        <v>30.565733399999999</v>
      </c>
      <c r="BF318" s="5">
        <f>[1]Hybrid!BE38</f>
        <v>29.35484288</v>
      </c>
    </row>
    <row r="319" spans="1:58" x14ac:dyDescent="0.35">
      <c r="B319" s="5" t="str">
        <f>[1]Hybrid!A40</f>
        <v>auto_ce_cele_2</v>
      </c>
      <c r="C319" s="5">
        <f>[1]Hybrid!B40</f>
        <v>3.4730440960000002</v>
      </c>
      <c r="D319" s="5">
        <f>[1]Hybrid!C40</f>
        <v>4.5789460909999997</v>
      </c>
      <c r="E319" s="5">
        <f>[1]Hybrid!D40</f>
        <v>5.7310365990000003</v>
      </c>
      <c r="F319" s="5">
        <f>[1]Hybrid!E40</f>
        <v>6.894167822</v>
      </c>
      <c r="G319" s="5">
        <f>[1]Hybrid!F40</f>
        <v>8.0459189789999996</v>
      </c>
      <c r="H319" s="5">
        <f>[1]Hybrid!G40</f>
        <v>9.1723505519999993</v>
      </c>
      <c r="I319" s="5">
        <f>[1]Hybrid!H40</f>
        <v>10.262769090000001</v>
      </c>
      <c r="J319" s="5">
        <f>[1]Hybrid!I40</f>
        <v>11.31198318</v>
      </c>
      <c r="K319" s="5">
        <f>[1]Hybrid!J40</f>
        <v>12.31689366</v>
      </c>
      <c r="L319" s="5">
        <f>[1]Hybrid!K40</f>
        <v>13.275722350000001</v>
      </c>
      <c r="M319" s="5">
        <f>[1]Hybrid!L40</f>
        <v>14.19098668</v>
      </c>
      <c r="N319" s="5">
        <f>[1]Hybrid!M40</f>
        <v>15.058640240000001</v>
      </c>
      <c r="O319" s="5">
        <f>[1]Hybrid!N40</f>
        <v>15.87854439</v>
      </c>
      <c r="P319" s="5">
        <f>[1]Hybrid!O40</f>
        <v>16.65081224</v>
      </c>
      <c r="Q319" s="5">
        <f>[1]Hybrid!P40</f>
        <v>17.37580702</v>
      </c>
      <c r="R319" s="5">
        <f>[1]Hybrid!Q40</f>
        <v>18.054106019999999</v>
      </c>
      <c r="S319" s="5">
        <f>[1]Hybrid!R40</f>
        <v>18.686453719999999</v>
      </c>
      <c r="T319" s="5">
        <f>[1]Hybrid!S40</f>
        <v>19.273721779999999</v>
      </c>
      <c r="U319" s="5">
        <f>[1]Hybrid!T40</f>
        <v>19.816876690000001</v>
      </c>
      <c r="V319" s="5">
        <f>[1]Hybrid!U40</f>
        <v>20.316955790000002</v>
      </c>
      <c r="W319" s="5">
        <f>[1]Hybrid!V40</f>
        <v>20.773061420000001</v>
      </c>
      <c r="X319" s="5">
        <f>[1]Hybrid!W40</f>
        <v>21.18848616</v>
      </c>
      <c r="Y319" s="5">
        <f>[1]Hybrid!X40</f>
        <v>21.564464860000001</v>
      </c>
      <c r="Z319" s="5">
        <f>[1]Hybrid!Y40</f>
        <v>21.902265549999999</v>
      </c>
      <c r="AA319" s="5">
        <f>[1]Hybrid!Z40</f>
        <v>22.20315321</v>
      </c>
      <c r="AB319" s="5">
        <f>[1]Hybrid!AA40</f>
        <v>22.463474389999998</v>
      </c>
      <c r="AC319" s="5">
        <f>[1]Hybrid!AB40</f>
        <v>22.687582299999999</v>
      </c>
      <c r="AD319" s="5">
        <f>[1]Hybrid!AC40</f>
        <v>22.877134649999999</v>
      </c>
      <c r="AE319" s="5">
        <f>[1]Hybrid!AD40</f>
        <v>23.033855559999999</v>
      </c>
      <c r="AF319" s="5">
        <f>[1]Hybrid!AE40</f>
        <v>23.159457509999999</v>
      </c>
      <c r="AG319" s="5">
        <f>[1]Hybrid!AF40</f>
        <v>23.255600189999999</v>
      </c>
      <c r="AH319" s="5">
        <f>[1]Hybrid!AG40</f>
        <v>23.323874329999999</v>
      </c>
      <c r="AI319" s="5">
        <f>[1]Hybrid!AH40</f>
        <v>23.365798359999999</v>
      </c>
      <c r="AJ319" s="5">
        <f>[1]Hybrid!AI40</f>
        <v>23.382821960000001</v>
      </c>
      <c r="AK319" s="5">
        <f>[1]Hybrid!AJ40</f>
        <v>23.376332439999999</v>
      </c>
      <c r="AL319" s="5">
        <f>[1]Hybrid!AK40</f>
        <v>23.34766119</v>
      </c>
      <c r="AM319" s="5">
        <f>[1]Hybrid!AL40</f>
        <v>23.29728437</v>
      </c>
      <c r="AN319" s="5">
        <f>[1]Hybrid!AM40</f>
        <v>23.226541910000002</v>
      </c>
      <c r="AO319" s="5">
        <f>[1]Hybrid!AN40</f>
        <v>23.136752399999999</v>
      </c>
      <c r="AP319" s="5">
        <f>[1]Hybrid!AO40</f>
        <v>23.029211669999999</v>
      </c>
      <c r="AQ319" s="5">
        <f>[1]Hybrid!AP40</f>
        <v>22.90517856</v>
      </c>
      <c r="AR319" s="5">
        <f>[1]Hybrid!AQ40</f>
        <v>22.765862380000002</v>
      </c>
      <c r="AS319" s="5">
        <f>[1]Hybrid!AR40</f>
        <v>22.612414680000001</v>
      </c>
      <c r="AT319" s="5">
        <f>[1]Hybrid!AS40</f>
        <v>22.445925890000002</v>
      </c>
      <c r="AU319" s="5">
        <f>[1]Hybrid!AT40</f>
        <v>22.267425589999998</v>
      </c>
      <c r="AV319" s="5">
        <f>[1]Hybrid!AU40</f>
        <v>22.077884539999999</v>
      </c>
      <c r="AW319" s="5">
        <f>[1]Hybrid!AV40</f>
        <v>21.878331750000001</v>
      </c>
      <c r="AX319" s="5">
        <f>[1]Hybrid!AW40</f>
        <v>21.66978731</v>
      </c>
      <c r="AY319" s="5">
        <f>[1]Hybrid!AX40</f>
        <v>21.45311104</v>
      </c>
      <c r="AZ319" s="5">
        <f>[1]Hybrid!AY40</f>
        <v>21.22906386</v>
      </c>
      <c r="BA319" s="5">
        <f>[1]Hybrid!AZ40</f>
        <v>20.998352310000001</v>
      </c>
      <c r="BB319" s="5">
        <f>[1]Hybrid!BA40</f>
        <v>13.85018971</v>
      </c>
      <c r="BC319" s="5">
        <f>[1]Hybrid!BB40</f>
        <v>13.3144727</v>
      </c>
      <c r="BD319" s="5">
        <f>[1]Hybrid!BC40</f>
        <v>12.772281039999999</v>
      </c>
      <c r="BE319" s="5">
        <f>[1]Hybrid!BD40</f>
        <v>12.22493592</v>
      </c>
      <c r="BF319" s="5">
        <f>[1]Hybrid!BE40</f>
        <v>11.673745009999999</v>
      </c>
    </row>
    <row r="320" spans="1:58" x14ac:dyDescent="0.35">
      <c r="B320" s="5" t="str">
        <f>[1]Hybrid!A42</f>
        <v>auto_cf_cele_2</v>
      </c>
      <c r="C320" s="5">
        <f>[1]Hybrid!B42</f>
        <v>1.7251505170000001</v>
      </c>
      <c r="D320" s="5">
        <f>[1]Hybrid!C42</f>
        <v>2.2481103130000002</v>
      </c>
      <c r="E320" s="5">
        <f>[1]Hybrid!D42</f>
        <v>2.7772110890000001</v>
      </c>
      <c r="F320" s="5">
        <f>[1]Hybrid!E42</f>
        <v>3.2923454940000001</v>
      </c>
      <c r="G320" s="5">
        <f>[1]Hybrid!F42</f>
        <v>3.7815678589999999</v>
      </c>
      <c r="H320" s="5">
        <f>[1]Hybrid!G42</f>
        <v>4.2382129940000004</v>
      </c>
      <c r="I320" s="5">
        <f>[1]Hybrid!H42</f>
        <v>4.6580398020000002</v>
      </c>
      <c r="J320" s="5">
        <f>[1]Hybrid!I42</f>
        <v>5.0397521410000001</v>
      </c>
      <c r="K320" s="5">
        <f>[1]Hybrid!J42</f>
        <v>5.3832678960000004</v>
      </c>
      <c r="L320" s="5">
        <f>[1]Hybrid!K42</f>
        <v>5.6892386239999997</v>
      </c>
      <c r="M320" s="5">
        <f>[1]Hybrid!L42</f>
        <v>5.959928015</v>
      </c>
      <c r="N320" s="5">
        <f>[1]Hybrid!M42</f>
        <v>6.1953744029999998</v>
      </c>
      <c r="O320" s="5">
        <f>[1]Hybrid!N42</f>
        <v>6.3970780600000001</v>
      </c>
      <c r="P320" s="5">
        <f>[1]Hybrid!O42</f>
        <v>6.5666534810000003</v>
      </c>
      <c r="Q320" s="5">
        <f>[1]Hybrid!P42</f>
        <v>6.705799292</v>
      </c>
      <c r="R320" s="5">
        <f>[1]Hybrid!Q42</f>
        <v>6.8162660959999997</v>
      </c>
      <c r="S320" s="5">
        <f>[1]Hybrid!R42</f>
        <v>6.8998275729999996</v>
      </c>
      <c r="T320" s="5">
        <f>[1]Hybrid!S42</f>
        <v>6.9582577329999999</v>
      </c>
      <c r="U320" s="5">
        <f>[1]Hybrid!T42</f>
        <v>6.9933129889999996</v>
      </c>
      <c r="V320" s="5">
        <f>[1]Hybrid!U42</f>
        <v>7.0067183139999996</v>
      </c>
      <c r="W320" s="5">
        <f>[1]Hybrid!V42</f>
        <v>6.9997372960000002</v>
      </c>
      <c r="X320" s="5">
        <f>[1]Hybrid!W42</f>
        <v>6.9744967420000004</v>
      </c>
      <c r="Y320" s="5">
        <f>[1]Hybrid!X42</f>
        <v>6.9325837870000004</v>
      </c>
      <c r="Z320" s="5">
        <f>[1]Hybrid!Y42</f>
        <v>6.8755208630000002</v>
      </c>
      <c r="AA320" s="5">
        <f>[1]Hybrid!Z42</f>
        <v>6.804760312</v>
      </c>
      <c r="AB320" s="5">
        <f>[1]Hybrid!AA42</f>
        <v>6.7208967289999997</v>
      </c>
      <c r="AC320" s="5">
        <f>[1]Hybrid!AB42</f>
        <v>6.6258368860000001</v>
      </c>
      <c r="AD320" s="5">
        <f>[1]Hybrid!AC42</f>
        <v>6.5209286190000002</v>
      </c>
      <c r="AE320" s="5">
        <f>[1]Hybrid!AD42</f>
        <v>6.407439246</v>
      </c>
      <c r="AF320" s="5">
        <f>[1]Hybrid!AE42</f>
        <v>6.286548195</v>
      </c>
      <c r="AG320" s="5">
        <f>[1]Hybrid!AF42</f>
        <v>6.1593465119999999</v>
      </c>
      <c r="AH320" s="5">
        <f>[1]Hybrid!AG42</f>
        <v>6.0268399639999997</v>
      </c>
      <c r="AI320" s="5">
        <f>[1]Hybrid!AH42</f>
        <v>5.8899535810000003</v>
      </c>
      <c r="AJ320" s="5">
        <f>[1]Hybrid!AI42</f>
        <v>5.7495367630000001</v>
      </c>
      <c r="AK320" s="5">
        <f>[1]Hybrid!AJ42</f>
        <v>5.6063684269999996</v>
      </c>
      <c r="AL320" s="5">
        <f>[1]Hybrid!AK42</f>
        <v>5.4611618100000001</v>
      </c>
      <c r="AM320" s="5">
        <f>[1]Hybrid!AL42</f>
        <v>5.3145051580000002</v>
      </c>
      <c r="AN320" s="5">
        <f>[1]Hybrid!AM42</f>
        <v>5.167013259</v>
      </c>
      <c r="AO320" s="5">
        <f>[1]Hybrid!AN42</f>
        <v>5.0192460649999999</v>
      </c>
      <c r="AP320" s="5">
        <f>[1]Hybrid!AO42</f>
        <v>4.8717107750000004</v>
      </c>
      <c r="AQ320" s="5">
        <f>[1]Hybrid!AP42</f>
        <v>4.7248637029999996</v>
      </c>
      <c r="AR320" s="5">
        <f>[1]Hybrid!AQ42</f>
        <v>4.5791127100000004</v>
      </c>
      <c r="AS320" s="5">
        <f>[1]Hybrid!AR42</f>
        <v>4.4348200459999996</v>
      </c>
      <c r="AT320" s="5">
        <f>[1]Hybrid!AS42</f>
        <v>4.2923054199999999</v>
      </c>
      <c r="AU320" s="5">
        <f>[1]Hybrid!AT42</f>
        <v>4.1518491339999999</v>
      </c>
      <c r="AV320" s="5">
        <f>[1]Hybrid!AU42</f>
        <v>4.0136951029999999</v>
      </c>
      <c r="AW320" s="5">
        <f>[1]Hybrid!AV42</f>
        <v>3.8780605270000001</v>
      </c>
      <c r="AX320" s="5">
        <f>[1]Hybrid!AW42</f>
        <v>3.7451362760000002</v>
      </c>
      <c r="AY320" s="5">
        <f>[1]Hybrid!AX42</f>
        <v>3.6150778469999998</v>
      </c>
      <c r="AZ320" s="5">
        <f>[1]Hybrid!AY42</f>
        <v>3.488009452</v>
      </c>
      <c r="BA320" s="5">
        <f>[1]Hybrid!AZ42</f>
        <v>3.3640287660000001</v>
      </c>
      <c r="BB320" s="5">
        <f>[1]Hybrid!BA42</f>
        <v>2.8822763779999998</v>
      </c>
      <c r="BC320" s="5">
        <f>[1]Hybrid!BB42</f>
        <v>2.7701985680000001</v>
      </c>
      <c r="BD320" s="5">
        <f>[1]Hybrid!BC42</f>
        <v>2.6618247959999999</v>
      </c>
      <c r="BE320" s="5">
        <f>[1]Hybrid!BD42</f>
        <v>2.5571370870000001</v>
      </c>
      <c r="BF320" s="5">
        <f>[1]Hybrid!BE42</f>
        <v>2.456102048</v>
      </c>
    </row>
    <row r="321" spans="1:58" x14ac:dyDescent="0.35">
      <c r="B321" s="5" t="str">
        <f>[1]Hybrid!A44</f>
        <v>auto_cg_cele_2</v>
      </c>
      <c r="C321" s="5">
        <f>[1]Hybrid!B44</f>
        <v>3.1066862139999998</v>
      </c>
      <c r="D321" s="5">
        <f>[1]Hybrid!C44</f>
        <v>4.0776446540000002</v>
      </c>
      <c r="E321" s="5">
        <f>[1]Hybrid!D44</f>
        <v>5.034980998</v>
      </c>
      <c r="F321" s="5">
        <f>[1]Hybrid!E44</f>
        <v>5.9378734289999997</v>
      </c>
      <c r="G321" s="5">
        <f>[1]Hybrid!F44</f>
        <v>6.7643122660000001</v>
      </c>
      <c r="H321" s="5">
        <f>[1]Hybrid!G44</f>
        <v>7.5040809340000001</v>
      </c>
      <c r="I321" s="5">
        <f>[1]Hybrid!H44</f>
        <v>8.1526707550000008</v>
      </c>
      <c r="J321" s="5">
        <f>[1]Hybrid!I44</f>
        <v>8.7113149700000001</v>
      </c>
      <c r="K321" s="5">
        <f>[1]Hybrid!J44</f>
        <v>9.1835746599999997</v>
      </c>
      <c r="L321" s="5">
        <f>[1]Hybrid!K44</f>
        <v>9.5742682030000008</v>
      </c>
      <c r="M321" s="5">
        <f>[1]Hybrid!L44</f>
        <v>9.8904581870000001</v>
      </c>
      <c r="N321" s="5">
        <f>[1]Hybrid!M44</f>
        <v>10.13591903</v>
      </c>
      <c r="O321" s="5">
        <f>[1]Hybrid!N44</f>
        <v>10.31638616</v>
      </c>
      <c r="P321" s="5">
        <f>[1]Hybrid!O44</f>
        <v>10.43754751</v>
      </c>
      <c r="Q321" s="5">
        <f>[1]Hybrid!P44</f>
        <v>10.504965500000001</v>
      </c>
      <c r="R321" s="5">
        <f>[1]Hybrid!Q44</f>
        <v>10.52401334</v>
      </c>
      <c r="S321" s="5">
        <f>[1]Hybrid!R44</f>
        <v>10.499827659999999</v>
      </c>
      <c r="T321" s="5">
        <f>[1]Hybrid!S44</f>
        <v>10.43727689</v>
      </c>
      <c r="U321" s="5">
        <f>[1]Hybrid!T44</f>
        <v>10.340941089999999</v>
      </c>
      <c r="V321" s="5">
        <f>[1]Hybrid!U44</f>
        <v>10.215100570000001</v>
      </c>
      <c r="W321" s="5">
        <f>[1]Hybrid!V44</f>
        <v>10.063344150000001</v>
      </c>
      <c r="X321" s="5">
        <f>[1]Hybrid!W44</f>
        <v>9.8898297020000001</v>
      </c>
      <c r="Y321" s="5">
        <f>[1]Hybrid!X44</f>
        <v>9.6979357729999993</v>
      </c>
      <c r="Z321" s="5">
        <f>[1]Hybrid!Y44</f>
        <v>9.49074448</v>
      </c>
      <c r="AA321" s="5">
        <f>[1]Hybrid!Z44</f>
        <v>9.2710538469999992</v>
      </c>
      <c r="AB321" s="5">
        <f>[1]Hybrid!AA44</f>
        <v>9.0408162030000003</v>
      </c>
      <c r="AC321" s="5">
        <f>[1]Hybrid!AB44</f>
        <v>8.802801058</v>
      </c>
      <c r="AD321" s="5">
        <f>[1]Hybrid!AC44</f>
        <v>8.5591398430000005</v>
      </c>
      <c r="AE321" s="5">
        <f>[1]Hybrid!AD44</f>
        <v>8.3117180790000003</v>
      </c>
      <c r="AF321" s="5">
        <f>[1]Hybrid!AE44</f>
        <v>8.0621900069999999</v>
      </c>
      <c r="AG321" s="5">
        <f>[1]Hybrid!AF44</f>
        <v>7.8119973639999998</v>
      </c>
      <c r="AH321" s="5">
        <f>[1]Hybrid!AG44</f>
        <v>7.562389069</v>
      </c>
      <c r="AI321" s="5">
        <f>[1]Hybrid!AH44</f>
        <v>7.3144402680000002</v>
      </c>
      <c r="AJ321" s="5">
        <f>[1]Hybrid!AI44</f>
        <v>7.069070226</v>
      </c>
      <c r="AK321" s="5">
        <f>[1]Hybrid!AJ44</f>
        <v>6.8270588500000002</v>
      </c>
      <c r="AL321" s="5">
        <f>[1]Hybrid!AK44</f>
        <v>6.5890617300000001</v>
      </c>
      <c r="AM321" s="5">
        <f>[1]Hybrid!AL44</f>
        <v>6.355597564</v>
      </c>
      <c r="AN321" s="5">
        <f>[1]Hybrid!AM44</f>
        <v>6.1271247029999998</v>
      </c>
      <c r="AO321" s="5">
        <f>[1]Hybrid!AN44</f>
        <v>5.9040120140000001</v>
      </c>
      <c r="AP321" s="5">
        <f>[1]Hybrid!AO44</f>
        <v>5.6865484940000002</v>
      </c>
      <c r="AQ321" s="5">
        <f>[1]Hybrid!AP44</f>
        <v>5.4749522519999996</v>
      </c>
      <c r="AR321" s="5">
        <f>[1]Hybrid!AQ44</f>
        <v>5.2693790690000002</v>
      </c>
      <c r="AS321" s="5">
        <f>[1]Hybrid!AR44</f>
        <v>5.0699303599999999</v>
      </c>
      <c r="AT321" s="5">
        <f>[1]Hybrid!AS44</f>
        <v>4.8766604720000002</v>
      </c>
      <c r="AU321" s="5">
        <f>[1]Hybrid!AT44</f>
        <v>4.6895832950000003</v>
      </c>
      <c r="AV321" s="5">
        <f>[1]Hybrid!AU44</f>
        <v>4.5086781790000003</v>
      </c>
      <c r="AW321" s="5">
        <f>[1]Hybrid!AV44</f>
        <v>4.3338971449999999</v>
      </c>
      <c r="AX321" s="5">
        <f>[1]Hybrid!AW44</f>
        <v>4.1651688089999999</v>
      </c>
      <c r="AY321" s="5">
        <f>[1]Hybrid!AX44</f>
        <v>4.0023990339999997</v>
      </c>
      <c r="AZ321" s="5">
        <f>[1]Hybrid!AY44</f>
        <v>3.8454751909999998</v>
      </c>
      <c r="BA321" s="5">
        <f>[1]Hybrid!AZ44</f>
        <v>3.6942702920000001</v>
      </c>
      <c r="BB321" s="5">
        <f>[1]Hybrid!BA44</f>
        <v>3.284762427</v>
      </c>
      <c r="BC321" s="5">
        <f>[1]Hybrid!BB44</f>
        <v>3.1536470840000002</v>
      </c>
      <c r="BD321" s="5">
        <f>[1]Hybrid!BC44</f>
        <v>3.0276746650000002</v>
      </c>
      <c r="BE321" s="5">
        <f>[1]Hybrid!BD44</f>
        <v>2.9066671610000001</v>
      </c>
      <c r="BF321" s="5">
        <f>[1]Hybrid!BE44</f>
        <v>2.790447458</v>
      </c>
    </row>
    <row r="322" spans="1:58" x14ac:dyDescent="0.35">
      <c r="B322" s="5" t="str">
        <f>[1]Hybrid!A46</f>
        <v>auto_ca_cgas_2</v>
      </c>
      <c r="C322" s="5">
        <f>[1]Hybrid!B46</f>
        <v>0.42568169729999999</v>
      </c>
      <c r="D322" s="5">
        <f>[1]Hybrid!C46</f>
        <v>0.44962853800000002</v>
      </c>
      <c r="E322" s="5">
        <f>[1]Hybrid!D46</f>
        <v>0.47673549160000001</v>
      </c>
      <c r="F322" s="5">
        <f>[1]Hybrid!E46</f>
        <v>0.50573528020000003</v>
      </c>
      <c r="G322" s="5">
        <f>[1]Hybrid!F46</f>
        <v>0.53579440970000003</v>
      </c>
      <c r="H322" s="5">
        <f>[1]Hybrid!G46</f>
        <v>0.56638101819999997</v>
      </c>
      <c r="I322" s="5">
        <f>[1]Hybrid!H46</f>
        <v>0.59706430749999995</v>
      </c>
      <c r="J322" s="5">
        <f>[1]Hybrid!I46</f>
        <v>0.62763462950000004</v>
      </c>
      <c r="K322" s="5">
        <f>[1]Hybrid!J46</f>
        <v>0.65796309610000003</v>
      </c>
      <c r="L322" s="5">
        <f>[1]Hybrid!K46</f>
        <v>0.68797273609999998</v>
      </c>
      <c r="M322" s="5">
        <f>[1]Hybrid!L46</f>
        <v>0.71779577019999996</v>
      </c>
      <c r="N322" s="5">
        <f>[1]Hybrid!M46</f>
        <v>0.74722891650000001</v>
      </c>
      <c r="O322" s="5">
        <f>[1]Hybrid!N46</f>
        <v>0.77625771229999996</v>
      </c>
      <c r="P322" s="5">
        <f>[1]Hybrid!O46</f>
        <v>0.80487413149999998</v>
      </c>
      <c r="Q322" s="5">
        <f>[1]Hybrid!P46</f>
        <v>0.83307801910000001</v>
      </c>
      <c r="R322" s="5">
        <f>[1]Hybrid!Q46</f>
        <v>0.86087621709999995</v>
      </c>
      <c r="S322" s="5">
        <f>[1]Hybrid!R46</f>
        <v>0.8882806553</v>
      </c>
      <c r="T322" s="5">
        <f>[1]Hybrid!S46</f>
        <v>0.91530655409999995</v>
      </c>
      <c r="U322" s="5">
        <f>[1]Hybrid!T46</f>
        <v>0.94197087889999997</v>
      </c>
      <c r="V322" s="5">
        <f>[1]Hybrid!U46</f>
        <v>0.96829124430000002</v>
      </c>
      <c r="W322" s="5">
        <f>[1]Hybrid!V46</f>
        <v>0.99414768320000002</v>
      </c>
      <c r="X322" s="5">
        <f>[1]Hybrid!W46</f>
        <v>1.01970022</v>
      </c>
      <c r="Y322" s="5">
        <f>[1]Hybrid!X46</f>
        <v>1.0449688909999999</v>
      </c>
      <c r="Z322" s="5">
        <f>[1]Hybrid!Y46</f>
        <v>1.069974899</v>
      </c>
      <c r="AA322" s="5">
        <f>[1]Hybrid!Z46</f>
        <v>1.094737565</v>
      </c>
      <c r="AB322" s="5">
        <f>[1]Hybrid!AA46</f>
        <v>1.1188713720000001</v>
      </c>
      <c r="AC322" s="5">
        <f>[1]Hybrid!AB46</f>
        <v>1.1426185760000001</v>
      </c>
      <c r="AD322" s="5">
        <f>[1]Hybrid!AC46</f>
        <v>1.16600748</v>
      </c>
      <c r="AE322" s="5">
        <f>[1]Hybrid!AD46</f>
        <v>1.1890749460000001</v>
      </c>
      <c r="AF322" s="5">
        <f>[1]Hybrid!AE46</f>
        <v>1.211859936</v>
      </c>
      <c r="AG322" s="5">
        <f>[1]Hybrid!AF46</f>
        <v>1.2343997419999999</v>
      </c>
      <c r="AH322" s="5">
        <f>[1]Hybrid!AG46</f>
        <v>1.2567284409999999</v>
      </c>
      <c r="AI322" s="5">
        <f>[1]Hybrid!AH46</f>
        <v>1.278876597</v>
      </c>
      <c r="AJ322" s="5">
        <f>[1]Hybrid!AI46</f>
        <v>1.300871686</v>
      </c>
      <c r="AK322" s="5">
        <f>[1]Hybrid!AJ46</f>
        <v>1.3227387749999999</v>
      </c>
      <c r="AL322" s="5">
        <f>[1]Hybrid!AK46</f>
        <v>1.3445011739999999</v>
      </c>
      <c r="AM322" s="5">
        <f>[1]Hybrid!AL46</f>
        <v>1.366082733</v>
      </c>
      <c r="AN322" s="5">
        <f>[1]Hybrid!AM46</f>
        <v>1.3875078279999999</v>
      </c>
      <c r="AO322" s="5">
        <f>[1]Hybrid!AN46</f>
        <v>1.408802356</v>
      </c>
      <c r="AP322" s="5">
        <f>[1]Hybrid!AO46</f>
        <v>1.4299948099999999</v>
      </c>
      <c r="AQ322" s="5">
        <f>[1]Hybrid!AP46</f>
        <v>1.45111503</v>
      </c>
      <c r="AR322" s="5">
        <f>[1]Hybrid!AQ46</f>
        <v>1.4721926110000001</v>
      </c>
      <c r="AS322" s="5">
        <f>[1]Hybrid!AR46</f>
        <v>1.493255577</v>
      </c>
      <c r="AT322" s="5">
        <f>[1]Hybrid!AS46</f>
        <v>1.5143296420000001</v>
      </c>
      <c r="AU322" s="5">
        <f>[1]Hybrid!AT46</f>
        <v>1.5354379419999999</v>
      </c>
      <c r="AV322" s="5">
        <f>[1]Hybrid!AU46</f>
        <v>1.5566010429999999</v>
      </c>
      <c r="AW322" s="5">
        <f>[1]Hybrid!AV46</f>
        <v>1.5778458070000001</v>
      </c>
      <c r="AX322" s="5">
        <f>[1]Hybrid!AW46</f>
        <v>1.599181634</v>
      </c>
      <c r="AY322" s="5">
        <f>[1]Hybrid!AX46</f>
        <v>1.6205973</v>
      </c>
      <c r="AZ322" s="5">
        <f>[1]Hybrid!AY46</f>
        <v>1.642080295</v>
      </c>
      <c r="BA322" s="5">
        <f>[1]Hybrid!AZ46</f>
        <v>1.663625586</v>
      </c>
      <c r="BB322" s="5">
        <f>[1]Hybrid!BA46</f>
        <v>1.8039206699999999</v>
      </c>
      <c r="BC322" s="5">
        <f>[1]Hybrid!BB46</f>
        <v>1.8325442700000001</v>
      </c>
      <c r="BD322" s="5">
        <f>[1]Hybrid!BC46</f>
        <v>1.861562003</v>
      </c>
      <c r="BE322" s="5">
        <f>[1]Hybrid!BD46</f>
        <v>1.8910015280000001</v>
      </c>
      <c r="BF322" s="5">
        <f>[1]Hybrid!BE46</f>
        <v>1.9208926319999999</v>
      </c>
    </row>
    <row r="323" spans="1:58" x14ac:dyDescent="0.35">
      <c r="B323" s="5" t="str">
        <f>[1]Hybrid!A48</f>
        <v>auto_cb_cgas_2</v>
      </c>
      <c r="C323" s="5">
        <f>[1]Hybrid!B48</f>
        <v>0.49500522540000003</v>
      </c>
      <c r="D323" s="5">
        <f>[1]Hybrid!C48</f>
        <v>0.51254509079999999</v>
      </c>
      <c r="E323" s="5">
        <f>[1]Hybrid!D48</f>
        <v>0.53336352050000002</v>
      </c>
      <c r="F323" s="5">
        <f>[1]Hybrid!E48</f>
        <v>0.55619989619999999</v>
      </c>
      <c r="G323" s="5">
        <f>[1]Hybrid!F48</f>
        <v>0.58022068240000002</v>
      </c>
      <c r="H323" s="5">
        <f>[1]Hybrid!G48</f>
        <v>0.60488847649999999</v>
      </c>
      <c r="I323" s="5">
        <f>[1]Hybrid!H48</f>
        <v>0.62976820310000003</v>
      </c>
      <c r="J323" s="5">
        <f>[1]Hybrid!I48</f>
        <v>0.654639305</v>
      </c>
      <c r="K323" s="5">
        <f>[1]Hybrid!J48</f>
        <v>0.67936068120000004</v>
      </c>
      <c r="L323" s="5">
        <f>[1]Hybrid!K48</f>
        <v>0.70384243199999996</v>
      </c>
      <c r="M323" s="5">
        <f>[1]Hybrid!L48</f>
        <v>0.72819250680000003</v>
      </c>
      <c r="N323" s="5">
        <f>[1]Hybrid!M48</f>
        <v>0.75220480469999995</v>
      </c>
      <c r="O323" s="5">
        <f>[1]Hybrid!N48</f>
        <v>0.77585216450000005</v>
      </c>
      <c r="P323" s="5">
        <f>[1]Hybrid!O48</f>
        <v>0.79911451479999995</v>
      </c>
      <c r="Q323" s="5">
        <f>[1]Hybrid!P48</f>
        <v>0.82198000289999995</v>
      </c>
      <c r="R323" s="5">
        <f>[1]Hybrid!Q48</f>
        <v>0.84444402380000005</v>
      </c>
      <c r="S323" s="5">
        <f>[1]Hybrid!R48</f>
        <v>0.86650733619999998</v>
      </c>
      <c r="T323" s="5">
        <f>[1]Hybrid!S48</f>
        <v>0.88817431540000003</v>
      </c>
      <c r="U323" s="5">
        <f>[1]Hybrid!T48</f>
        <v>0.90945146139999999</v>
      </c>
      <c r="V323" s="5">
        <f>[1]Hybrid!U48</f>
        <v>0.93034633330000005</v>
      </c>
      <c r="W323" s="5">
        <f>[1]Hybrid!V48</f>
        <v>0.95074199879999999</v>
      </c>
      <c r="X323" s="5">
        <f>[1]Hybrid!W48</f>
        <v>0.97077695880000003</v>
      </c>
      <c r="Y323" s="5">
        <f>[1]Hybrid!X48</f>
        <v>0.99046211689999997</v>
      </c>
      <c r="Z323" s="5">
        <f>[1]Hybrid!Y48</f>
        <v>1.00980958</v>
      </c>
      <c r="AA323" s="5">
        <f>[1]Hybrid!Z48</f>
        <v>1.0288299359999999</v>
      </c>
      <c r="AB323" s="5">
        <f>[1]Hybrid!AA48</f>
        <v>1.0471730800000001</v>
      </c>
      <c r="AC323" s="5">
        <f>[1]Hybrid!AB48</f>
        <v>1.06505202</v>
      </c>
      <c r="AD323" s="5">
        <f>[1]Hybrid!AC48</f>
        <v>1.0824878929999999</v>
      </c>
      <c r="AE323" s="5">
        <f>[1]Hybrid!AD48</f>
        <v>1.0995091880000001</v>
      </c>
      <c r="AF323" s="5">
        <f>[1]Hybrid!AE48</f>
        <v>1.116145983</v>
      </c>
      <c r="AG323" s="5">
        <f>[1]Hybrid!AF48</f>
        <v>1.132426626</v>
      </c>
      <c r="AH323" s="5">
        <f>[1]Hybrid!AG48</f>
        <v>1.1483763760000001</v>
      </c>
      <c r="AI323" s="5">
        <f>[1]Hybrid!AH48</f>
        <v>1.1640171610000001</v>
      </c>
      <c r="AJ323" s="5">
        <f>[1]Hybrid!AI48</f>
        <v>1.1793679539999999</v>
      </c>
      <c r="AK323" s="5">
        <f>[1]Hybrid!AJ48</f>
        <v>1.1944453660000001</v>
      </c>
      <c r="AL323" s="5">
        <f>[1]Hybrid!AK48</f>
        <v>1.2092642250000001</v>
      </c>
      <c r="AM323" s="5">
        <f>[1]Hybrid!AL48</f>
        <v>1.2237544330000001</v>
      </c>
      <c r="AN323" s="5">
        <f>[1]Hybrid!AM48</f>
        <v>1.2379323369999999</v>
      </c>
      <c r="AO323" s="5">
        <f>[1]Hybrid!AN48</f>
        <v>1.2518153590000001</v>
      </c>
      <c r="AP323" s="5">
        <f>[1]Hybrid!AO48</f>
        <v>1.265422788</v>
      </c>
      <c r="AQ323" s="5">
        <f>[1]Hybrid!AP48</f>
        <v>1.278774656</v>
      </c>
      <c r="AR323" s="5">
        <f>[1]Hybrid!AQ48</f>
        <v>1.2918903719999999</v>
      </c>
      <c r="AS323" s="5">
        <f>[1]Hybrid!AR48</f>
        <v>1.3047876140000001</v>
      </c>
      <c r="AT323" s="5">
        <f>[1]Hybrid!AS48</f>
        <v>1.317481739</v>
      </c>
      <c r="AU323" s="5">
        <f>[1]Hybrid!AT48</f>
        <v>1.3299855789999999</v>
      </c>
      <c r="AV323" s="5">
        <f>[1]Hybrid!AU48</f>
        <v>1.342309483</v>
      </c>
      <c r="AW323" s="5">
        <f>[1]Hybrid!AV48</f>
        <v>1.354469417</v>
      </c>
      <c r="AX323" s="5">
        <f>[1]Hybrid!AW48</f>
        <v>1.3664686079999999</v>
      </c>
      <c r="AY323" s="5">
        <f>[1]Hybrid!AX48</f>
        <v>1.378293389</v>
      </c>
      <c r="AZ323" s="5">
        <f>[1]Hybrid!AY48</f>
        <v>1.3899282740000001</v>
      </c>
      <c r="BA323" s="5">
        <f>[1]Hybrid!AZ48</f>
        <v>1.4013629030000001</v>
      </c>
      <c r="BB323" s="5">
        <f>[1]Hybrid!BA48</f>
        <v>1.5039197900000001</v>
      </c>
      <c r="BC323" s="5">
        <f>[1]Hybrid!BB48</f>
        <v>1.519912972</v>
      </c>
      <c r="BD323" s="5">
        <f>[1]Hybrid!BC48</f>
        <v>1.5358993460000001</v>
      </c>
      <c r="BE323" s="5">
        <f>[1]Hybrid!BD48</f>
        <v>1.551891216</v>
      </c>
      <c r="BF323" s="5">
        <f>[1]Hybrid!BE48</f>
        <v>1.567902049</v>
      </c>
    </row>
    <row r="324" spans="1:58" x14ac:dyDescent="0.35">
      <c r="B324" s="5" t="str">
        <f>[1]Hybrid!A50</f>
        <v>auto_cc_cgas_2</v>
      </c>
      <c r="C324" s="5">
        <f>[1]Hybrid!B50</f>
        <v>0.40659851759999999</v>
      </c>
      <c r="D324" s="5">
        <f>[1]Hybrid!C50</f>
        <v>0.41470425999999999</v>
      </c>
      <c r="E324" s="5">
        <f>[1]Hybrid!D50</f>
        <v>0.42526589009999999</v>
      </c>
      <c r="F324" s="5">
        <f>[1]Hybrid!E50</f>
        <v>0.43737992570000001</v>
      </c>
      <c r="G324" s="5">
        <f>[1]Hybrid!F50</f>
        <v>0.45044600289999998</v>
      </c>
      <c r="H324" s="5">
        <f>[1]Hybrid!G50</f>
        <v>0.4640733749</v>
      </c>
      <c r="I324" s="5">
        <f>[1]Hybrid!H50</f>
        <v>0.47794585550000002</v>
      </c>
      <c r="J324" s="5">
        <f>[1]Hybrid!I50</f>
        <v>0.49189733879999997</v>
      </c>
      <c r="K324" s="5">
        <f>[1]Hybrid!J50</f>
        <v>0.50581810810000005</v>
      </c>
      <c r="L324" s="5">
        <f>[1]Hybrid!K50</f>
        <v>0.51963489039999999</v>
      </c>
      <c r="M324" s="5">
        <f>[1]Hybrid!L50</f>
        <v>0.53340945539999995</v>
      </c>
      <c r="N324" s="5">
        <f>[1]Hybrid!M50</f>
        <v>0.54699168080000005</v>
      </c>
      <c r="O324" s="5">
        <f>[1]Hybrid!N50</f>
        <v>0.56035381809999996</v>
      </c>
      <c r="P324" s="5">
        <f>[1]Hybrid!O50</f>
        <v>0.5734737204</v>
      </c>
      <c r="Q324" s="5">
        <f>[1]Hybrid!P50</f>
        <v>0.58633545880000004</v>
      </c>
      <c r="R324" s="5">
        <f>[1]Hybrid!Q50</f>
        <v>0.59892856250000004</v>
      </c>
      <c r="S324" s="5">
        <f>[1]Hybrid!R50</f>
        <v>0.61124668039999996</v>
      </c>
      <c r="T324" s="5">
        <f>[1]Hybrid!S50</f>
        <v>0.6232863568</v>
      </c>
      <c r="U324" s="5">
        <f>[1]Hybrid!T50</f>
        <v>0.63504599159999997</v>
      </c>
      <c r="V324" s="5">
        <f>[1]Hybrid!U50</f>
        <v>0.64652509300000005</v>
      </c>
      <c r="W324" s="5">
        <f>[1]Hybrid!V50</f>
        <v>0.65764200500000003</v>
      </c>
      <c r="X324" s="5">
        <f>[1]Hybrid!W50</f>
        <v>0.66848327770000004</v>
      </c>
      <c r="Y324" s="5">
        <f>[1]Hybrid!X50</f>
        <v>0.67905165759999997</v>
      </c>
      <c r="Z324" s="5">
        <f>[1]Hybrid!Y50</f>
        <v>0.68935087179999999</v>
      </c>
      <c r="AA324" s="5">
        <f>[1]Hybrid!Z50</f>
        <v>0.69938387570000005</v>
      </c>
      <c r="AB324" s="5">
        <f>[1]Hybrid!AA50</f>
        <v>0.70892182969999995</v>
      </c>
      <c r="AC324" s="5">
        <f>[1]Hybrid!AB50</f>
        <v>0.71810043469999996</v>
      </c>
      <c r="AD324" s="5">
        <f>[1]Hybrid!AC50</f>
        <v>0.72693131330000005</v>
      </c>
      <c r="AE324" s="5">
        <f>[1]Hybrid!AD50</f>
        <v>0.7354307242</v>
      </c>
      <c r="AF324" s="5">
        <f>[1]Hybrid!AE50</f>
        <v>0.74361585630000004</v>
      </c>
      <c r="AG324" s="5">
        <f>[1]Hybrid!AF50</f>
        <v>0.75150271609999997</v>
      </c>
      <c r="AH324" s="5">
        <f>[1]Hybrid!AG50</f>
        <v>0.75910528089999996</v>
      </c>
      <c r="AI324" s="5">
        <f>[1]Hybrid!AH50</f>
        <v>0.76643535399999996</v>
      </c>
      <c r="AJ324" s="5">
        <f>[1]Hybrid!AI50</f>
        <v>0.7735028102</v>
      </c>
      <c r="AK324" s="5">
        <f>[1]Hybrid!AJ50</f>
        <v>0.78031598099999999</v>
      </c>
      <c r="AL324" s="5">
        <f>[1]Hybrid!AK50</f>
        <v>0.78688202259999995</v>
      </c>
      <c r="AM324" s="5">
        <f>[1]Hybrid!AL50</f>
        <v>0.79315584660000005</v>
      </c>
      <c r="AN324" s="5">
        <f>[1]Hybrid!AM50</f>
        <v>0.79914612959999998</v>
      </c>
      <c r="AO324" s="5">
        <f>[1]Hybrid!AN50</f>
        <v>0.80486217709999996</v>
      </c>
      <c r="AP324" s="5">
        <f>[1]Hybrid!AO50</f>
        <v>0.81031434560000004</v>
      </c>
      <c r="AQ324" s="5">
        <f>[1]Hybrid!AP50</f>
        <v>0.81551331869999999</v>
      </c>
      <c r="AR324" s="5">
        <f>[1]Hybrid!AQ50</f>
        <v>0.82046927219999999</v>
      </c>
      <c r="AS324" s="5">
        <f>[1]Hybrid!AR50</f>
        <v>0.82519121709999999</v>
      </c>
      <c r="AT324" s="5">
        <f>[1]Hybrid!AS50</f>
        <v>0.82968665870000002</v>
      </c>
      <c r="AU324" s="5">
        <f>[1]Hybrid!AT50</f>
        <v>0.8339615051</v>
      </c>
      <c r="AV324" s="5">
        <f>[1]Hybrid!AU50</f>
        <v>0.83802011679999999</v>
      </c>
      <c r="AW324" s="5">
        <f>[1]Hybrid!AV50</f>
        <v>0.84187057990000003</v>
      </c>
      <c r="AX324" s="5">
        <f>[1]Hybrid!AW50</f>
        <v>0.84551446370000005</v>
      </c>
      <c r="AY324" s="5">
        <f>[1]Hybrid!AX50</f>
        <v>0.84894346279999999</v>
      </c>
      <c r="AZ324" s="5">
        <f>[1]Hybrid!AY50</f>
        <v>0.85214789260000001</v>
      </c>
      <c r="BA324" s="5">
        <f>[1]Hybrid!AZ50</f>
        <v>0.85512069739999996</v>
      </c>
      <c r="BB324" s="5">
        <f>[1]Hybrid!BA50</f>
        <v>0.90839681500000002</v>
      </c>
      <c r="BC324" s="5">
        <f>[1]Hybrid!BB50</f>
        <v>0.91344917969999995</v>
      </c>
      <c r="BD324" s="5">
        <f>[1]Hybrid!BC50</f>
        <v>0.9183529225</v>
      </c>
      <c r="BE324" s="5">
        <f>[1]Hybrid!BD50</f>
        <v>0.92311309210000003</v>
      </c>
      <c r="BF324" s="5">
        <f>[1]Hybrid!BE50</f>
        <v>0.92773529450000003</v>
      </c>
    </row>
    <row r="325" spans="1:58" x14ac:dyDescent="0.35">
      <c r="B325" s="5" t="str">
        <f>[1]Hybrid!A52</f>
        <v>auto_cd_cgas_2</v>
      </c>
      <c r="C325" s="5">
        <f>[1]Hybrid!B52</f>
        <v>0.2495444651</v>
      </c>
      <c r="D325" s="5">
        <f>[1]Hybrid!C52</f>
        <v>0.25242861909999997</v>
      </c>
      <c r="E325" s="5">
        <f>[1]Hybrid!D52</f>
        <v>0.2566074216</v>
      </c>
      <c r="F325" s="5">
        <f>[1]Hybrid!E52</f>
        <v>0.2615375948</v>
      </c>
      <c r="G325" s="5">
        <f>[1]Hybrid!F52</f>
        <v>0.26686190209999999</v>
      </c>
      <c r="H325" s="5">
        <f>[1]Hybrid!G52</f>
        <v>0.2723498506</v>
      </c>
      <c r="I325" s="5">
        <f>[1]Hybrid!H52</f>
        <v>0.27782031709999999</v>
      </c>
      <c r="J325" s="5">
        <f>[1]Hybrid!I52</f>
        <v>0.28317791219999999</v>
      </c>
      <c r="K325" s="5">
        <f>[1]Hybrid!J52</f>
        <v>0.28836053010000001</v>
      </c>
      <c r="L325" s="5">
        <f>[1]Hybrid!K52</f>
        <v>0.29332736790000002</v>
      </c>
      <c r="M325" s="5">
        <f>[1]Hybrid!L52</f>
        <v>0.29810668330000001</v>
      </c>
      <c r="N325" s="5">
        <f>[1]Hybrid!M52</f>
        <v>0.30262136299999998</v>
      </c>
      <c r="O325" s="5">
        <f>[1]Hybrid!N52</f>
        <v>0.30685738800000001</v>
      </c>
      <c r="P325" s="5">
        <f>[1]Hybrid!O52</f>
        <v>0.31080446410000001</v>
      </c>
      <c r="Q325" s="5">
        <f>[1]Hybrid!P52</f>
        <v>0.3144560488</v>
      </c>
      <c r="R325" s="5">
        <f>[1]Hybrid!Q52</f>
        <v>0.31780879690000002</v>
      </c>
      <c r="S325" s="5">
        <f>[1]Hybrid!R52</f>
        <v>0.32086180120000002</v>
      </c>
      <c r="T325" s="5">
        <f>[1]Hybrid!S52</f>
        <v>0.3236159354</v>
      </c>
      <c r="U325" s="5">
        <f>[1]Hybrid!T52</f>
        <v>0.3260733126</v>
      </c>
      <c r="V325" s="5">
        <f>[1]Hybrid!U52</f>
        <v>0.32823689480000001</v>
      </c>
      <c r="W325" s="5">
        <f>[1]Hybrid!V52</f>
        <v>0.33007500220000002</v>
      </c>
      <c r="X325" s="5">
        <f>[1]Hybrid!W52</f>
        <v>0.3316297721</v>
      </c>
      <c r="Y325" s="5">
        <f>[1]Hybrid!X52</f>
        <v>0.33290642739999998</v>
      </c>
      <c r="Z325" s="5">
        <f>[1]Hybrid!Y52</f>
        <v>0.33391066409999998</v>
      </c>
      <c r="AA325" s="5">
        <f>[1]Hybrid!Z52</f>
        <v>0.33464798060000001</v>
      </c>
      <c r="AB325" s="5">
        <f>[1]Hybrid!AA52</f>
        <v>0.33503200119999998</v>
      </c>
      <c r="AC325" s="5">
        <f>[1]Hybrid!AB52</f>
        <v>0.33512496000000003</v>
      </c>
      <c r="AD325" s="5">
        <f>[1]Hybrid!AC52</f>
        <v>0.33493834779999998</v>
      </c>
      <c r="AE325" s="5">
        <f>[1]Hybrid!AD52</f>
        <v>0.33448507649999998</v>
      </c>
      <c r="AF325" s="5">
        <f>[1]Hybrid!AE52</f>
        <v>0.33377804430000002</v>
      </c>
      <c r="AG325" s="5">
        <f>[1]Hybrid!AF52</f>
        <v>0.33282937899999998</v>
      </c>
      <c r="AH325" s="5">
        <f>[1]Hybrid!AG52</f>
        <v>0.33165017409999997</v>
      </c>
      <c r="AI325" s="5">
        <f>[1]Hybrid!AH52</f>
        <v>0.3302504846</v>
      </c>
      <c r="AJ325" s="5">
        <f>[1]Hybrid!AI52</f>
        <v>0.32863946049999998</v>
      </c>
      <c r="AK325" s="5">
        <f>[1]Hybrid!AJ52</f>
        <v>0.32682552720000002</v>
      </c>
      <c r="AL325" s="5">
        <f>[1]Hybrid!AK52</f>
        <v>0.32481655440000001</v>
      </c>
      <c r="AM325" s="5">
        <f>[1]Hybrid!AL52</f>
        <v>0.32260339179999997</v>
      </c>
      <c r="AN325" s="5">
        <f>[1]Hybrid!AM52</f>
        <v>0.32019516770000001</v>
      </c>
      <c r="AO325" s="5">
        <f>[1]Hybrid!AN52</f>
        <v>0.31760111990000001</v>
      </c>
      <c r="AP325" s="5">
        <f>[1]Hybrid!AO52</f>
        <v>0.31483065059999998</v>
      </c>
      <c r="AQ325" s="5">
        <f>[1]Hybrid!AP52</f>
        <v>0.31189306989999999</v>
      </c>
      <c r="AR325" s="5">
        <f>[1]Hybrid!AQ52</f>
        <v>0.3087973503</v>
      </c>
      <c r="AS325" s="5">
        <f>[1]Hybrid!AR52</f>
        <v>0.30555196159999998</v>
      </c>
      <c r="AT325" s="5">
        <f>[1]Hybrid!AS52</f>
        <v>0.30216481299999998</v>
      </c>
      <c r="AU325" s="5">
        <f>[1]Hybrid!AT52</f>
        <v>0.29864327330000001</v>
      </c>
      <c r="AV325" s="5">
        <f>[1]Hybrid!AU52</f>
        <v>0.29499422939999997</v>
      </c>
      <c r="AW325" s="5">
        <f>[1]Hybrid!AV52</f>
        <v>0.29122609040000003</v>
      </c>
      <c r="AX325" s="5">
        <f>[1]Hybrid!AW52</f>
        <v>0.2873466288</v>
      </c>
      <c r="AY325" s="5">
        <f>[1]Hybrid!AX52</f>
        <v>0.28336095140000001</v>
      </c>
      <c r="AZ325" s="5">
        <f>[1]Hybrid!AY52</f>
        <v>0.27927337279999997</v>
      </c>
      <c r="BA325" s="5">
        <f>[1]Hybrid!AZ52</f>
        <v>0.27508845059999998</v>
      </c>
      <c r="BB325" s="5">
        <f>[1]Hybrid!BA52</f>
        <v>0.27581100089999999</v>
      </c>
      <c r="BC325" s="5">
        <f>[1]Hybrid!BB52</f>
        <v>0.27146094479999999</v>
      </c>
      <c r="BD325" s="5">
        <f>[1]Hybrid!BC52</f>
        <v>0.26701789739999998</v>
      </c>
      <c r="BE325" s="5">
        <f>[1]Hybrid!BD52</f>
        <v>0.26248832030000002</v>
      </c>
      <c r="BF325" s="5">
        <f>[1]Hybrid!BE52</f>
        <v>0.25787865199999999</v>
      </c>
    </row>
    <row r="326" spans="1:58" x14ac:dyDescent="0.35">
      <c r="B326" s="5" t="str">
        <f>[1]Hybrid!A54</f>
        <v>auto_ce_cgas_2</v>
      </c>
      <c r="C326" s="5">
        <f>[1]Hybrid!B54</f>
        <v>0.15020246549999999</v>
      </c>
      <c r="D326" s="5">
        <f>[1]Hybrid!C54</f>
        <v>0.1521299488</v>
      </c>
      <c r="E326" s="5">
        <f>[1]Hybrid!D54</f>
        <v>0.15475331349999999</v>
      </c>
      <c r="F326" s="5">
        <f>[1]Hybrid!E54</f>
        <v>0.15772101690000001</v>
      </c>
      <c r="G326" s="5">
        <f>[1]Hybrid!F54</f>
        <v>0.16080614800000001</v>
      </c>
      <c r="H326" s="5">
        <f>[1]Hybrid!G54</f>
        <v>0.16386564079999999</v>
      </c>
      <c r="I326" s="5">
        <f>[1]Hybrid!H54</f>
        <v>0.1667911275</v>
      </c>
      <c r="J326" s="5">
        <f>[1]Hybrid!I54</f>
        <v>0.16952826409999999</v>
      </c>
      <c r="K326" s="5">
        <f>[1]Hybrid!J54</f>
        <v>0.1720441382</v>
      </c>
      <c r="L326" s="5">
        <f>[1]Hybrid!K54</f>
        <v>0.17431938490000001</v>
      </c>
      <c r="M326" s="5">
        <f>[1]Hybrid!L54</f>
        <v>0.17637410149999999</v>
      </c>
      <c r="N326" s="5">
        <f>[1]Hybrid!M54</f>
        <v>0.1781695465</v>
      </c>
      <c r="O326" s="5">
        <f>[1]Hybrid!N54</f>
        <v>0.17970322450000001</v>
      </c>
      <c r="P326" s="5">
        <f>[1]Hybrid!O54</f>
        <v>0.18097508070000001</v>
      </c>
      <c r="Q326" s="5">
        <f>[1]Hybrid!P54</f>
        <v>0.1819873635</v>
      </c>
      <c r="R326" s="5">
        <f>[1]Hybrid!Q54</f>
        <v>0.1827442192</v>
      </c>
      <c r="S326" s="5">
        <f>[1]Hybrid!R54</f>
        <v>0.18325121559999999</v>
      </c>
      <c r="T326" s="5">
        <f>[1]Hybrid!S54</f>
        <v>0.18351494500000001</v>
      </c>
      <c r="U326" s="5">
        <f>[1]Hybrid!T54</f>
        <v>0.18354270440000001</v>
      </c>
      <c r="V326" s="5">
        <f>[1]Hybrid!U54</f>
        <v>0.18334226100000001</v>
      </c>
      <c r="W326" s="5">
        <f>[1]Hybrid!V54</f>
        <v>0.18290443310000001</v>
      </c>
      <c r="X326" s="5">
        <f>[1]Hybrid!W54</f>
        <v>0.1822566672</v>
      </c>
      <c r="Y326" s="5">
        <f>[1]Hybrid!X54</f>
        <v>0.1814078153</v>
      </c>
      <c r="Z326" s="5">
        <f>[1]Hybrid!Y54</f>
        <v>0.1803668424</v>
      </c>
      <c r="AA326" s="5">
        <f>[1]Hybrid!Z54</f>
        <v>0.17914253150000001</v>
      </c>
      <c r="AB326" s="5">
        <f>[1]Hybrid!AA54</f>
        <v>0.17770178950000001</v>
      </c>
      <c r="AC326" s="5">
        <f>[1]Hybrid!AB54</f>
        <v>0.17608055810000001</v>
      </c>
      <c r="AD326" s="5">
        <f>[1]Hybrid!AC54</f>
        <v>0.1742908587</v>
      </c>
      <c r="AE326" s="5">
        <f>[1]Hybrid!AD54</f>
        <v>0.1723449856</v>
      </c>
      <c r="AF326" s="5">
        <f>[1]Hybrid!AE54</f>
        <v>0.17025487989999999</v>
      </c>
      <c r="AG326" s="5">
        <f>[1]Hybrid!AF54</f>
        <v>0.16803182720000001</v>
      </c>
      <c r="AH326" s="5">
        <f>[1]Hybrid!AG54</f>
        <v>0.1656863747</v>
      </c>
      <c r="AI326" s="5">
        <f>[1]Hybrid!AH54</f>
        <v>0.16322835669999999</v>
      </c>
      <c r="AJ326" s="5">
        <f>[1]Hybrid!AI54</f>
        <v>0.16066697590000001</v>
      </c>
      <c r="AK326" s="5">
        <f>[1]Hybrid!AJ54</f>
        <v>0.15801090009999999</v>
      </c>
      <c r="AL326" s="5">
        <f>[1]Hybrid!AK54</f>
        <v>0.155268352</v>
      </c>
      <c r="AM326" s="5">
        <f>[1]Hybrid!AL54</f>
        <v>0.15244092070000001</v>
      </c>
      <c r="AN326" s="5">
        <f>[1]Hybrid!AM54</f>
        <v>0.149537225</v>
      </c>
      <c r="AO326" s="5">
        <f>[1]Hybrid!AN54</f>
        <v>0.14656570329999999</v>
      </c>
      <c r="AP326" s="5">
        <f>[1]Hybrid!AO54</f>
        <v>0.1435346103</v>
      </c>
      <c r="AQ326" s="5">
        <f>[1]Hybrid!AP54</f>
        <v>0.1404519172</v>
      </c>
      <c r="AR326" s="5">
        <f>[1]Hybrid!AQ54</f>
        <v>0.1373252314</v>
      </c>
      <c r="AS326" s="5">
        <f>[1]Hybrid!AR54</f>
        <v>0.13416175259999999</v>
      </c>
      <c r="AT326" s="5">
        <f>[1]Hybrid!AS54</f>
        <v>0.1309682694</v>
      </c>
      <c r="AU326" s="5">
        <f>[1]Hybrid!AT54</f>
        <v>0.1277511825</v>
      </c>
      <c r="AV326" s="5">
        <f>[1]Hybrid!AU54</f>
        <v>0.1245165387</v>
      </c>
      <c r="AW326" s="5">
        <f>[1]Hybrid!AV54</f>
        <v>0.1212708212</v>
      </c>
      <c r="AX326" s="5">
        <f>[1]Hybrid!AW54</f>
        <v>0.1180203826</v>
      </c>
      <c r="AY326" s="5">
        <f>[1]Hybrid!AX54</f>
        <v>0.1147704915</v>
      </c>
      <c r="AZ326" s="5">
        <f>[1]Hybrid!AY54</f>
        <v>0.1115258375</v>
      </c>
      <c r="BA326" s="5">
        <f>[1]Hybrid!AZ54</f>
        <v>0.1082908683</v>
      </c>
      <c r="BB326" s="5">
        <f>[1]Hybrid!BA54</f>
        <v>0.1050646423</v>
      </c>
      <c r="BC326" s="5">
        <f>[1]Hybrid!BB54</f>
        <v>0.1018301482</v>
      </c>
      <c r="BD326" s="5">
        <f>[1]Hybrid!BC54</f>
        <v>9.8617462000000003E-2</v>
      </c>
      <c r="BE326" s="5">
        <f>[1]Hybrid!BD54</f>
        <v>9.5431064800000007E-2</v>
      </c>
      <c r="BF326" s="5">
        <f>[1]Hybrid!BE54</f>
        <v>9.2275199700000005E-2</v>
      </c>
    </row>
    <row r="327" spans="1:58" x14ac:dyDescent="0.35">
      <c r="B327" s="5" t="str">
        <f>[1]Hybrid!A56</f>
        <v>auto_cf_cgas_2</v>
      </c>
      <c r="C327" s="5">
        <f>[1]Hybrid!B56</f>
        <v>7.4609436000000001E-2</v>
      </c>
      <c r="D327" s="5">
        <f>[1]Hybrid!C56</f>
        <v>7.53277163E-2</v>
      </c>
      <c r="E327" s="5">
        <f>[1]Hybrid!D56</f>
        <v>7.6245621400000005E-2</v>
      </c>
      <c r="F327" s="5">
        <f>[1]Hybrid!E56</f>
        <v>7.7168699300000004E-2</v>
      </c>
      <c r="G327" s="5">
        <f>[1]Hybrid!F56</f>
        <v>7.7981600100000006E-2</v>
      </c>
      <c r="H327" s="5">
        <f>[1]Hybrid!G56</f>
        <v>7.8620199000000002E-2</v>
      </c>
      <c r="I327" s="5">
        <f>[1]Hybrid!H56</f>
        <v>7.90444857E-2</v>
      </c>
      <c r="J327" s="5">
        <f>[1]Hybrid!I56</f>
        <v>7.9242570499999998E-2</v>
      </c>
      <c r="K327" s="5">
        <f>[1]Hybrid!J56</f>
        <v>7.9214153900000001E-2</v>
      </c>
      <c r="L327" s="5">
        <f>[1]Hybrid!K56</f>
        <v>7.8965764800000005E-2</v>
      </c>
      <c r="M327" s="5">
        <f>[1]Hybrid!L56</f>
        <v>7.8518386699999998E-2</v>
      </c>
      <c r="N327" s="5">
        <f>[1]Hybrid!M56</f>
        <v>7.7872531100000003E-2</v>
      </c>
      <c r="O327" s="5">
        <f>[1]Hybrid!N56</f>
        <v>7.7041914000000003E-2</v>
      </c>
      <c r="P327" s="5">
        <f>[1]Hybrid!O56</f>
        <v>7.6040966400000007E-2</v>
      </c>
      <c r="Q327" s="5">
        <f>[1]Hybrid!P56</f>
        <v>7.4884544100000006E-2</v>
      </c>
      <c r="R327" s="5">
        <f>[1]Hybrid!Q56</f>
        <v>7.3587636100000006E-2</v>
      </c>
      <c r="S327" s="5">
        <f>[1]Hybrid!R56</f>
        <v>7.2165112599999998E-2</v>
      </c>
      <c r="T327" s="5">
        <f>[1]Hybrid!S56</f>
        <v>7.0631534600000004E-2</v>
      </c>
      <c r="U327" s="5">
        <f>[1]Hybrid!T56</f>
        <v>6.9001011299999998E-2</v>
      </c>
      <c r="V327" s="5">
        <f>[1]Hybrid!U56</f>
        <v>6.7287096699999993E-2</v>
      </c>
      <c r="W327" s="5">
        <f>[1]Hybrid!V56</f>
        <v>6.5499014499999994E-2</v>
      </c>
      <c r="X327" s="5">
        <f>[1]Hybrid!W56</f>
        <v>6.3653474500000001E-2</v>
      </c>
      <c r="Y327" s="5">
        <f>[1]Hybrid!X56</f>
        <v>6.1762087399999999E-2</v>
      </c>
      <c r="Z327" s="5">
        <f>[1]Hybrid!Y56</f>
        <v>5.9835709000000001E-2</v>
      </c>
      <c r="AA327" s="5">
        <f>[1]Hybrid!Z56</f>
        <v>5.7884419100000001E-2</v>
      </c>
      <c r="AB327" s="5">
        <f>[1]Hybrid!AA56</f>
        <v>5.5910680499999997E-2</v>
      </c>
      <c r="AC327" s="5">
        <f>[1]Hybrid!AB56</f>
        <v>5.3928465100000003E-2</v>
      </c>
      <c r="AD327" s="5">
        <f>[1]Hybrid!AC56</f>
        <v>5.1946611900000002E-2</v>
      </c>
      <c r="AE327" s="5">
        <f>[1]Hybrid!AD56</f>
        <v>4.9973148299999999E-2</v>
      </c>
      <c r="AF327" s="5">
        <f>[1]Hybrid!AE56</f>
        <v>4.8015252699999997E-2</v>
      </c>
      <c r="AG327" s="5">
        <f>[1]Hybrid!AF56</f>
        <v>4.6079276000000002E-2</v>
      </c>
      <c r="AH327" s="5">
        <f>[1]Hybrid!AG56</f>
        <v>4.4170792100000002E-2</v>
      </c>
      <c r="AI327" s="5">
        <f>[1]Hybrid!AH56</f>
        <v>4.22946586E-2</v>
      </c>
      <c r="AJ327" s="5">
        <f>[1]Hybrid!AI56</f>
        <v>4.0455079099999999E-2</v>
      </c>
      <c r="AK327" s="5">
        <f>[1]Hybrid!AJ56</f>
        <v>3.8655663E-2</v>
      </c>
      <c r="AL327" s="5">
        <f>[1]Hybrid!AK56</f>
        <v>3.6899480300000002E-2</v>
      </c>
      <c r="AM327" s="5">
        <f>[1]Hybrid!AL56</f>
        <v>3.51885823E-2</v>
      </c>
      <c r="AN327" s="5">
        <f>[1]Hybrid!AM56</f>
        <v>3.3525285000000002E-2</v>
      </c>
      <c r="AO327" s="5">
        <f>[1]Hybrid!AN56</f>
        <v>3.1911477200000003E-2</v>
      </c>
      <c r="AP327" s="5">
        <f>[1]Hybrid!AO56</f>
        <v>3.0348646E-2</v>
      </c>
      <c r="AQ327" s="5">
        <f>[1]Hybrid!AP56</f>
        <v>2.88379003E-2</v>
      </c>
      <c r="AR327" s="5">
        <f>[1]Hybrid!AQ56</f>
        <v>2.7379998499999999E-2</v>
      </c>
      <c r="AS327" s="5">
        <f>[1]Hybrid!AR56</f>
        <v>2.59753782E-2</v>
      </c>
      <c r="AT327" s="5">
        <f>[1]Hybrid!AS56</f>
        <v>2.4624187400000001E-2</v>
      </c>
      <c r="AU327" s="5">
        <f>[1]Hybrid!AT56</f>
        <v>2.3326315300000001E-2</v>
      </c>
      <c r="AV327" s="5">
        <f>[1]Hybrid!AU56</f>
        <v>2.2081421100000002E-2</v>
      </c>
      <c r="AW327" s="5">
        <f>[1]Hybrid!AV56</f>
        <v>2.08890121E-2</v>
      </c>
      <c r="AX327" s="5">
        <f>[1]Hybrid!AW56</f>
        <v>1.9748445600000001E-2</v>
      </c>
      <c r="AY327" s="5">
        <f>[1]Hybrid!AX56</f>
        <v>1.8658864800000001E-2</v>
      </c>
      <c r="AZ327" s="5">
        <f>[1]Hybrid!AY56</f>
        <v>1.76192373E-2</v>
      </c>
      <c r="BA327" s="5">
        <f>[1]Hybrid!AZ56</f>
        <v>1.6628395599999998E-2</v>
      </c>
      <c r="BB327" s="5">
        <f>[1]Hybrid!BA56</f>
        <v>1.5214498E-2</v>
      </c>
      <c r="BC327" s="5">
        <f>[1]Hybrid!BB56</f>
        <v>1.4334256199999999E-2</v>
      </c>
      <c r="BD327" s="5">
        <f>[1]Hybrid!BC56</f>
        <v>1.34989068E-2</v>
      </c>
      <c r="BE327" s="5">
        <f>[1]Hybrid!BD56</f>
        <v>1.27069182E-2</v>
      </c>
      <c r="BF327" s="5">
        <f>[1]Hybrid!BE56</f>
        <v>1.1956719899999999E-2</v>
      </c>
    </row>
    <row r="328" spans="1:58" x14ac:dyDescent="0.35">
      <c r="B328" s="5" t="str">
        <f>[1]Hybrid!A58</f>
        <v>auto_cg_cgas_2</v>
      </c>
      <c r="C328" s="5">
        <f>[1]Hybrid!B58</f>
        <v>0.13435819299999999</v>
      </c>
      <c r="D328" s="5">
        <f>[1]Hybrid!C58</f>
        <v>0.13591693420000001</v>
      </c>
      <c r="E328" s="5">
        <f>[1]Hybrid!D58</f>
        <v>0.1376042227</v>
      </c>
      <c r="F328" s="5">
        <f>[1]Hybrid!E58</f>
        <v>0.13903311300000001</v>
      </c>
      <c r="G328" s="5">
        <f>[1]Hybrid!F58</f>
        <v>0.13999743079999999</v>
      </c>
      <c r="H328" s="5">
        <f>[1]Hybrid!G58</f>
        <v>0.14040407960000001</v>
      </c>
      <c r="I328" s="5">
        <f>[1]Hybrid!H58</f>
        <v>0.14021511</v>
      </c>
      <c r="J328" s="5">
        <f>[1]Hybrid!I58</f>
        <v>0.1394463266</v>
      </c>
      <c r="K328" s="5">
        <f>[1]Hybrid!J58</f>
        <v>0.13813467739999999</v>
      </c>
      <c r="L328" s="5">
        <f>[1]Hybrid!K58</f>
        <v>0.13632777639999999</v>
      </c>
      <c r="M328" s="5">
        <f>[1]Hybrid!L58</f>
        <v>0.13409228849999999</v>
      </c>
      <c r="N328" s="5">
        <f>[1]Hybrid!M58</f>
        <v>0.13146372049999999</v>
      </c>
      <c r="O328" s="5">
        <f>[1]Hybrid!N58</f>
        <v>0.1284943332</v>
      </c>
      <c r="P328" s="5">
        <f>[1]Hybrid!O58</f>
        <v>0.1252346536</v>
      </c>
      <c r="Q328" s="5">
        <f>[1]Hybrid!P58</f>
        <v>0.1217328429</v>
      </c>
      <c r="R328" s="5">
        <f>[1]Hybrid!Q58</f>
        <v>0.1180342239</v>
      </c>
      <c r="S328" s="5">
        <f>[1]Hybrid!R58</f>
        <v>0.1141809677</v>
      </c>
      <c r="T328" s="5">
        <f>[1]Hybrid!S58</f>
        <v>0.1102119271</v>
      </c>
      <c r="U328" s="5">
        <f>[1]Hybrid!T58</f>
        <v>0.1061625725</v>
      </c>
      <c r="V328" s="5">
        <f>[1]Hybrid!U58</f>
        <v>0.10206500440000001</v>
      </c>
      <c r="W328" s="5">
        <f>[1]Hybrid!V58</f>
        <v>9.7944624199999997E-2</v>
      </c>
      <c r="X328" s="5">
        <f>[1]Hybrid!W58</f>
        <v>9.3831392499999999E-2</v>
      </c>
      <c r="Y328" s="5">
        <f>[1]Hybrid!X58</f>
        <v>8.9747881000000002E-2</v>
      </c>
      <c r="Z328" s="5">
        <f>[1]Hybrid!Y58</f>
        <v>8.5713730500000002E-2</v>
      </c>
      <c r="AA328" s="5">
        <f>[1]Hybrid!Z58</f>
        <v>8.1745847999999996E-2</v>
      </c>
      <c r="AB328" s="5">
        <f>[1]Hybrid!AA58</f>
        <v>7.7853635099999999E-2</v>
      </c>
      <c r="AC328" s="5">
        <f>[1]Hybrid!AB58</f>
        <v>7.4053566000000001E-2</v>
      </c>
      <c r="AD328" s="5">
        <f>[1]Hybrid!AC58</f>
        <v>7.0356400099999994E-2</v>
      </c>
      <c r="AE328" s="5">
        <f>[1]Hybrid!AD58</f>
        <v>6.6770739499999995E-2</v>
      </c>
      <c r="AF328" s="5">
        <f>[1]Hybrid!AE58</f>
        <v>6.3303216199999998E-2</v>
      </c>
      <c r="AG328" s="5">
        <f>[1]Hybrid!AF58</f>
        <v>5.9958707899999998E-2</v>
      </c>
      <c r="AH328" s="5">
        <f>[1]Hybrid!AG58</f>
        <v>5.6740552E-2</v>
      </c>
      <c r="AI328" s="5">
        <f>[1]Hybrid!AH58</f>
        <v>5.3650746899999997E-2</v>
      </c>
      <c r="AJ328" s="5">
        <f>[1]Hybrid!AI58</f>
        <v>5.0690136300000001E-2</v>
      </c>
      <c r="AK328" s="5">
        <f>[1]Hybrid!AJ58</f>
        <v>4.7858574799999998E-2</v>
      </c>
      <c r="AL328" s="5">
        <f>[1]Hybrid!AK58</f>
        <v>4.5155076500000002E-2</v>
      </c>
      <c r="AM328" s="5">
        <f>[1]Hybrid!AL58</f>
        <v>4.2577732799999997E-2</v>
      </c>
      <c r="AN328" s="5">
        <f>[1]Hybrid!AM58</f>
        <v>4.01243576E-2</v>
      </c>
      <c r="AO328" s="5">
        <f>[1]Hybrid!AN58</f>
        <v>3.77922511E-2</v>
      </c>
      <c r="AP328" s="5">
        <f>[1]Hybrid!AO58</f>
        <v>3.5578287200000003E-2</v>
      </c>
      <c r="AQ328" s="5">
        <f>[1]Hybrid!AP58</f>
        <v>3.34789952E-2</v>
      </c>
      <c r="AR328" s="5">
        <f>[1]Hybrid!AQ58</f>
        <v>3.1490633400000002E-2</v>
      </c>
      <c r="AS328" s="5">
        <f>[1]Hybrid!AR58</f>
        <v>2.9609257399999998E-2</v>
      </c>
      <c r="AT328" s="5">
        <f>[1]Hybrid!AS58</f>
        <v>2.78307798E-2</v>
      </c>
      <c r="AU328" s="5">
        <f>[1]Hybrid!AT58</f>
        <v>2.6151022400000001E-2</v>
      </c>
      <c r="AV328" s="5">
        <f>[1]Hybrid!AU58</f>
        <v>2.4565762000000001E-2</v>
      </c>
      <c r="AW328" s="5">
        <f>[1]Hybrid!AV58</f>
        <v>2.30707829E-2</v>
      </c>
      <c r="AX328" s="5">
        <f>[1]Hybrid!AW58</f>
        <v>2.1661902699999999E-2</v>
      </c>
      <c r="AY328" s="5">
        <f>[1]Hybrid!AX58</f>
        <v>2.0334975000000002E-2</v>
      </c>
      <c r="AZ328" s="5">
        <f>[1]Hybrid!AY58</f>
        <v>1.9085918E-2</v>
      </c>
      <c r="BA328" s="5">
        <f>[1]Hybrid!AZ58</f>
        <v>1.79107409E-2</v>
      </c>
      <c r="BB328" s="5">
        <f>[1]Hybrid!BA58</f>
        <v>1.63579495E-2</v>
      </c>
      <c r="BC328" s="5">
        <f>[1]Hybrid!BB58</f>
        <v>1.5344181700000001E-2</v>
      </c>
      <c r="BD328" s="5">
        <f>[1]Hybrid!BC58</f>
        <v>1.4391943900000001E-2</v>
      </c>
      <c r="BE328" s="5">
        <f>[1]Hybrid!BD58</f>
        <v>1.3497753600000001E-2</v>
      </c>
      <c r="BF328" s="5">
        <f>[1]Hybrid!BE58</f>
        <v>1.2658279600000001E-2</v>
      </c>
    </row>
    <row r="330" spans="1:58" x14ac:dyDescent="0.35">
      <c r="A330" s="12" t="s">
        <v>90</v>
      </c>
      <c r="B330" t="s">
        <v>56</v>
      </c>
      <c r="C330" s="2">
        <v>42005</v>
      </c>
      <c r="D330" s="2">
        <v>42370</v>
      </c>
      <c r="E330" s="2">
        <v>42736</v>
      </c>
      <c r="F330" s="2">
        <v>43101</v>
      </c>
      <c r="G330" s="2">
        <v>43466</v>
      </c>
      <c r="H330" s="2">
        <v>43831</v>
      </c>
      <c r="I330" s="2">
        <v>44197</v>
      </c>
      <c r="J330" s="2">
        <v>44562</v>
      </c>
      <c r="K330" s="2">
        <v>44927</v>
      </c>
      <c r="L330" s="2">
        <v>45292</v>
      </c>
      <c r="M330" s="2">
        <v>45658</v>
      </c>
      <c r="N330" s="2">
        <v>46023</v>
      </c>
      <c r="O330" s="2">
        <v>46388</v>
      </c>
      <c r="P330" s="2">
        <v>46753</v>
      </c>
      <c r="Q330" s="2">
        <v>47119</v>
      </c>
      <c r="R330" s="2">
        <v>47484</v>
      </c>
      <c r="S330" s="2">
        <v>47849</v>
      </c>
      <c r="T330" s="2">
        <v>48214</v>
      </c>
      <c r="U330" s="2">
        <v>48580</v>
      </c>
      <c r="V330" s="2">
        <v>48945</v>
      </c>
      <c r="W330" s="2">
        <v>49310</v>
      </c>
      <c r="X330" s="2">
        <v>49675</v>
      </c>
      <c r="Y330" s="2">
        <v>50041</v>
      </c>
      <c r="Z330" s="2">
        <v>50406</v>
      </c>
      <c r="AA330" s="2">
        <v>50771</v>
      </c>
      <c r="AB330" s="2">
        <v>51136</v>
      </c>
      <c r="AC330" s="2">
        <v>51502</v>
      </c>
      <c r="AD330" s="2">
        <v>51867</v>
      </c>
      <c r="AE330" s="2">
        <v>52232</v>
      </c>
      <c r="AF330" s="2">
        <v>52597</v>
      </c>
      <c r="AG330" s="2">
        <v>52963</v>
      </c>
      <c r="AH330" s="2">
        <v>53328</v>
      </c>
      <c r="AI330" s="2">
        <v>53693</v>
      </c>
      <c r="AJ330" s="2">
        <v>54058</v>
      </c>
      <c r="AK330" s="2">
        <v>54424</v>
      </c>
      <c r="AL330" s="2">
        <v>54789</v>
      </c>
      <c r="AM330" s="2">
        <v>54790</v>
      </c>
      <c r="AN330" s="2">
        <v>54791</v>
      </c>
      <c r="AO330" s="2">
        <v>54792</v>
      </c>
      <c r="AP330" s="2">
        <v>54793</v>
      </c>
      <c r="AQ330" s="2">
        <v>54794</v>
      </c>
      <c r="AR330" s="2">
        <v>54795</v>
      </c>
      <c r="AS330" s="2">
        <v>54796</v>
      </c>
      <c r="AT330" s="2">
        <v>54797</v>
      </c>
      <c r="AU330" s="2">
        <v>54798</v>
      </c>
      <c r="AV330" s="2">
        <v>54799</v>
      </c>
      <c r="AW330" s="2">
        <v>54800</v>
      </c>
      <c r="AX330" s="2">
        <v>54801</v>
      </c>
      <c r="AY330" s="2">
        <v>54802</v>
      </c>
      <c r="AZ330" s="2">
        <v>54803</v>
      </c>
      <c r="BA330" s="2">
        <v>54804</v>
      </c>
      <c r="BB330" s="2">
        <v>54805</v>
      </c>
      <c r="BC330" s="2">
        <v>54806</v>
      </c>
      <c r="BD330" s="2">
        <v>54807</v>
      </c>
      <c r="BE330" s="2">
        <v>54808</v>
      </c>
      <c r="BF330" s="2">
        <v>54809</v>
      </c>
    </row>
    <row r="331" spans="1:58" x14ac:dyDescent="0.35">
      <c r="A331" t="s">
        <v>39</v>
      </c>
      <c r="B331" t="s">
        <v>96</v>
      </c>
      <c r="C331" s="6">
        <f t="shared" ref="C331:AL331" si="186">C308+C322+C315</f>
        <v>7105.9689965623002</v>
      </c>
      <c r="D331" s="6">
        <f t="shared" si="186"/>
        <v>7160.6970853980001</v>
      </c>
      <c r="E331" s="6">
        <f t="shared" si="186"/>
        <v>7267.3145928016002</v>
      </c>
      <c r="F331" s="6">
        <f t="shared" si="186"/>
        <v>7408.9474319202</v>
      </c>
      <c r="G331" s="6">
        <f t="shared" si="186"/>
        <v>7574.2904407697006</v>
      </c>
      <c r="H331" s="6">
        <f t="shared" si="186"/>
        <v>7755.9129698082006</v>
      </c>
      <c r="I331" s="6">
        <f t="shared" si="186"/>
        <v>7947.7748187774996</v>
      </c>
      <c r="J331" s="6">
        <f t="shared" si="186"/>
        <v>8146.6370774395</v>
      </c>
      <c r="K331" s="6">
        <f t="shared" si="186"/>
        <v>8350.3244813261008</v>
      </c>
      <c r="L331" s="6">
        <f t="shared" si="186"/>
        <v>8557.3572428960997</v>
      </c>
      <c r="M331" s="6">
        <f t="shared" si="186"/>
        <v>8768.8263419702016</v>
      </c>
      <c r="N331" s="6">
        <f t="shared" si="186"/>
        <v>8981.8059927364993</v>
      </c>
      <c r="O331" s="6">
        <f t="shared" si="186"/>
        <v>9195.7135944322981</v>
      </c>
      <c r="P331" s="6">
        <f t="shared" si="186"/>
        <v>9410.0784815214993</v>
      </c>
      <c r="Q331" s="6">
        <f t="shared" si="186"/>
        <v>9624.5553985591014</v>
      </c>
      <c r="R331" s="6">
        <f t="shared" si="186"/>
        <v>9838.9102343671002</v>
      </c>
      <c r="S331" s="6">
        <f t="shared" si="186"/>
        <v>10052.9937669553</v>
      </c>
      <c r="T331" s="6">
        <f t="shared" si="186"/>
        <v>10266.717358654099</v>
      </c>
      <c r="U331" s="6">
        <f t="shared" si="186"/>
        <v>10480.032207878899</v>
      </c>
      <c r="V331" s="6">
        <f t="shared" si="186"/>
        <v>10692.914479044301</v>
      </c>
      <c r="W331" s="6">
        <f t="shared" si="186"/>
        <v>10903.7019670832</v>
      </c>
      <c r="X331" s="6">
        <f t="shared" si="186"/>
        <v>11114.13808662</v>
      </c>
      <c r="Y331" s="6">
        <f t="shared" si="186"/>
        <v>11324.269369590998</v>
      </c>
      <c r="Z331" s="6">
        <f t="shared" si="186"/>
        <v>11534.168816998999</v>
      </c>
      <c r="AA331" s="6">
        <f t="shared" si="186"/>
        <v>11743.898046464999</v>
      </c>
      <c r="AB331" s="6">
        <f t="shared" si="186"/>
        <v>11948.660528372002</v>
      </c>
      <c r="AC331" s="6">
        <f t="shared" si="186"/>
        <v>12151.292367575999</v>
      </c>
      <c r="AD331" s="6">
        <f t="shared" si="186"/>
        <v>12352.02061698</v>
      </c>
      <c r="AE331" s="6">
        <f t="shared" si="186"/>
        <v>12551.180522646</v>
      </c>
      <c r="AF331" s="6">
        <f t="shared" si="186"/>
        <v>12749.136074336</v>
      </c>
      <c r="AG331" s="6">
        <f t="shared" si="186"/>
        <v>12946.234109941999</v>
      </c>
      <c r="AH331" s="6">
        <f t="shared" si="186"/>
        <v>13142.785935341</v>
      </c>
      <c r="AI331" s="6">
        <f t="shared" si="186"/>
        <v>13339.064277697</v>
      </c>
      <c r="AJ331" s="6">
        <f t="shared" si="186"/>
        <v>13535.308850786001</v>
      </c>
      <c r="AK331" s="6">
        <f t="shared" si="186"/>
        <v>13731.734907674998</v>
      </c>
      <c r="AL331" s="6">
        <f t="shared" si="186"/>
        <v>13928.541397374</v>
      </c>
      <c r="AM331" s="6">
        <f t="shared" ref="AM331:BC331" si="187">AM308+AM322+AM315</f>
        <v>14124.734167832999</v>
      </c>
      <c r="AN331" s="6">
        <f t="shared" si="187"/>
        <v>14320.552210428001</v>
      </c>
      <c r="AO331" s="6">
        <f t="shared" si="187"/>
        <v>14516.255950756</v>
      </c>
      <c r="AP331" s="6">
        <f t="shared" si="187"/>
        <v>14712.140141509999</v>
      </c>
      <c r="AQ331" s="6">
        <f t="shared" si="187"/>
        <v>14908.518373530002</v>
      </c>
      <c r="AR331" s="6">
        <f t="shared" si="187"/>
        <v>15105.703836811001</v>
      </c>
      <c r="AS331" s="6">
        <f t="shared" si="187"/>
        <v>15303.993638476999</v>
      </c>
      <c r="AT331" s="6">
        <f t="shared" si="187"/>
        <v>15503.660306542</v>
      </c>
      <c r="AU331" s="6">
        <f t="shared" si="187"/>
        <v>15704.949193642002</v>
      </c>
      <c r="AV331" s="6">
        <f t="shared" si="187"/>
        <v>15908.079210542999</v>
      </c>
      <c r="AW331" s="6">
        <f t="shared" si="187"/>
        <v>16113.350693206999</v>
      </c>
      <c r="AX331" s="6">
        <f t="shared" si="187"/>
        <v>16320.857824033999</v>
      </c>
      <c r="AY331" s="6">
        <f t="shared" si="187"/>
        <v>16530.453366199999</v>
      </c>
      <c r="AZ331" s="6">
        <f t="shared" si="187"/>
        <v>16741.985876795003</v>
      </c>
      <c r="BA331" s="6">
        <f t="shared" si="187"/>
        <v>16955.405521485998</v>
      </c>
      <c r="BB331" s="6">
        <f t="shared" si="187"/>
        <v>18182.57675584</v>
      </c>
      <c r="BC331" s="6">
        <f t="shared" si="187"/>
        <v>18445.878013850001</v>
      </c>
      <c r="BD331" s="6">
        <f t="shared" ref="BD331:BF331" si="188">BD308+BD322+BD315</f>
        <v>18712.095528523001</v>
      </c>
      <c r="BE331" s="6">
        <f t="shared" si="188"/>
        <v>18981.344316728002</v>
      </c>
      <c r="BF331" s="6">
        <f t="shared" si="188"/>
        <v>19253.748624161999</v>
      </c>
    </row>
    <row r="332" spans="1:58" x14ac:dyDescent="0.35">
      <c r="B332" t="s">
        <v>97</v>
      </c>
      <c r="C332" s="6">
        <f t="shared" ref="C332:AL332" si="189">C309+C323+C316</f>
        <v>8263.1971436354015</v>
      </c>
      <c r="D332" s="6">
        <f t="shared" si="189"/>
        <v>8203.0098988207992</v>
      </c>
      <c r="E332" s="6">
        <f t="shared" si="189"/>
        <v>8200.2562624804996</v>
      </c>
      <c r="F332" s="6">
        <f t="shared" si="189"/>
        <v>8237.799178986199</v>
      </c>
      <c r="G332" s="6">
        <f t="shared" si="189"/>
        <v>8304.0155618623994</v>
      </c>
      <c r="H332" s="6">
        <f t="shared" si="189"/>
        <v>8391.1155014864999</v>
      </c>
      <c r="I332" s="6">
        <f t="shared" si="189"/>
        <v>8492.738468703099</v>
      </c>
      <c r="J332" s="6">
        <f t="shared" si="189"/>
        <v>8605.2672444549989</v>
      </c>
      <c r="K332" s="6">
        <f t="shared" si="189"/>
        <v>8726.1537904512006</v>
      </c>
      <c r="L332" s="6">
        <f t="shared" si="189"/>
        <v>8853.5567472020011</v>
      </c>
      <c r="M332" s="6">
        <f t="shared" si="189"/>
        <v>8988.0876402068006</v>
      </c>
      <c r="N332" s="6">
        <f t="shared" si="189"/>
        <v>9126.6179271646997</v>
      </c>
      <c r="O332" s="6">
        <f t="shared" si="189"/>
        <v>9268.2572221944993</v>
      </c>
      <c r="P332" s="6">
        <f t="shared" si="189"/>
        <v>9412.249294814801</v>
      </c>
      <c r="Q332" s="6">
        <f t="shared" si="189"/>
        <v>9557.9806302529014</v>
      </c>
      <c r="R332" s="6">
        <f t="shared" si="189"/>
        <v>9704.9639075938012</v>
      </c>
      <c r="S332" s="6">
        <f t="shared" si="189"/>
        <v>9852.8110638762009</v>
      </c>
      <c r="T332" s="6">
        <f t="shared" si="189"/>
        <v>10001.208669515399</v>
      </c>
      <c r="U332" s="6">
        <f t="shared" si="189"/>
        <v>10149.8969684614</v>
      </c>
      <c r="V332" s="6">
        <f t="shared" si="189"/>
        <v>10298.6545785333</v>
      </c>
      <c r="W332" s="6">
        <f t="shared" si="189"/>
        <v>10445.786751698799</v>
      </c>
      <c r="X332" s="6">
        <f t="shared" si="189"/>
        <v>10592.714090858801</v>
      </c>
      <c r="Y332" s="6">
        <f t="shared" si="189"/>
        <v>10739.317997316901</v>
      </c>
      <c r="Z332" s="6">
        <f t="shared" si="189"/>
        <v>10885.51261238</v>
      </c>
      <c r="AA332" s="6">
        <f t="shared" si="189"/>
        <v>11031.210483036</v>
      </c>
      <c r="AB332" s="6">
        <f t="shared" si="189"/>
        <v>11172.001273580001</v>
      </c>
      <c r="AC332" s="6">
        <f t="shared" si="189"/>
        <v>11310.32704152</v>
      </c>
      <c r="AD332" s="6">
        <f t="shared" si="189"/>
        <v>11446.294488193</v>
      </c>
      <c r="AE332" s="6">
        <f t="shared" si="189"/>
        <v>11580.107753587999</v>
      </c>
      <c r="AF332" s="6">
        <f t="shared" si="189"/>
        <v>11711.997291483</v>
      </c>
      <c r="AG332" s="6">
        <f t="shared" si="189"/>
        <v>11842.179042626</v>
      </c>
      <c r="AH332" s="6">
        <f t="shared" si="189"/>
        <v>11970.838174476001</v>
      </c>
      <c r="AI332" s="6">
        <f t="shared" si="189"/>
        <v>12098.126203961001</v>
      </c>
      <c r="AJ332" s="6">
        <f t="shared" si="189"/>
        <v>12224.165771854001</v>
      </c>
      <c r="AK332" s="6">
        <f t="shared" si="189"/>
        <v>12349.057944365999</v>
      </c>
      <c r="AL332" s="6">
        <f t="shared" si="189"/>
        <v>12472.889097525001</v>
      </c>
      <c r="AM332" s="6">
        <f t="shared" ref="AM332:BC332" si="190">AM309+AM323+AM316</f>
        <v>12594.729123933001</v>
      </c>
      <c r="AN332" s="6">
        <f t="shared" si="190"/>
        <v>12714.710746437002</v>
      </c>
      <c r="AO332" s="6">
        <f t="shared" si="190"/>
        <v>12832.984303259</v>
      </c>
      <c r="AP332" s="6">
        <f t="shared" si="190"/>
        <v>12949.727035888</v>
      </c>
      <c r="AQ332" s="6">
        <f t="shared" si="190"/>
        <v>13065.129037756002</v>
      </c>
      <c r="AR332" s="6">
        <f t="shared" si="190"/>
        <v>13179.376700372</v>
      </c>
      <c r="AS332" s="6">
        <f t="shared" si="190"/>
        <v>13292.639409014</v>
      </c>
      <c r="AT332" s="6">
        <f t="shared" si="190"/>
        <v>13405.062647839002</v>
      </c>
      <c r="AU332" s="6">
        <f t="shared" si="190"/>
        <v>13516.766037378999</v>
      </c>
      <c r="AV332" s="6">
        <f t="shared" si="190"/>
        <v>13627.844155782999</v>
      </c>
      <c r="AW332" s="6">
        <f t="shared" si="190"/>
        <v>13738.464951217</v>
      </c>
      <c r="AX332" s="6">
        <f t="shared" si="190"/>
        <v>13848.647238808</v>
      </c>
      <c r="AY332" s="6">
        <f t="shared" si="190"/>
        <v>13958.212348788998</v>
      </c>
      <c r="AZ332" s="6">
        <f t="shared" si="190"/>
        <v>14066.968966173999</v>
      </c>
      <c r="BA332" s="6">
        <f t="shared" si="190"/>
        <v>14174.797228002999</v>
      </c>
      <c r="BB332" s="6">
        <f t="shared" si="190"/>
        <v>15021.876346300001</v>
      </c>
      <c r="BC332" s="6">
        <f t="shared" si="190"/>
        <v>15156.629626152</v>
      </c>
      <c r="BD332" s="6">
        <f t="shared" ref="BD332:BF332" si="191">BD309+BD323+BD316</f>
        <v>15290.513371906</v>
      </c>
      <c r="BE332" s="6">
        <f t="shared" si="191"/>
        <v>15423.524856576001</v>
      </c>
      <c r="BF332" s="6">
        <f t="shared" si="191"/>
        <v>15555.666014259001</v>
      </c>
    </row>
    <row r="333" spans="1:58" x14ac:dyDescent="0.35">
      <c r="B333" t="s">
        <v>98</v>
      </c>
      <c r="C333" s="6">
        <f t="shared" ref="C333:AL333" si="192">C310+C324+C317</f>
        <v>6787.4105911386005</v>
      </c>
      <c r="D333" s="6">
        <f t="shared" si="192"/>
        <v>6662.2644971899999</v>
      </c>
      <c r="E333" s="6">
        <f t="shared" si="192"/>
        <v>6582.5788193700992</v>
      </c>
      <c r="F333" s="6">
        <f t="shared" si="192"/>
        <v>6535.8164329557003</v>
      </c>
      <c r="G333" s="6">
        <f t="shared" si="192"/>
        <v>6513.3762565729003</v>
      </c>
      <c r="H333" s="6">
        <f t="shared" si="192"/>
        <v>6509.3917944948998</v>
      </c>
      <c r="I333" s="6">
        <f t="shared" si="192"/>
        <v>6519.0535089355008</v>
      </c>
      <c r="J333" s="6">
        <f t="shared" si="192"/>
        <v>6539.4901917187999</v>
      </c>
      <c r="K333" s="6">
        <f t="shared" si="192"/>
        <v>6568.6058450180999</v>
      </c>
      <c r="L333" s="6">
        <f t="shared" si="192"/>
        <v>6604.8224351604003</v>
      </c>
      <c r="M333" s="6">
        <f t="shared" si="192"/>
        <v>6648.2521907554001</v>
      </c>
      <c r="N333" s="6">
        <f t="shared" si="192"/>
        <v>6696.4988553407993</v>
      </c>
      <c r="O333" s="6">
        <f t="shared" si="192"/>
        <v>6748.7098832581005</v>
      </c>
      <c r="P333" s="6">
        <f t="shared" si="192"/>
        <v>6804.1455736004</v>
      </c>
      <c r="Q333" s="6">
        <f t="shared" si="192"/>
        <v>6862.1819658388004</v>
      </c>
      <c r="R333" s="6">
        <f t="shared" si="192"/>
        <v>6922.2974343324995</v>
      </c>
      <c r="S333" s="6">
        <f t="shared" si="192"/>
        <v>6984.0527931203997</v>
      </c>
      <c r="T333" s="6">
        <f t="shared" si="192"/>
        <v>7047.0733019367999</v>
      </c>
      <c r="U333" s="6">
        <f t="shared" si="192"/>
        <v>7111.0333797316007</v>
      </c>
      <c r="V333" s="6">
        <f t="shared" si="192"/>
        <v>7175.645230492999</v>
      </c>
      <c r="W333" s="6">
        <f t="shared" si="192"/>
        <v>7239.6674854449993</v>
      </c>
      <c r="X333" s="6">
        <f t="shared" si="192"/>
        <v>7303.9166436776995</v>
      </c>
      <c r="Y333" s="6">
        <f t="shared" si="192"/>
        <v>7368.2039567876009</v>
      </c>
      <c r="Z333" s="6">
        <f t="shared" si="192"/>
        <v>7432.3697418818001</v>
      </c>
      <c r="AA333" s="6">
        <f t="shared" si="192"/>
        <v>7496.2608264357004</v>
      </c>
      <c r="AB333" s="6">
        <f t="shared" si="192"/>
        <v>7556.9502769596993</v>
      </c>
      <c r="AC333" s="6">
        <f t="shared" si="192"/>
        <v>7615.9515456947011</v>
      </c>
      <c r="AD333" s="6">
        <f t="shared" si="192"/>
        <v>7673.2712633132996</v>
      </c>
      <c r="AE333" s="6">
        <f t="shared" si="192"/>
        <v>7728.980966524201</v>
      </c>
      <c r="AF333" s="6">
        <f t="shared" si="192"/>
        <v>7783.1710239562999</v>
      </c>
      <c r="AG333" s="6">
        <f t="shared" si="192"/>
        <v>7835.9245036161001</v>
      </c>
      <c r="AH333" s="6">
        <f t="shared" si="192"/>
        <v>7887.3067192809003</v>
      </c>
      <c r="AI333" s="6">
        <f t="shared" si="192"/>
        <v>7937.3633693540005</v>
      </c>
      <c r="AJ333" s="6">
        <f t="shared" si="192"/>
        <v>7986.1234247101993</v>
      </c>
      <c r="AK333" s="6">
        <f t="shared" si="192"/>
        <v>8033.6036539810002</v>
      </c>
      <c r="AL333" s="6">
        <f t="shared" si="192"/>
        <v>8079.8128948226004</v>
      </c>
      <c r="AM333" s="6">
        <f t="shared" ref="AM333:BC333" si="193">AM310+AM324+AM317</f>
        <v>8124.1363246465999</v>
      </c>
      <c r="AN333" s="6">
        <f t="shared" si="193"/>
        <v>8166.6218251295995</v>
      </c>
      <c r="AO333" s="6">
        <f t="shared" si="193"/>
        <v>8207.3291730770998</v>
      </c>
      <c r="AP333" s="6">
        <f t="shared" si="193"/>
        <v>8246.3347937456001</v>
      </c>
      <c r="AQ333" s="6">
        <f t="shared" si="193"/>
        <v>8283.7226582186995</v>
      </c>
      <c r="AR333" s="6">
        <f t="shared" si="193"/>
        <v>8319.5740021721995</v>
      </c>
      <c r="AS333" s="6">
        <f t="shared" si="193"/>
        <v>8353.9593417171</v>
      </c>
      <c r="AT333" s="6">
        <f t="shared" si="193"/>
        <v>8386.9344338586998</v>
      </c>
      <c r="AU333" s="6">
        <f t="shared" si="193"/>
        <v>8418.5393001050998</v>
      </c>
      <c r="AV333" s="6">
        <f t="shared" si="193"/>
        <v>8448.7989490168002</v>
      </c>
      <c r="AW333" s="6">
        <f t="shared" si="193"/>
        <v>8477.7873621799008</v>
      </c>
      <c r="AX333" s="6">
        <f t="shared" si="193"/>
        <v>8505.5030452637002</v>
      </c>
      <c r="AY333" s="6">
        <f t="shared" si="193"/>
        <v>8531.8292408628022</v>
      </c>
      <c r="AZ333" s="6">
        <f t="shared" si="193"/>
        <v>8556.6381161926001</v>
      </c>
      <c r="BA333" s="6">
        <f t="shared" si="193"/>
        <v>8579.8392118974007</v>
      </c>
      <c r="BB333" s="6">
        <f t="shared" si="193"/>
        <v>8987.5710228750013</v>
      </c>
      <c r="BC333" s="6">
        <f t="shared" si="193"/>
        <v>9019.9497071197002</v>
      </c>
      <c r="BD333" s="6">
        <f t="shared" ref="BD333:BF333" si="194">BD310+BD324+BD317</f>
        <v>9050.4682229624996</v>
      </c>
      <c r="BE333" s="6">
        <f t="shared" si="194"/>
        <v>9079.1083501920984</v>
      </c>
      <c r="BF333" s="6">
        <f t="shared" si="194"/>
        <v>9105.8550322254996</v>
      </c>
    </row>
    <row r="334" spans="1:58" x14ac:dyDescent="0.35">
      <c r="B334" t="s">
        <v>99</v>
      </c>
      <c r="C334" s="6">
        <f t="shared" ref="C334:AL334" si="195">C311+C325+C318</f>
        <v>4165.6835237371006</v>
      </c>
      <c r="D334" s="6">
        <f t="shared" si="195"/>
        <v>4063.7587493021001</v>
      </c>
      <c r="E334" s="6">
        <f t="shared" si="195"/>
        <v>3987.5547600856003</v>
      </c>
      <c r="F334" s="6">
        <f t="shared" si="195"/>
        <v>3929.5192965348001</v>
      </c>
      <c r="G334" s="6">
        <f t="shared" si="195"/>
        <v>3884.5130462921002</v>
      </c>
      <c r="H334" s="6">
        <f t="shared" si="195"/>
        <v>3849.0497215506002</v>
      </c>
      <c r="I334" s="6">
        <f t="shared" si="195"/>
        <v>3820.3333957771001</v>
      </c>
      <c r="J334" s="6">
        <f t="shared" si="195"/>
        <v>3796.6789285522</v>
      </c>
      <c r="K334" s="6">
        <f t="shared" si="195"/>
        <v>3776.8601119300997</v>
      </c>
      <c r="L334" s="6">
        <f t="shared" si="195"/>
        <v>3759.9551711179001</v>
      </c>
      <c r="M334" s="6">
        <f t="shared" si="195"/>
        <v>3745.9130450032999</v>
      </c>
      <c r="N334" s="6">
        <f t="shared" si="195"/>
        <v>3733.4418888129999</v>
      </c>
      <c r="O334" s="6">
        <f t="shared" si="195"/>
        <v>3722.0502701380001</v>
      </c>
      <c r="P334" s="6">
        <f t="shared" si="195"/>
        <v>3711.3191836940996</v>
      </c>
      <c r="Q334" s="6">
        <f t="shared" si="195"/>
        <v>3700.8995705588</v>
      </c>
      <c r="R334" s="6">
        <f t="shared" si="195"/>
        <v>3690.5030411568996</v>
      </c>
      <c r="S334" s="6">
        <f t="shared" si="195"/>
        <v>3679.8904511411997</v>
      </c>
      <c r="T334" s="6">
        <f t="shared" si="195"/>
        <v>3668.8620156554002</v>
      </c>
      <c r="U334" s="6">
        <f t="shared" si="195"/>
        <v>3657.2490871925997</v>
      </c>
      <c r="V334" s="6">
        <f t="shared" si="195"/>
        <v>3644.9079783647994</v>
      </c>
      <c r="W334" s="6">
        <f t="shared" si="195"/>
        <v>3631.2921224821998</v>
      </c>
      <c r="X334" s="6">
        <f t="shared" si="195"/>
        <v>3616.7607556120997</v>
      </c>
      <c r="Y334" s="6">
        <f t="shared" si="195"/>
        <v>3601.2334059273999</v>
      </c>
      <c r="Z334" s="6">
        <f t="shared" si="195"/>
        <v>3584.6455424041001</v>
      </c>
      <c r="AA334" s="6">
        <f t="shared" si="195"/>
        <v>3566.9396376606001</v>
      </c>
      <c r="AB334" s="6">
        <f t="shared" si="195"/>
        <v>3546.9624621511998</v>
      </c>
      <c r="AC334" s="6">
        <f t="shared" si="195"/>
        <v>3525.37163177</v>
      </c>
      <c r="AD334" s="6">
        <f t="shared" si="195"/>
        <v>3502.2107454877996</v>
      </c>
      <c r="AE334" s="6">
        <f t="shared" si="195"/>
        <v>3477.5458467665003</v>
      </c>
      <c r="AF334" s="6">
        <f t="shared" si="195"/>
        <v>3451.4475051742997</v>
      </c>
      <c r="AG334" s="6">
        <f t="shared" si="195"/>
        <v>3423.9813518290002</v>
      </c>
      <c r="AH334" s="6">
        <f t="shared" si="195"/>
        <v>3395.2047123141001</v>
      </c>
      <c r="AI334" s="6">
        <f t="shared" si="195"/>
        <v>3365.1664111746004</v>
      </c>
      <c r="AJ334" s="6">
        <f t="shared" si="195"/>
        <v>3333.9082548505003</v>
      </c>
      <c r="AK334" s="6">
        <f t="shared" si="195"/>
        <v>3301.4670603272002</v>
      </c>
      <c r="AL334" s="6">
        <f t="shared" si="195"/>
        <v>3267.8765177944001</v>
      </c>
      <c r="AM334" s="6">
        <f t="shared" ref="AM334:BC334" si="196">AM311+AM325+AM318</f>
        <v>3232.9689607217997</v>
      </c>
      <c r="AN334" s="6">
        <f t="shared" si="196"/>
        <v>3196.8027379577002</v>
      </c>
      <c r="AO334" s="6">
        <f t="shared" si="196"/>
        <v>3159.4399269698997</v>
      </c>
      <c r="AP334" s="6">
        <f t="shared" si="196"/>
        <v>3120.9467941605999</v>
      </c>
      <c r="AQ334" s="6">
        <f t="shared" si="196"/>
        <v>3081.3905067799001</v>
      </c>
      <c r="AR334" s="6">
        <f t="shared" si="196"/>
        <v>3040.8360331803001</v>
      </c>
      <c r="AS334" s="6">
        <f t="shared" si="196"/>
        <v>2999.3440786915999</v>
      </c>
      <c r="AT334" s="6">
        <f t="shared" si="196"/>
        <v>2956.9703305530002</v>
      </c>
      <c r="AU334" s="6">
        <f t="shared" si="196"/>
        <v>2913.7656685233001</v>
      </c>
      <c r="AV334" s="6">
        <f t="shared" si="196"/>
        <v>2869.7768254193998</v>
      </c>
      <c r="AW334" s="6">
        <f t="shared" si="196"/>
        <v>2825.0704856503999</v>
      </c>
      <c r="AX334" s="6">
        <f t="shared" si="196"/>
        <v>2779.7069180788003</v>
      </c>
      <c r="AY334" s="6">
        <f t="shared" si="196"/>
        <v>2733.7155284614</v>
      </c>
      <c r="AZ334" s="6">
        <f t="shared" si="196"/>
        <v>2687.1177738428</v>
      </c>
      <c r="BA334" s="6">
        <f t="shared" si="196"/>
        <v>2639.9396504105998</v>
      </c>
      <c r="BB334" s="6">
        <f t="shared" si="196"/>
        <v>2627.3217814909003</v>
      </c>
      <c r="BC334" s="6">
        <f t="shared" si="196"/>
        <v>2577.8758599247999</v>
      </c>
      <c r="BD334" s="6">
        <f t="shared" ref="BD334:BF334" si="197">BD311+BD325+BD318</f>
        <v>2527.7977910374002</v>
      </c>
      <c r="BE334" s="6">
        <f t="shared" si="197"/>
        <v>2477.1409967202999</v>
      </c>
      <c r="BF334" s="6">
        <f t="shared" si="197"/>
        <v>2425.9593885319996</v>
      </c>
    </row>
    <row r="335" spans="1:58" x14ac:dyDescent="0.35">
      <c r="B335" t="s">
        <v>100</v>
      </c>
      <c r="C335" s="6">
        <f t="shared" ref="C335:AL335" si="198">C312+C326+C319</f>
        <v>2507.3524895615005</v>
      </c>
      <c r="D335" s="6">
        <f t="shared" si="198"/>
        <v>2448.3039620397999</v>
      </c>
      <c r="E335" s="6">
        <f t="shared" si="198"/>
        <v>2403.7009189125001</v>
      </c>
      <c r="F335" s="6">
        <f t="shared" si="198"/>
        <v>2368.7205618388998</v>
      </c>
      <c r="G335" s="6">
        <f t="shared" si="198"/>
        <v>2340.147485127</v>
      </c>
      <c r="H335" s="6">
        <f t="shared" si="198"/>
        <v>2315.8525251927999</v>
      </c>
      <c r="I335" s="6">
        <f t="shared" si="198"/>
        <v>2294.1809842174998</v>
      </c>
      <c r="J335" s="6">
        <f t="shared" si="198"/>
        <v>2274.1740824440999</v>
      </c>
      <c r="K335" s="6">
        <f t="shared" si="198"/>
        <v>2255.1640397982001</v>
      </c>
      <c r="L335" s="6">
        <f t="shared" si="198"/>
        <v>2236.6729007348999</v>
      </c>
      <c r="M335" s="6">
        <f t="shared" si="198"/>
        <v>2218.7194257815004</v>
      </c>
      <c r="N335" s="6">
        <f t="shared" si="198"/>
        <v>2200.6290697865002</v>
      </c>
      <c r="O335" s="6">
        <f t="shared" si="198"/>
        <v>2182.1860296145001</v>
      </c>
      <c r="P335" s="6">
        <f t="shared" si="198"/>
        <v>2163.2187343207002</v>
      </c>
      <c r="Q335" s="6">
        <f t="shared" si="198"/>
        <v>2143.5966013835</v>
      </c>
      <c r="R335" s="6">
        <f t="shared" si="198"/>
        <v>2123.2237162391998</v>
      </c>
      <c r="S335" s="6">
        <f t="shared" si="198"/>
        <v>2102.0318499355999</v>
      </c>
      <c r="T335" s="6">
        <f t="shared" si="198"/>
        <v>2079.9746067249998</v>
      </c>
      <c r="U335" s="6">
        <f t="shared" si="198"/>
        <v>2057.0226553943999</v>
      </c>
      <c r="V335" s="6">
        <f t="shared" si="198"/>
        <v>2033.1601240510001</v>
      </c>
      <c r="W335" s="6">
        <f t="shared" si="198"/>
        <v>2008.1745318531</v>
      </c>
      <c r="X335" s="6">
        <f t="shared" si="198"/>
        <v>1982.3032568271999</v>
      </c>
      <c r="Y335" s="6">
        <f t="shared" si="198"/>
        <v>1955.5624686752999</v>
      </c>
      <c r="Z335" s="6">
        <f t="shared" si="198"/>
        <v>1927.9751393924</v>
      </c>
      <c r="AA335" s="6">
        <f t="shared" si="198"/>
        <v>1899.5670527415</v>
      </c>
      <c r="AB335" s="6">
        <f t="shared" si="198"/>
        <v>1869.8652001795001</v>
      </c>
      <c r="AC335" s="6">
        <f t="shared" si="198"/>
        <v>1839.2382848581001</v>
      </c>
      <c r="AD335" s="6">
        <f t="shared" si="198"/>
        <v>1807.7659535087</v>
      </c>
      <c r="AE335" s="6">
        <f t="shared" si="198"/>
        <v>1775.5340405455997</v>
      </c>
      <c r="AF335" s="6">
        <f t="shared" si="198"/>
        <v>1742.6267653899001</v>
      </c>
      <c r="AG335" s="6">
        <f t="shared" si="198"/>
        <v>1709.1229580171998</v>
      </c>
      <c r="AH335" s="6">
        <f t="shared" si="198"/>
        <v>1675.0949787047002</v>
      </c>
      <c r="AI335" s="6">
        <f t="shared" si="198"/>
        <v>1640.6089697167001</v>
      </c>
      <c r="AJ335" s="6">
        <f t="shared" si="198"/>
        <v>1605.7257709359001</v>
      </c>
      <c r="AK335" s="6">
        <f t="shared" si="198"/>
        <v>1570.5020243401</v>
      </c>
      <c r="AL335" s="6">
        <f t="shared" si="198"/>
        <v>1534.9911575419999</v>
      </c>
      <c r="AM335" s="6">
        <f t="shared" ref="AM335:BC335" si="199">AM312+AM326+AM319</f>
        <v>1499.1688472906999</v>
      </c>
      <c r="AN335" s="6">
        <f t="shared" si="199"/>
        <v>1463.0984231349998</v>
      </c>
      <c r="AO335" s="6">
        <f t="shared" si="199"/>
        <v>1426.8426381033</v>
      </c>
      <c r="AP335" s="6">
        <f t="shared" si="199"/>
        <v>1390.4635322803001</v>
      </c>
      <c r="AQ335" s="6">
        <f t="shared" si="199"/>
        <v>1354.0211484771999</v>
      </c>
      <c r="AR335" s="6">
        <f t="shared" si="199"/>
        <v>1317.5725026114001</v>
      </c>
      <c r="AS335" s="6">
        <f t="shared" si="199"/>
        <v>1281.1710214326001</v>
      </c>
      <c r="AT335" s="6">
        <f t="shared" si="199"/>
        <v>1244.8664621593998</v>
      </c>
      <c r="AU335" s="6">
        <f t="shared" si="199"/>
        <v>1208.7051687725</v>
      </c>
      <c r="AV335" s="6">
        <f t="shared" si="199"/>
        <v>1172.7304480787</v>
      </c>
      <c r="AW335" s="6">
        <f t="shared" si="199"/>
        <v>1136.9920645711998</v>
      </c>
      <c r="AX335" s="6">
        <f t="shared" si="199"/>
        <v>1101.5392506926</v>
      </c>
      <c r="AY335" s="6">
        <f t="shared" si="199"/>
        <v>1066.4091505315</v>
      </c>
      <c r="AZ335" s="6">
        <f t="shared" si="199"/>
        <v>1031.6330116975</v>
      </c>
      <c r="BA335" s="6">
        <f t="shared" si="199"/>
        <v>997.24026167829993</v>
      </c>
      <c r="BB335" s="6">
        <f t="shared" si="199"/>
        <v>956.35591805230001</v>
      </c>
      <c r="BC335" s="6">
        <f t="shared" si="199"/>
        <v>922.14041754819993</v>
      </c>
      <c r="BD335" s="6">
        <f t="shared" ref="BD335:BF335" si="200">BD312+BD326+BD319</f>
        <v>888.3924872020001</v>
      </c>
      <c r="BE335" s="6">
        <f t="shared" si="200"/>
        <v>855.14612888479996</v>
      </c>
      <c r="BF335" s="6">
        <f t="shared" si="200"/>
        <v>822.4332865097</v>
      </c>
    </row>
    <row r="336" spans="1:58" x14ac:dyDescent="0.35">
      <c r="B336" t="s">
        <v>101</v>
      </c>
      <c r="C336" s="6">
        <f t="shared" ref="C336:AL336" si="201">C313+C327+C320</f>
        <v>1245.466605953</v>
      </c>
      <c r="D336" s="6">
        <f t="shared" si="201"/>
        <v>1213.2624170293002</v>
      </c>
      <c r="E336" s="6">
        <f t="shared" si="201"/>
        <v>1186.5220237103999</v>
      </c>
      <c r="F336" s="6">
        <f t="shared" si="201"/>
        <v>1162.6343281933</v>
      </c>
      <c r="G336" s="6">
        <f t="shared" si="201"/>
        <v>1139.9949994591</v>
      </c>
      <c r="H336" s="6">
        <f t="shared" si="201"/>
        <v>1117.6528761929999</v>
      </c>
      <c r="I336" s="6">
        <f t="shared" si="201"/>
        <v>1094.9720762877</v>
      </c>
      <c r="J336" s="6">
        <f t="shared" si="201"/>
        <v>1071.6738037114999</v>
      </c>
      <c r="K336" s="6">
        <f t="shared" si="201"/>
        <v>1047.6311980498999</v>
      </c>
      <c r="L336" s="6">
        <f t="shared" si="201"/>
        <v>1022.8090593888001</v>
      </c>
      <c r="M336" s="6">
        <f t="shared" si="201"/>
        <v>997.35352010169993</v>
      </c>
      <c r="N336" s="6">
        <f t="shared" si="201"/>
        <v>971.16919993409988</v>
      </c>
      <c r="O336" s="6">
        <f t="shared" si="201"/>
        <v>944.32717777400001</v>
      </c>
      <c r="P336" s="6">
        <f t="shared" si="201"/>
        <v>916.91194564739999</v>
      </c>
      <c r="Q336" s="6">
        <f t="shared" si="201"/>
        <v>889.01742583610007</v>
      </c>
      <c r="R336" s="6">
        <f t="shared" si="201"/>
        <v>860.74305443210005</v>
      </c>
      <c r="S336" s="6">
        <f t="shared" si="201"/>
        <v>832.19042518560002</v>
      </c>
      <c r="T336" s="6">
        <f t="shared" si="201"/>
        <v>803.46075016759994</v>
      </c>
      <c r="U336" s="6">
        <f t="shared" si="201"/>
        <v>774.65293770029996</v>
      </c>
      <c r="V336" s="6">
        <f t="shared" si="201"/>
        <v>745.86219421069995</v>
      </c>
      <c r="W336" s="6">
        <f t="shared" si="201"/>
        <v>717.13452541050003</v>
      </c>
      <c r="X336" s="6">
        <f t="shared" si="201"/>
        <v>688.60929721650007</v>
      </c>
      <c r="Y336" s="6">
        <f t="shared" si="201"/>
        <v>660.36638847439997</v>
      </c>
      <c r="Z336" s="6">
        <f t="shared" si="201"/>
        <v>632.47917067200001</v>
      </c>
      <c r="AA336" s="6">
        <f t="shared" si="201"/>
        <v>605.01419463109994</v>
      </c>
      <c r="AB336" s="6">
        <f t="shared" si="201"/>
        <v>577.94891330949997</v>
      </c>
      <c r="AC336" s="6">
        <f t="shared" si="201"/>
        <v>551.40272985109993</v>
      </c>
      <c r="AD336" s="6">
        <f t="shared" si="201"/>
        <v>525.43463993089995</v>
      </c>
      <c r="AE336" s="6">
        <f t="shared" si="201"/>
        <v>500.09598509430003</v>
      </c>
      <c r="AF336" s="6">
        <f t="shared" si="201"/>
        <v>475.42998824770001</v>
      </c>
      <c r="AG336" s="6">
        <f t="shared" si="201"/>
        <v>451.47200318800003</v>
      </c>
      <c r="AH336" s="6">
        <f t="shared" si="201"/>
        <v>428.25010845609995</v>
      </c>
      <c r="AI336" s="6">
        <f t="shared" si="201"/>
        <v>405.78581343959996</v>
      </c>
      <c r="AJ336" s="6">
        <f t="shared" si="201"/>
        <v>384.09477894209999</v>
      </c>
      <c r="AK336" s="6">
        <f t="shared" si="201"/>
        <v>363.18749929000001</v>
      </c>
      <c r="AL336" s="6">
        <f t="shared" si="201"/>
        <v>343.06990889030004</v>
      </c>
      <c r="AM336" s="6">
        <f t="shared" ref="AM336:BC336" si="202">AM313+AM327+AM320</f>
        <v>323.73756824029999</v>
      </c>
      <c r="AN336" s="6">
        <f t="shared" si="202"/>
        <v>305.19113404399997</v>
      </c>
      <c r="AO336" s="6">
        <f t="shared" si="202"/>
        <v>287.42784174220003</v>
      </c>
      <c r="AP336" s="6">
        <f t="shared" si="202"/>
        <v>270.44175682100001</v>
      </c>
      <c r="AQ336" s="6">
        <f t="shared" si="202"/>
        <v>254.22400000330001</v>
      </c>
      <c r="AR336" s="6">
        <f t="shared" si="202"/>
        <v>238.76302050850001</v>
      </c>
      <c r="AS336" s="6">
        <f t="shared" si="202"/>
        <v>224.04489952419999</v>
      </c>
      <c r="AT336" s="6">
        <f t="shared" si="202"/>
        <v>210.05366600740001</v>
      </c>
      <c r="AU336" s="6">
        <f t="shared" si="202"/>
        <v>196.77160524930002</v>
      </c>
      <c r="AV336" s="6">
        <f t="shared" si="202"/>
        <v>184.17954572410002</v>
      </c>
      <c r="AW336" s="6">
        <f t="shared" si="202"/>
        <v>172.25774003910001</v>
      </c>
      <c r="AX336" s="6">
        <f t="shared" si="202"/>
        <v>160.98581372160001</v>
      </c>
      <c r="AY336" s="6">
        <f t="shared" si="202"/>
        <v>150.34193231180001</v>
      </c>
      <c r="AZ336" s="6">
        <f t="shared" si="202"/>
        <v>140.30321218930001</v>
      </c>
      <c r="BA336" s="6">
        <f t="shared" si="202"/>
        <v>130.8461603616</v>
      </c>
      <c r="BB336" s="6">
        <f t="shared" si="202"/>
        <v>117.32260427600001</v>
      </c>
      <c r="BC336" s="6">
        <f t="shared" si="202"/>
        <v>109.1460997242</v>
      </c>
      <c r="BD336" s="6">
        <f t="shared" ref="BD336:BF336" si="203">BD313+BD327+BD320</f>
        <v>101.48036503279999</v>
      </c>
      <c r="BE336" s="6">
        <f t="shared" si="203"/>
        <v>94.301090705199996</v>
      </c>
      <c r="BF336" s="6">
        <f t="shared" si="203"/>
        <v>87.58423832790001</v>
      </c>
    </row>
    <row r="337" spans="1:58" x14ac:dyDescent="0.35">
      <c r="B337" t="s">
        <v>102</v>
      </c>
      <c r="C337" s="6">
        <f t="shared" ref="C337:AL337" si="204">C314+C328+C321</f>
        <v>2242.8616504070001</v>
      </c>
      <c r="D337" s="6">
        <f t="shared" si="204"/>
        <v>2188.0544495882</v>
      </c>
      <c r="E337" s="6">
        <f t="shared" si="204"/>
        <v>2140.2643412206994</v>
      </c>
      <c r="F337" s="6">
        <f t="shared" si="204"/>
        <v>2094.392728542</v>
      </c>
      <c r="G337" s="6">
        <f t="shared" si="204"/>
        <v>2047.6174706967997</v>
      </c>
      <c r="H337" s="6">
        <f t="shared" si="204"/>
        <v>1998.5388280136001</v>
      </c>
      <c r="I337" s="6">
        <f t="shared" si="204"/>
        <v>1946.458122865</v>
      </c>
      <c r="J337" s="6">
        <f t="shared" si="204"/>
        <v>1891.3480972965999</v>
      </c>
      <c r="K337" s="6">
        <f t="shared" si="204"/>
        <v>1833.4494993374001</v>
      </c>
      <c r="L337" s="6">
        <f t="shared" si="204"/>
        <v>1773.1403309794</v>
      </c>
      <c r="M337" s="6">
        <f t="shared" si="204"/>
        <v>1711.0340134754999</v>
      </c>
      <c r="N337" s="6">
        <f t="shared" si="204"/>
        <v>1647.3721767505001</v>
      </c>
      <c r="O337" s="6">
        <f t="shared" si="204"/>
        <v>1582.6057684932002</v>
      </c>
      <c r="P337" s="6">
        <f t="shared" si="204"/>
        <v>1517.1692771636001</v>
      </c>
      <c r="Q337" s="6">
        <f t="shared" si="204"/>
        <v>1451.4731363429</v>
      </c>
      <c r="R337" s="6">
        <f t="shared" si="204"/>
        <v>1385.8981195638999</v>
      </c>
      <c r="S337" s="6">
        <f t="shared" si="204"/>
        <v>1320.7917566276999</v>
      </c>
      <c r="T337" s="6">
        <f t="shared" si="204"/>
        <v>1256.4665388170999</v>
      </c>
      <c r="U337" s="6">
        <f t="shared" si="204"/>
        <v>1193.1993686624999</v>
      </c>
      <c r="V337" s="6">
        <f t="shared" si="204"/>
        <v>1131.2319355744</v>
      </c>
      <c r="W337" s="6">
        <f t="shared" si="204"/>
        <v>1070.7308967741999</v>
      </c>
      <c r="X337" s="6">
        <f t="shared" si="204"/>
        <v>1011.9239610945</v>
      </c>
      <c r="Y337" s="6">
        <f t="shared" si="204"/>
        <v>954.95499215400002</v>
      </c>
      <c r="Z337" s="6">
        <f t="shared" si="204"/>
        <v>899.93853211049998</v>
      </c>
      <c r="AA337" s="6">
        <f t="shared" si="204"/>
        <v>846.96223329499992</v>
      </c>
      <c r="AB337" s="6">
        <f t="shared" si="204"/>
        <v>796.02952963810003</v>
      </c>
      <c r="AC337" s="6">
        <f t="shared" si="204"/>
        <v>747.23574762399994</v>
      </c>
      <c r="AD337" s="6">
        <f t="shared" si="204"/>
        <v>700.61260274309996</v>
      </c>
      <c r="AE337" s="6">
        <f t="shared" si="204"/>
        <v>656.17158101850009</v>
      </c>
      <c r="AF337" s="6">
        <f t="shared" si="204"/>
        <v>613.90614292320004</v>
      </c>
      <c r="AG337" s="6">
        <f t="shared" si="204"/>
        <v>573.79422147190007</v>
      </c>
      <c r="AH337" s="6">
        <f t="shared" si="204"/>
        <v>535.80068132099996</v>
      </c>
      <c r="AI337" s="6">
        <f t="shared" si="204"/>
        <v>499.87958781489999</v>
      </c>
      <c r="AJ337" s="6">
        <f t="shared" si="204"/>
        <v>465.97624796229996</v>
      </c>
      <c r="AK337" s="6">
        <f t="shared" si="204"/>
        <v>434.02901492479998</v>
      </c>
      <c r="AL337" s="6">
        <f t="shared" si="204"/>
        <v>403.97085740650004</v>
      </c>
      <c r="AM337" s="6">
        <f t="shared" ref="AM337:BC337" si="205">AM314+AM328+AM321</f>
        <v>375.72815839679998</v>
      </c>
      <c r="AN337" s="6">
        <f t="shared" si="205"/>
        <v>349.2282893606</v>
      </c>
      <c r="AO337" s="6">
        <f t="shared" si="205"/>
        <v>324.39647316509996</v>
      </c>
      <c r="AP337" s="6">
        <f t="shared" si="205"/>
        <v>301.1566225812</v>
      </c>
      <c r="AQ337" s="6">
        <f t="shared" si="205"/>
        <v>279.43208944719998</v>
      </c>
      <c r="AR337" s="6">
        <f t="shared" si="205"/>
        <v>259.14634250240005</v>
      </c>
      <c r="AS337" s="6">
        <f t="shared" si="205"/>
        <v>240.22356381740002</v>
      </c>
      <c r="AT337" s="6">
        <f t="shared" si="205"/>
        <v>222.58915855180001</v>
      </c>
      <c r="AU337" s="6">
        <f t="shared" si="205"/>
        <v>206.17018151740001</v>
      </c>
      <c r="AV337" s="6">
        <f t="shared" si="205"/>
        <v>190.89568384099999</v>
      </c>
      <c r="AW337" s="6">
        <f t="shared" si="205"/>
        <v>176.69715722789999</v>
      </c>
      <c r="AX337" s="6">
        <f t="shared" si="205"/>
        <v>163.50865811169999</v>
      </c>
      <c r="AY337" s="6">
        <f t="shared" si="205"/>
        <v>151.26666240899999</v>
      </c>
      <c r="AZ337" s="6">
        <f t="shared" si="205"/>
        <v>139.91024840899999</v>
      </c>
      <c r="BA337" s="6">
        <f t="shared" si="205"/>
        <v>129.3812557329</v>
      </c>
      <c r="BB337" s="6">
        <f t="shared" si="205"/>
        <v>115.76718007650001</v>
      </c>
      <c r="BC337" s="6">
        <f t="shared" si="205"/>
        <v>106.9852440657</v>
      </c>
      <c r="BD337" s="6">
        <f t="shared" ref="BD337:BF337" si="206">BD314+BD328+BD321</f>
        <v>98.859860768900006</v>
      </c>
      <c r="BE337" s="6">
        <f t="shared" si="206"/>
        <v>91.344481884600015</v>
      </c>
      <c r="BF337" s="6">
        <f t="shared" si="206"/>
        <v>84.3953800476</v>
      </c>
    </row>
    <row r="339" spans="1:58" x14ac:dyDescent="0.35">
      <c r="A339" s="12" t="s">
        <v>90</v>
      </c>
      <c r="B339" s="6" t="str">
        <f>[1]Hybrid!A19</f>
        <v>auto_ca_cfut_0</v>
      </c>
      <c r="C339" s="6">
        <f>[1]Hybrid!B19</f>
        <v>7095.7005250000002</v>
      </c>
      <c r="D339" s="6">
        <f>[1]Hybrid!C19</f>
        <v>7145.2328539999999</v>
      </c>
      <c r="E339" s="6">
        <f>[1]Hybrid!D19</f>
        <v>7246.2318699999996</v>
      </c>
      <c r="F339" s="6">
        <f>[1]Hybrid!E19</f>
        <v>7381.9795000000004</v>
      </c>
      <c r="G339" s="6">
        <f>[1]Hybrid!F19</f>
        <v>7541.2874229999998</v>
      </c>
      <c r="H339" s="6">
        <f>[1]Hybrid!G19</f>
        <v>7716.7930809999998</v>
      </c>
      <c r="I339" s="6">
        <f>[1]Hybrid!H19</f>
        <v>7902.4952409999996</v>
      </c>
      <c r="J339" s="6">
        <f>[1]Hybrid!I19</f>
        <v>8095.1599649999998</v>
      </c>
      <c r="K339" s="6">
        <f>[1]Hybrid!J19</f>
        <v>8292.6081830000003</v>
      </c>
      <c r="L339" s="6">
        <f>[1]Hybrid!K19</f>
        <v>8493.3563209999993</v>
      </c>
      <c r="M339" s="6">
        <f>[1]Hybrid!L19</f>
        <v>8698.4744850000006</v>
      </c>
      <c r="N339" s="6">
        <f>[1]Hybrid!M19</f>
        <v>8905.0627600000007</v>
      </c>
      <c r="O339" s="6">
        <f>[1]Hybrid!N19</f>
        <v>9112.5467480000007</v>
      </c>
      <c r="P339" s="6">
        <f>[1]Hybrid!O19</f>
        <v>9320.4661250000008</v>
      </c>
      <c r="Q339" s="6">
        <f>[1]Hybrid!P19</f>
        <v>9528.4855370000005</v>
      </c>
      <c r="R339" s="6">
        <f>[1]Hybrid!Q19</f>
        <v>9736.3786359999995</v>
      </c>
      <c r="S339" s="6">
        <f>[1]Hybrid!R19</f>
        <v>9944.0018629999995</v>
      </c>
      <c r="T339" s="6">
        <f>[1]Hybrid!S19</f>
        <v>10151.26892</v>
      </c>
      <c r="U339" s="6">
        <f>[1]Hybrid!T19</f>
        <v>10358.13031</v>
      </c>
      <c r="V339" s="6">
        <f>[1]Hybrid!U19</f>
        <v>10564.558870000001</v>
      </c>
      <c r="W339" s="6">
        <f>[1]Hybrid!V19</f>
        <v>10768.90472</v>
      </c>
      <c r="X339" s="6">
        <f>[1]Hybrid!W19</f>
        <v>10972.8843</v>
      </c>
      <c r="Y339" s="6">
        <f>[1]Hybrid!X19</f>
        <v>11176.53393</v>
      </c>
      <c r="Z339" s="6">
        <f>[1]Hybrid!Y19</f>
        <v>11379.914000000001</v>
      </c>
      <c r="AA339" s="6">
        <f>[1]Hybrid!Z19</f>
        <v>11583.072770000001</v>
      </c>
      <c r="AB339" s="6">
        <f>[1]Hybrid!AA19</f>
        <v>11781.25576</v>
      </c>
      <c r="AC339" s="6">
        <f>[1]Hybrid!AB19</f>
        <v>11977.253549999999</v>
      </c>
      <c r="AD339" s="6">
        <f>[1]Hybrid!AC19</f>
        <v>12171.278109999999</v>
      </c>
      <c r="AE339" s="6">
        <f>[1]Hybrid!AD19</f>
        <v>12363.64609</v>
      </c>
      <c r="AF339" s="6">
        <f>[1]Hybrid!AE19</f>
        <v>12554.70182</v>
      </c>
      <c r="AG339" s="6">
        <f>[1]Hybrid!AF19</f>
        <v>12744.772370000001</v>
      </c>
      <c r="AH339" s="6">
        <f>[1]Hybrid!AG19</f>
        <v>12934.148859999999</v>
      </c>
      <c r="AI339" s="6">
        <f>[1]Hybrid!AH19</f>
        <v>13123.08365</v>
      </c>
      <c r="AJ339" s="6">
        <f>[1]Hybrid!AI19</f>
        <v>13311.79544</v>
      </c>
      <c r="AK339" s="6">
        <f>[1]Hybrid!AJ19</f>
        <v>13500.47733</v>
      </c>
      <c r="AL339" s="6">
        <f>[1]Hybrid!AK19</f>
        <v>13689.30474</v>
      </c>
      <c r="AM339" s="6">
        <f>[1]Hybrid!AL19</f>
        <v>13877.27241</v>
      </c>
      <c r="AN339" s="6">
        <f>[1]Hybrid!AM19</f>
        <v>14064.59168</v>
      </c>
      <c r="AO339" s="6">
        <f>[1]Hybrid!AN19</f>
        <v>14251.49381</v>
      </c>
      <c r="AP339" s="6">
        <f>[1]Hybrid!AO19</f>
        <v>14438.240250000001</v>
      </c>
      <c r="AQ339" s="6">
        <f>[1]Hybrid!AP19</f>
        <v>14625.109109999999</v>
      </c>
      <c r="AR339" s="6">
        <f>[1]Hybrid!AQ19</f>
        <v>14812.3735</v>
      </c>
      <c r="AS339" s="6">
        <f>[1]Hybrid!AR19</f>
        <v>15000.242560000001</v>
      </c>
      <c r="AT339" s="6">
        <f>[1]Hybrid!AS19</f>
        <v>15188.749610000001</v>
      </c>
      <c r="AU339" s="6">
        <f>[1]Hybrid!AT19</f>
        <v>15377.904689999999</v>
      </c>
      <c r="AV339" s="6">
        <f>[1]Hybrid!AU19</f>
        <v>15567.762629999999</v>
      </c>
      <c r="AW339" s="6">
        <f>[1]Hybrid!AV19</f>
        <v>15758.537920000001</v>
      </c>
      <c r="AX339" s="6">
        <f>[1]Hybrid!AW19</f>
        <v>15950.37098</v>
      </c>
      <c r="AY339" s="6">
        <f>[1]Hybrid!AX19</f>
        <v>16143.413640000001</v>
      </c>
      <c r="AZ339" s="6">
        <f>[1]Hybrid!AY19</f>
        <v>16337.80999</v>
      </c>
      <c r="BA339" s="6">
        <f>[1]Hybrid!AZ19</f>
        <v>16533.68634</v>
      </c>
      <c r="BB339" s="6">
        <f>[1]Hybrid!BA19</f>
        <v>18012.62011</v>
      </c>
      <c r="BC339" s="6">
        <f>[1]Hybrid!BB19</f>
        <v>18282.360379999998</v>
      </c>
      <c r="BD339" s="6">
        <f>[1]Hybrid!BC19</f>
        <v>18556.231739999999</v>
      </c>
      <c r="BE339" s="6">
        <f>[1]Hybrid!BD19</f>
        <v>18834.476409999999</v>
      </c>
      <c r="BF339" s="6">
        <f>[1]Hybrid!BE19</f>
        <v>19117.355759999999</v>
      </c>
    </row>
    <row r="340" spans="1:58" x14ac:dyDescent="0.35">
      <c r="A340" t="s">
        <v>38</v>
      </c>
      <c r="B340" s="6" t="str">
        <f>[1]Hybrid!A21</f>
        <v>auto_cb_cfut_0</v>
      </c>
      <c r="C340" s="6">
        <f>[1]Hybrid!B21</f>
        <v>8251.256421</v>
      </c>
      <c r="D340" s="6">
        <f>[1]Hybrid!C21</f>
        <v>8186.1759229999998</v>
      </c>
      <c r="E340" s="6">
        <f>[1]Hybrid!D21</f>
        <v>8178.1333979999999</v>
      </c>
      <c r="F340" s="6">
        <f>[1]Hybrid!E21</f>
        <v>8210.1432330000007</v>
      </c>
      <c r="G340" s="6">
        <f>[1]Hybrid!F21</f>
        <v>8270.6958269999996</v>
      </c>
      <c r="H340" s="6">
        <f>[1]Hybrid!G21</f>
        <v>8352.0683779999999</v>
      </c>
      <c r="I340" s="6">
        <f>[1]Hybrid!H21</f>
        <v>8447.9397489999992</v>
      </c>
      <c r="J340" s="6">
        <f>[1]Hybrid!I21</f>
        <v>8554.6996350000009</v>
      </c>
      <c r="K340" s="6">
        <f>[1]Hybrid!J21</f>
        <v>8669.7982960000008</v>
      </c>
      <c r="L340" s="6">
        <f>[1]Hybrid!K21</f>
        <v>8791.3923689999992</v>
      </c>
      <c r="M340" s="6">
        <f>[1]Hybrid!L21</f>
        <v>8920.0751899999996</v>
      </c>
      <c r="N340" s="6">
        <f>[1]Hybrid!M21</f>
        <v>9052.7436030000008</v>
      </c>
      <c r="O340" s="6">
        <f>[1]Hybrid!N21</f>
        <v>9188.5158319999991</v>
      </c>
      <c r="P340" s="6">
        <f>[1]Hybrid!O21</f>
        <v>9326.6461240000008</v>
      </c>
      <c r="Q340" s="6">
        <f>[1]Hybrid!P21</f>
        <v>9466.5309319999997</v>
      </c>
      <c r="R340" s="6">
        <f>[1]Hybrid!Q21</f>
        <v>9607.6908540000004</v>
      </c>
      <c r="S340" s="6">
        <f>[1]Hybrid!R21</f>
        <v>9749.7437439999994</v>
      </c>
      <c r="T340" s="6">
        <f>[1]Hybrid!S21</f>
        <v>9892.3789870000001</v>
      </c>
      <c r="U340" s="6">
        <f>[1]Hybrid!T21</f>
        <v>10035.33682</v>
      </c>
      <c r="V340" s="6">
        <f>[1]Hybrid!U21</f>
        <v>10178.39352</v>
      </c>
      <c r="W340" s="6">
        <f>[1]Hybrid!V21</f>
        <v>10319.86606</v>
      </c>
      <c r="X340" s="6">
        <f>[1]Hybrid!W21</f>
        <v>10461.151330000001</v>
      </c>
      <c r="Y340" s="6">
        <f>[1]Hybrid!X21</f>
        <v>10602.122289999999</v>
      </c>
      <c r="Z340" s="6">
        <f>[1]Hybrid!Y21</f>
        <v>10742.682559999999</v>
      </c>
      <c r="AA340" s="6">
        <f>[1]Hybrid!Z21</f>
        <v>10882.733620000001</v>
      </c>
      <c r="AB340" s="6">
        <f>[1]Hybrid!AA21</f>
        <v>11017.903029999999</v>
      </c>
      <c r="AC340" s="6">
        <f>[1]Hybrid!AB21</f>
        <v>11150.59296</v>
      </c>
      <c r="AD340" s="6">
        <f>[1]Hybrid!AC21</f>
        <v>11280.89752</v>
      </c>
      <c r="AE340" s="6">
        <f>[1]Hybrid!AD21</f>
        <v>11409.0052</v>
      </c>
      <c r="AF340" s="6">
        <f>[1]Hybrid!AE21</f>
        <v>11535.130010000001</v>
      </c>
      <c r="AG340" s="6">
        <f>[1]Hybrid!AF21</f>
        <v>11659.47141</v>
      </c>
      <c r="AH340" s="6">
        <f>[1]Hybrid!AG21</f>
        <v>11782.19787</v>
      </c>
      <c r="AI340" s="6">
        <f>[1]Hybrid!AH21</f>
        <v>11903.444170000001</v>
      </c>
      <c r="AJ340" s="6">
        <f>[1]Hybrid!AI21</f>
        <v>12023.315860000001</v>
      </c>
      <c r="AK340" s="6">
        <f>[1]Hybrid!AJ21</f>
        <v>12141.896059999999</v>
      </c>
      <c r="AL340" s="6">
        <f>[1]Hybrid!AK21</f>
        <v>12259.252259999999</v>
      </c>
      <c r="AM340" s="6">
        <f>[1]Hybrid!AL21</f>
        <v>12374.44613</v>
      </c>
      <c r="AN340" s="6">
        <f>[1]Hybrid!AM21</f>
        <v>12487.58822</v>
      </c>
      <c r="AO340" s="6">
        <f>[1]Hybrid!AN21</f>
        <v>12598.80565</v>
      </c>
      <c r="AP340" s="6">
        <f>[1]Hybrid!AO21</f>
        <v>12708.249239999999</v>
      </c>
      <c r="AQ340" s="6">
        <f>[1]Hybrid!AP21</f>
        <v>12816.081099999999</v>
      </c>
      <c r="AR340" s="6">
        <f>[1]Hybrid!AQ21</f>
        <v>12922.46297</v>
      </c>
      <c r="AS340" s="6">
        <f>[1]Hybrid!AR21</f>
        <v>13027.51418</v>
      </c>
      <c r="AT340" s="6">
        <f>[1]Hybrid!AS21</f>
        <v>13131.205379999999</v>
      </c>
      <c r="AU340" s="6">
        <f>[1]Hybrid!AT21</f>
        <v>13233.4809</v>
      </c>
      <c r="AV340" s="6">
        <f>[1]Hybrid!AU21</f>
        <v>13334.31443</v>
      </c>
      <c r="AW340" s="6">
        <f>[1]Hybrid!AV21</f>
        <v>13433.80323</v>
      </c>
      <c r="AX340" s="6">
        <f>[1]Hybrid!AW21</f>
        <v>13531.97876</v>
      </c>
      <c r="AY340" s="6">
        <f>[1]Hybrid!AX21</f>
        <v>13628.87818</v>
      </c>
      <c r="AZ340" s="6">
        <f>[1]Hybrid!AY21</f>
        <v>13724.529699999999</v>
      </c>
      <c r="BA340" s="6">
        <f>[1]Hybrid!AZ21</f>
        <v>13818.94492</v>
      </c>
      <c r="BB340" s="6">
        <f>[1]Hybrid!BA21</f>
        <v>14897.27658</v>
      </c>
      <c r="BC340" s="6">
        <f>[1]Hybrid!BB21</f>
        <v>15039.48724</v>
      </c>
      <c r="BD340" s="6">
        <f>[1]Hybrid!BC21</f>
        <v>15181.8681</v>
      </c>
      <c r="BE340" s="6">
        <f>[1]Hybrid!BD21</f>
        <v>15324.50747</v>
      </c>
      <c r="BF340" s="6">
        <f>[1]Hybrid!BE21</f>
        <v>15467.50431</v>
      </c>
    </row>
    <row r="341" spans="1:58" x14ac:dyDescent="0.35">
      <c r="B341" s="6" t="str">
        <f>[1]Hybrid!A23</f>
        <v>auto_cc_cfut_0</v>
      </c>
      <c r="C341" s="6">
        <f>[1]Hybrid!B23</f>
        <v>6777.6024520000001</v>
      </c>
      <c r="D341" s="6">
        <f>[1]Hybrid!C23</f>
        <v>6649.139107</v>
      </c>
      <c r="E341" s="6">
        <f>[1]Hybrid!D23</f>
        <v>6565.8691159999998</v>
      </c>
      <c r="F341" s="6">
        <f>[1]Hybrid!E23</f>
        <v>6515.3612899999998</v>
      </c>
      <c r="G341" s="6">
        <f>[1]Hybrid!F23</f>
        <v>6489.0939550000003</v>
      </c>
      <c r="H341" s="6">
        <f>[1]Hybrid!G23</f>
        <v>6481.248192</v>
      </c>
      <c r="I341" s="6">
        <f>[1]Hybrid!H23</f>
        <v>6487.0430020000003</v>
      </c>
      <c r="J341" s="6">
        <f>[1]Hybrid!I23</f>
        <v>6503.6133220000002</v>
      </c>
      <c r="K341" s="6">
        <f>[1]Hybrid!J23</f>
        <v>6528.8631960000002</v>
      </c>
      <c r="L341" s="6">
        <f>[1]Hybrid!K23</f>
        <v>6561.2141970000002</v>
      </c>
      <c r="M341" s="6">
        <f>[1]Hybrid!L23</f>
        <v>6600.7670909999997</v>
      </c>
      <c r="N341" s="6">
        <f>[1]Hybrid!M23</f>
        <v>6645.1434390000004</v>
      </c>
      <c r="O341" s="6">
        <f>[1]Hybrid!N23</f>
        <v>6693.4970270000003</v>
      </c>
      <c r="P341" s="6">
        <f>[1]Hybrid!O23</f>
        <v>6745.095636</v>
      </c>
      <c r="Q341" s="6">
        <f>[1]Hybrid!P23</f>
        <v>6799.3223840000001</v>
      </c>
      <c r="R341" s="6">
        <f>[1]Hybrid!Q23</f>
        <v>6855.661298</v>
      </c>
      <c r="S341" s="6">
        <f>[1]Hybrid!R23</f>
        <v>6913.6774590000005</v>
      </c>
      <c r="T341" s="6">
        <f>[1]Hybrid!S23</f>
        <v>6972.9983030000003</v>
      </c>
      <c r="U341" s="6">
        <f>[1]Hybrid!T23</f>
        <v>7033.2985349999999</v>
      </c>
      <c r="V341" s="6">
        <f>[1]Hybrid!U23</f>
        <v>7094.2891170000003</v>
      </c>
      <c r="W341" s="6">
        <f>[1]Hybrid!V23</f>
        <v>7154.7365719999998</v>
      </c>
      <c r="X341" s="6">
        <f>[1]Hybrid!W23</f>
        <v>7215.4422269999995</v>
      </c>
      <c r="Y341" s="6">
        <f>[1]Hybrid!X23</f>
        <v>7276.2121950000001</v>
      </c>
      <c r="Z341" s="6">
        <f>[1]Hybrid!Y23</f>
        <v>7336.8803610000004</v>
      </c>
      <c r="AA341" s="6">
        <f>[1]Hybrid!Z23</f>
        <v>7397.2867740000002</v>
      </c>
      <c r="AB341" s="6">
        <f>[1]Hybrid!AA23</f>
        <v>7454.5289919999996</v>
      </c>
      <c r="AC341" s="6">
        <f>[1]Hybrid!AB23</f>
        <v>7510.0951029999997</v>
      </c>
      <c r="AD341" s="6">
        <f>[1]Hybrid!AC23</f>
        <v>7563.9840059999997</v>
      </c>
      <c r="AE341" s="6">
        <f>[1]Hybrid!AD23</f>
        <v>7616.257603</v>
      </c>
      <c r="AF341" s="6">
        <f>[1]Hybrid!AE23</f>
        <v>7666.9961869999997</v>
      </c>
      <c r="AG341" s="6">
        <f>[1]Hybrid!AF23</f>
        <v>7716.2727770000001</v>
      </c>
      <c r="AH341" s="6">
        <f>[1]Hybrid!AG23</f>
        <v>7764.1425879999997</v>
      </c>
      <c r="AI341" s="6">
        <f>[1]Hybrid!AH23</f>
        <v>7810.641275</v>
      </c>
      <c r="AJ341" s="6">
        <f>[1]Hybrid!AI23</f>
        <v>7855.7876310000001</v>
      </c>
      <c r="AK341" s="6">
        <f>[1]Hybrid!AJ23</f>
        <v>7899.5878629999997</v>
      </c>
      <c r="AL341" s="6">
        <f>[1]Hybrid!AK23</f>
        <v>7942.0397519999997</v>
      </c>
      <c r="AM341" s="6">
        <f>[1]Hybrid!AL23</f>
        <v>7982.5240540000004</v>
      </c>
      <c r="AN341" s="6">
        <f>[1]Hybrid!AM23</f>
        <v>8021.0757149999999</v>
      </c>
      <c r="AO341" s="6">
        <f>[1]Hybrid!AN23</f>
        <v>8057.7411540000003</v>
      </c>
      <c r="AP341" s="6">
        <f>[1]Hybrid!AO23</f>
        <v>8092.581612</v>
      </c>
      <c r="AQ341" s="6">
        <f>[1]Hybrid!AP23</f>
        <v>8125.6651000000002</v>
      </c>
      <c r="AR341" s="6">
        <f>[1]Hybrid!AQ23</f>
        <v>8157.0631780000003</v>
      </c>
      <c r="AS341" s="6">
        <f>[1]Hybrid!AR23</f>
        <v>8186.829729</v>
      </c>
      <c r="AT341" s="6">
        <f>[1]Hybrid!AS23</f>
        <v>8214.9292239999995</v>
      </c>
      <c r="AU341" s="6">
        <f>[1]Hybrid!AT23</f>
        <v>8241.3076820000006</v>
      </c>
      <c r="AV341" s="6">
        <f>[1]Hybrid!AU23</f>
        <v>8265.9257809999999</v>
      </c>
      <c r="AW341" s="6">
        <f>[1]Hybrid!AV23</f>
        <v>8288.8147680000002</v>
      </c>
      <c r="AX341" s="6">
        <f>[1]Hybrid!AW23</f>
        <v>8309.9658450000006</v>
      </c>
      <c r="AY341" s="6">
        <f>[1]Hybrid!AX23</f>
        <v>8329.3734120000008</v>
      </c>
      <c r="AZ341" s="6">
        <f>[1]Hybrid!AY23</f>
        <v>8347.0270949999995</v>
      </c>
      <c r="BA341" s="6">
        <f>[1]Hybrid!AZ23</f>
        <v>8362.9076590000004</v>
      </c>
      <c r="BB341" s="6">
        <f>[1]Hybrid!BA23</f>
        <v>8921.7440729999998</v>
      </c>
      <c r="BC341" s="6">
        <f>[1]Hybrid!BB23</f>
        <v>8959.6840950000005</v>
      </c>
      <c r="BD341" s="6">
        <f>[1]Hybrid!BC23</f>
        <v>8996.3812340000004</v>
      </c>
      <c r="BE341" s="6">
        <f>[1]Hybrid!BD23</f>
        <v>9031.8619600000002</v>
      </c>
      <c r="BF341" s="6">
        <f>[1]Hybrid!BE23</f>
        <v>9066.1583840000003</v>
      </c>
    </row>
    <row r="342" spans="1:58" x14ac:dyDescent="0.35">
      <c r="B342" s="6" t="str">
        <f>[1]Hybrid!A25</f>
        <v>auto_cd_cfut_0</v>
      </c>
      <c r="C342" s="6">
        <f>[1]Hybrid!B25</f>
        <v>4159.6639080000004</v>
      </c>
      <c r="D342" s="6">
        <f>[1]Hybrid!C25</f>
        <v>4055.9427500000002</v>
      </c>
      <c r="E342" s="6">
        <f>[1]Hybrid!D25</f>
        <v>3977.8197749999999</v>
      </c>
      <c r="F342" s="6">
        <f>[1]Hybrid!E25</f>
        <v>3917.805695</v>
      </c>
      <c r="G342" s="6">
        <f>[1]Hybrid!F25</f>
        <v>3870.808708</v>
      </c>
      <c r="H342" s="6">
        <f>[1]Hybrid!G25</f>
        <v>3833.3726339999998</v>
      </c>
      <c r="I342" s="6">
        <f>[1]Hybrid!H25</f>
        <v>3802.7208519999999</v>
      </c>
      <c r="J342" s="6">
        <f>[1]Hybrid!I25</f>
        <v>3777.1748899999998</v>
      </c>
      <c r="K342" s="6">
        <f>[1]Hybrid!J25</f>
        <v>3755.5111270000002</v>
      </c>
      <c r="L342" s="6">
        <f>[1]Hybrid!K25</f>
        <v>3736.809358</v>
      </c>
      <c r="M342" s="6">
        <f>[1]Hybrid!L25</f>
        <v>3721.0143429999998</v>
      </c>
      <c r="N342" s="6">
        <f>[1]Hybrid!M25</f>
        <v>3706.8436809999998</v>
      </c>
      <c r="O342" s="6">
        <f>[1]Hybrid!N25</f>
        <v>3693.8094540000002</v>
      </c>
      <c r="P342" s="6">
        <f>[1]Hybrid!O25</f>
        <v>3681.4965040000002</v>
      </c>
      <c r="Q342" s="6">
        <f>[1]Hybrid!P25</f>
        <v>3669.5592830000001</v>
      </c>
      <c r="R342" s="6">
        <f>[1]Hybrid!Q25</f>
        <v>3657.7121440000001</v>
      </c>
      <c r="S342" s="6">
        <f>[1]Hybrid!R25</f>
        <v>3645.7179689999998</v>
      </c>
      <c r="T342" s="6">
        <f>[1]Hybrid!S25</f>
        <v>3633.3779960000002</v>
      </c>
      <c r="U342" s="6">
        <f>[1]Hybrid!T25</f>
        <v>3620.5237499999998</v>
      </c>
      <c r="V342" s="6">
        <f>[1]Hybrid!U25</f>
        <v>3607.0110970000001</v>
      </c>
      <c r="W342" s="6">
        <f>[1]Hybrid!V25</f>
        <v>3592.296417</v>
      </c>
      <c r="X342" s="6">
        <f>[1]Hybrid!W25</f>
        <v>3576.7331800000002</v>
      </c>
      <c r="Y342" s="6">
        <f>[1]Hybrid!X25</f>
        <v>3560.2391809999999</v>
      </c>
      <c r="Z342" s="6">
        <f>[1]Hybrid!Y25</f>
        <v>3542.747746</v>
      </c>
      <c r="AA342" s="6">
        <f>[1]Hybrid!Z25</f>
        <v>3524.1991929999999</v>
      </c>
      <c r="AB342" s="6">
        <f>[1]Hybrid!AA25</f>
        <v>3503.4482739999999</v>
      </c>
      <c r="AC342" s="6">
        <f>[1]Hybrid!AB25</f>
        <v>3481.1440299999999</v>
      </c>
      <c r="AD342" s="6">
        <f>[1]Hybrid!AC25</f>
        <v>3457.3277979999998</v>
      </c>
      <c r="AE342" s="6">
        <f>[1]Hybrid!AD25</f>
        <v>3432.0628710000001</v>
      </c>
      <c r="AF342" s="6">
        <f>[1]Hybrid!AE25</f>
        <v>3405.4171110000002</v>
      </c>
      <c r="AG342" s="6">
        <f>[1]Hybrid!AF25</f>
        <v>3377.453638</v>
      </c>
      <c r="AH342" s="6">
        <f>[1]Hybrid!AG25</f>
        <v>3348.227441</v>
      </c>
      <c r="AI342" s="6">
        <f>[1]Hybrid!AH25</f>
        <v>3317.7852240000002</v>
      </c>
      <c r="AJ342" s="6">
        <f>[1]Hybrid!AI25</f>
        <v>3286.166831</v>
      </c>
      <c r="AK342" s="6">
        <f>[1]Hybrid!AJ25</f>
        <v>3253.407189</v>
      </c>
      <c r="AL342" s="6">
        <f>[1]Hybrid!AK25</f>
        <v>3219.5381510000002</v>
      </c>
      <c r="AM342" s="6">
        <f>[1]Hybrid!AL25</f>
        <v>3184.3916020000001</v>
      </c>
      <c r="AN342" s="6">
        <f>[1]Hybrid!AM25</f>
        <v>3148.0236450000002</v>
      </c>
      <c r="AO342" s="6">
        <f>[1]Hybrid!AN25</f>
        <v>3110.4943090000002</v>
      </c>
      <c r="AP342" s="6">
        <f>[1]Hybrid!AO25</f>
        <v>3071.8675010000002</v>
      </c>
      <c r="AQ342" s="6">
        <f>[1]Hybrid!AP25</f>
        <v>3032.208083</v>
      </c>
      <c r="AR342" s="6">
        <f>[1]Hybrid!AQ25</f>
        <v>2991.586182</v>
      </c>
      <c r="AS342" s="6">
        <f>[1]Hybrid!AR25</f>
        <v>2950.07593</v>
      </c>
      <c r="AT342" s="6">
        <f>[1]Hybrid!AS25</f>
        <v>2907.7236149999999</v>
      </c>
      <c r="AU342" s="6">
        <f>[1]Hybrid!AT25</f>
        <v>2864.5656279999998</v>
      </c>
      <c r="AV342" s="6">
        <f>[1]Hybrid!AU25</f>
        <v>2820.6383759999999</v>
      </c>
      <c r="AW342" s="6">
        <f>[1]Hybrid!AV25</f>
        <v>2775.9944799999998</v>
      </c>
      <c r="AX342" s="6">
        <f>[1]Hybrid!AW25</f>
        <v>2730.6745519999999</v>
      </c>
      <c r="AY342" s="6">
        <f>[1]Hybrid!AX25</f>
        <v>2684.7203850000001</v>
      </c>
      <c r="AZ342" s="6">
        <f>[1]Hybrid!AY25</f>
        <v>2638.173632</v>
      </c>
      <c r="BA342" s="6">
        <f>[1]Hybrid!AZ25</f>
        <v>2591.0751599999999</v>
      </c>
      <c r="BB342" s="6">
        <f>[1]Hybrid!BA25</f>
        <v>2596.5519389999999</v>
      </c>
      <c r="BC342" s="6">
        <f>[1]Hybrid!BB25</f>
        <v>2548.3801870000002</v>
      </c>
      <c r="BD342" s="6">
        <f>[1]Hybrid!BC25</f>
        <v>2499.6340030000001</v>
      </c>
      <c r="BE342" s="6">
        <f>[1]Hybrid!BD25</f>
        <v>2450.3657029999999</v>
      </c>
      <c r="BF342" s="6">
        <f>[1]Hybrid!BE25</f>
        <v>2400.6280200000001</v>
      </c>
    </row>
    <row r="343" spans="1:58" x14ac:dyDescent="0.35">
      <c r="B343" s="6" t="str">
        <f>[1]Hybrid!A27</f>
        <v>auto_ce_cfut_0</v>
      </c>
      <c r="C343" s="6">
        <f>[1]Hybrid!B27</f>
        <v>2503.7292430000002</v>
      </c>
      <c r="D343" s="6">
        <f>[1]Hybrid!C27</f>
        <v>2443.581983</v>
      </c>
      <c r="E343" s="6">
        <f>[1]Hybrid!D27</f>
        <v>2397.8181450000002</v>
      </c>
      <c r="F343" s="6">
        <f>[1]Hybrid!E27</f>
        <v>2361.6548349999998</v>
      </c>
      <c r="G343" s="6">
        <f>[1]Hybrid!F27</f>
        <v>2331.9065540000001</v>
      </c>
      <c r="H343" s="6">
        <f>[1]Hybrid!G27</f>
        <v>2306.4634780000001</v>
      </c>
      <c r="I343" s="6">
        <f>[1]Hybrid!H27</f>
        <v>2283.6835460000002</v>
      </c>
      <c r="J343" s="6">
        <f>[1]Hybrid!I27</f>
        <v>2262.612752</v>
      </c>
      <c r="K343" s="6">
        <f>[1]Hybrid!J27</f>
        <v>2242.5852460000001</v>
      </c>
      <c r="L343" s="6">
        <f>[1]Hybrid!K27</f>
        <v>2223.1239930000002</v>
      </c>
      <c r="M343" s="6">
        <f>[1]Hybrid!L27</f>
        <v>2204.2452349999999</v>
      </c>
      <c r="N343" s="6">
        <f>[1]Hybrid!M27</f>
        <v>2185.2791499999998</v>
      </c>
      <c r="O343" s="6">
        <f>[1]Hybrid!N27</f>
        <v>2166.0111729999999</v>
      </c>
      <c r="P343" s="6">
        <f>[1]Hybrid!O27</f>
        <v>2146.2710109999998</v>
      </c>
      <c r="Q343" s="6">
        <f>[1]Hybrid!P27</f>
        <v>2125.9290879999999</v>
      </c>
      <c r="R343" s="6">
        <f>[1]Hybrid!Q27</f>
        <v>2104.8900170000002</v>
      </c>
      <c r="S343" s="6">
        <f>[1]Hybrid!R27</f>
        <v>2083.0856570000001</v>
      </c>
      <c r="T343" s="6">
        <f>[1]Hybrid!S27</f>
        <v>2060.4691419999999</v>
      </c>
      <c r="U343" s="6">
        <f>[1]Hybrid!T27</f>
        <v>2037.0102010000001</v>
      </c>
      <c r="V343" s="6">
        <f>[1]Hybrid!U27</f>
        <v>2012.6917189999999</v>
      </c>
      <c r="W343" s="6">
        <f>[1]Hybrid!V27</f>
        <v>1987.301502</v>
      </c>
      <c r="X343" s="6">
        <f>[1]Hybrid!W27</f>
        <v>1961.073183</v>
      </c>
      <c r="Y343" s="6">
        <f>[1]Hybrid!X27</f>
        <v>1934.021117</v>
      </c>
      <c r="Z343" s="6">
        <f>[1]Hybrid!Y27</f>
        <v>1906.1662759999999</v>
      </c>
      <c r="AA343" s="6">
        <f>[1]Hybrid!Z27</f>
        <v>1877.532451</v>
      </c>
      <c r="AB343" s="6">
        <f>[1]Hybrid!AA27</f>
        <v>1847.648811</v>
      </c>
      <c r="AC343" s="6">
        <f>[1]Hybrid!AB27</f>
        <v>1816.8792559999999</v>
      </c>
      <c r="AD343" s="6">
        <f>[1]Hybrid!AC27</f>
        <v>1785.3013989999999</v>
      </c>
      <c r="AE343" s="6">
        <f>[1]Hybrid!AD27</f>
        <v>1752.998865</v>
      </c>
      <c r="AF343" s="6">
        <f>[1]Hybrid!AE27</f>
        <v>1720.053701</v>
      </c>
      <c r="AG343" s="6">
        <f>[1]Hybrid!AF27</f>
        <v>1686.5426709999999</v>
      </c>
      <c r="AH343" s="6">
        <f>[1]Hybrid!AG27</f>
        <v>1652.536169</v>
      </c>
      <c r="AI343" s="6">
        <f>[1]Hybrid!AH27</f>
        <v>1618.098491</v>
      </c>
      <c r="AJ343" s="6">
        <f>[1]Hybrid!AI27</f>
        <v>1583.2887330000001</v>
      </c>
      <c r="AK343" s="6">
        <f>[1]Hybrid!AJ27</f>
        <v>1548.161848</v>
      </c>
      <c r="AL343" s="6">
        <f>[1]Hybrid!AK27</f>
        <v>1512.769642</v>
      </c>
      <c r="AM343" s="6">
        <f>[1]Hybrid!AL27</f>
        <v>1477.0865980000001</v>
      </c>
      <c r="AN343" s="6">
        <f>[1]Hybrid!AM27</f>
        <v>1441.1742979999999</v>
      </c>
      <c r="AO343" s="6">
        <f>[1]Hybrid!AN27</f>
        <v>1405.093885</v>
      </c>
      <c r="AP343" s="6">
        <f>[1]Hybrid!AO27</f>
        <v>1368.905716</v>
      </c>
      <c r="AQ343" s="6">
        <f>[1]Hybrid!AP27</f>
        <v>1332.668218</v>
      </c>
      <c r="AR343" s="6">
        <f>[1]Hybrid!AQ27</f>
        <v>1296.441024</v>
      </c>
      <c r="AS343" s="6">
        <f>[1]Hybrid!AR27</f>
        <v>1260.2857710000001</v>
      </c>
      <c r="AT343" s="6">
        <f>[1]Hybrid!AS27</f>
        <v>1224.2517459999999</v>
      </c>
      <c r="AU343" s="6">
        <f>[1]Hybrid!AT27</f>
        <v>1188.3814070000001</v>
      </c>
      <c r="AV343" s="6">
        <f>[1]Hybrid!AU27</f>
        <v>1152.714086</v>
      </c>
      <c r="AW343" s="6">
        <f>[1]Hybrid!AV27</f>
        <v>1117.291655</v>
      </c>
      <c r="AX343" s="6">
        <f>[1]Hybrid!AW27</f>
        <v>1082.150126</v>
      </c>
      <c r="AY343" s="6">
        <f>[1]Hybrid!AX27</f>
        <v>1047.324323</v>
      </c>
      <c r="AZ343" s="6">
        <f>[1]Hybrid!AY27</f>
        <v>1012.847684</v>
      </c>
      <c r="BA343" s="6">
        <f>[1]Hybrid!AZ27</f>
        <v>978.75215219999995</v>
      </c>
      <c r="BB343" s="6">
        <f>[1]Hybrid!BA27</f>
        <v>945.27267259999996</v>
      </c>
      <c r="BC343" s="6">
        <f>[1]Hybrid!BB27</f>
        <v>911.68588090000003</v>
      </c>
      <c r="BD343" s="6">
        <f>[1]Hybrid!BC27</f>
        <v>878.5668349</v>
      </c>
      <c r="BE343" s="6">
        <f>[1]Hybrid!BD27</f>
        <v>845.94794160000004</v>
      </c>
      <c r="BF343" s="6">
        <f>[1]Hybrid!BE27</f>
        <v>813.85963189999995</v>
      </c>
    </row>
    <row r="344" spans="1:58" x14ac:dyDescent="0.35">
      <c r="B344" s="6" t="str">
        <f>[1]Hybrid!A29</f>
        <v>auto_cf_cfut_0</v>
      </c>
      <c r="C344" s="6">
        <f>[1]Hybrid!B29</f>
        <v>1243.6668460000001</v>
      </c>
      <c r="D344" s="6">
        <f>[1]Hybrid!C29</f>
        <v>1210.9495979999999</v>
      </c>
      <c r="E344" s="6">
        <f>[1]Hybrid!D29</f>
        <v>1183.6879180000001</v>
      </c>
      <c r="F344" s="6">
        <f>[1]Hybrid!E29</f>
        <v>1159.2912329999999</v>
      </c>
      <c r="G344" s="6">
        <f>[1]Hybrid!F29</f>
        <v>1136.1698730000001</v>
      </c>
      <c r="H344" s="6">
        <f>[1]Hybrid!G29</f>
        <v>1113.3821250000001</v>
      </c>
      <c r="I344" s="6">
        <f>[1]Hybrid!H29</f>
        <v>1090.2979069999999</v>
      </c>
      <c r="J344" s="6">
        <f>[1]Hybrid!I29</f>
        <v>1066.6400860000001</v>
      </c>
      <c r="K344" s="6">
        <f>[1]Hybrid!J29</f>
        <v>1042.2815000000001</v>
      </c>
      <c r="L344" s="6">
        <f>[1]Hybrid!K29</f>
        <v>1017.185604</v>
      </c>
      <c r="M344" s="6">
        <f>[1]Hybrid!L29</f>
        <v>991.4956972</v>
      </c>
      <c r="N344" s="6">
        <f>[1]Hybrid!M29</f>
        <v>965.11559509999995</v>
      </c>
      <c r="O344" s="6">
        <f>[1]Hybrid!N29</f>
        <v>938.11427370000001</v>
      </c>
      <c r="P344" s="6">
        <f>[1]Hybrid!O29</f>
        <v>910.57409840000003</v>
      </c>
      <c r="Q344" s="6">
        <f>[1]Hybrid!P29</f>
        <v>882.58681560000002</v>
      </c>
      <c r="R344" s="6">
        <f>[1]Hybrid!Q29</f>
        <v>854.24961029999997</v>
      </c>
      <c r="S344" s="6">
        <f>[1]Hybrid!R29</f>
        <v>825.661789</v>
      </c>
      <c r="T344" s="6">
        <f>[1]Hybrid!S29</f>
        <v>796.92223209999997</v>
      </c>
      <c r="U344" s="6">
        <f>[1]Hybrid!T29</f>
        <v>768.12751909999997</v>
      </c>
      <c r="V344" s="6">
        <f>[1]Hybrid!U29</f>
        <v>739.37059629999999</v>
      </c>
      <c r="W344" s="6">
        <f>[1]Hybrid!V29</f>
        <v>710.69554830000004</v>
      </c>
      <c r="X344" s="6">
        <f>[1]Hybrid!W29</f>
        <v>682.23933550000004</v>
      </c>
      <c r="Y344" s="6">
        <f>[1]Hybrid!X29</f>
        <v>654.07988999999998</v>
      </c>
      <c r="Z344" s="6">
        <f>[1]Hybrid!Y29</f>
        <v>626.28872579999995</v>
      </c>
      <c r="AA344" s="6">
        <f>[1]Hybrid!Z29</f>
        <v>598.93065779999995</v>
      </c>
      <c r="AB344" s="6">
        <f>[1]Hybrid!AA29</f>
        <v>571.9818679</v>
      </c>
      <c r="AC344" s="6">
        <f>[1]Hybrid!AB29</f>
        <v>545.55993709999996</v>
      </c>
      <c r="AD344" s="6">
        <f>[1]Hybrid!AC29</f>
        <v>519.72248669999999</v>
      </c>
      <c r="AE344" s="6">
        <f>[1]Hybrid!AD29</f>
        <v>494.51956910000001</v>
      </c>
      <c r="AF344" s="6">
        <f>[1]Hybrid!AE29</f>
        <v>469.99322510000002</v>
      </c>
      <c r="AG344" s="6">
        <f>[1]Hybrid!AF29</f>
        <v>446.17773699999998</v>
      </c>
      <c r="AH344" s="6">
        <f>[1]Hybrid!AG29</f>
        <v>423.10021879999999</v>
      </c>
      <c r="AI344" s="6">
        <f>[1]Hybrid!AH29</f>
        <v>400.78131869999999</v>
      </c>
      <c r="AJ344" s="6">
        <f>[1]Hybrid!AI29</f>
        <v>379.2359348</v>
      </c>
      <c r="AK344" s="6">
        <f>[1]Hybrid!AJ29</f>
        <v>358.47388539999997</v>
      </c>
      <c r="AL344" s="6">
        <f>[1]Hybrid!AK29</f>
        <v>338.50051180000003</v>
      </c>
      <c r="AM344" s="6">
        <f>[1]Hybrid!AL29</f>
        <v>319.31083760000001</v>
      </c>
      <c r="AN344" s="6">
        <f>[1]Hybrid!AM29</f>
        <v>300.90505519999999</v>
      </c>
      <c r="AO344" s="6">
        <f>[1]Hybrid!AN29</f>
        <v>283.28001870000003</v>
      </c>
      <c r="AP344" s="6">
        <f>[1]Hybrid!AO29</f>
        <v>266.42946410000002</v>
      </c>
      <c r="AQ344" s="6">
        <f>[1]Hybrid!AP29</f>
        <v>250.3442422</v>
      </c>
      <c r="AR344" s="6">
        <f>[1]Hybrid!AQ29</f>
        <v>235.0131581</v>
      </c>
      <c r="AS344" s="6">
        <f>[1]Hybrid!AR29</f>
        <v>220.42343199999999</v>
      </c>
      <c r="AT344" s="6">
        <f>[1]Hybrid!AS29</f>
        <v>206.5593945</v>
      </c>
      <c r="AU344" s="6">
        <f>[1]Hybrid!AT29</f>
        <v>193.40305620000001</v>
      </c>
      <c r="AV344" s="6">
        <f>[1]Hybrid!AU29</f>
        <v>180.93471869999999</v>
      </c>
      <c r="AW344" s="6">
        <f>[1]Hybrid!AV29</f>
        <v>169.1336149</v>
      </c>
      <c r="AX344" s="6">
        <f>[1]Hybrid!AW29</f>
        <v>157.97785630000001</v>
      </c>
      <c r="AY344" s="6">
        <f>[1]Hybrid!AX29</f>
        <v>147.4449146</v>
      </c>
      <c r="AZ344" s="6">
        <f>[1]Hybrid!AY29</f>
        <v>137.511809</v>
      </c>
      <c r="BA344" s="6">
        <f>[1]Hybrid!AZ29</f>
        <v>128.15526009999999</v>
      </c>
      <c r="BB344" s="6">
        <f>[1]Hybrid!BA29</f>
        <v>114.9074565</v>
      </c>
      <c r="BC344" s="6">
        <f>[1]Hybrid!BB29</f>
        <v>106.8293941</v>
      </c>
      <c r="BD344" s="6">
        <f>[1]Hybrid!BC29</f>
        <v>99.257369080000004</v>
      </c>
      <c r="BE344" s="6">
        <f>[1]Hybrid!BD29</f>
        <v>92.167277819999995</v>
      </c>
      <c r="BF344" s="6">
        <f>[1]Hybrid!BE29</f>
        <v>85.535296729999999</v>
      </c>
    </row>
    <row r="345" spans="1:58" x14ac:dyDescent="0.35">
      <c r="B345" s="6" t="str">
        <f>[1]Hybrid!A31</f>
        <v>auto_cg_cfut_0</v>
      </c>
      <c r="C345" s="6">
        <f>[1]Hybrid!B31</f>
        <v>2239.620606</v>
      </c>
      <c r="D345" s="6">
        <f>[1]Hybrid!C31</f>
        <v>2183.8705460000001</v>
      </c>
      <c r="E345" s="6">
        <f>[1]Hybrid!D31</f>
        <v>2135.1551260000001</v>
      </c>
      <c r="F345" s="6">
        <f>[1]Hybrid!E31</f>
        <v>2088.4137310000001</v>
      </c>
      <c r="G345" s="6">
        <f>[1]Hybrid!F31</f>
        <v>2040.8493020000001</v>
      </c>
      <c r="H345" s="6">
        <f>[1]Hybrid!G31</f>
        <v>1991.0769789999999</v>
      </c>
      <c r="I345" s="6">
        <f>[1]Hybrid!H31</f>
        <v>1938.4054080000001</v>
      </c>
      <c r="J345" s="6">
        <f>[1]Hybrid!I31</f>
        <v>1882.806525</v>
      </c>
      <c r="K345" s="6">
        <f>[1]Hybrid!J31</f>
        <v>1824.516073</v>
      </c>
      <c r="L345" s="6">
        <f>[1]Hybrid!K31</f>
        <v>1763.904804</v>
      </c>
      <c r="M345" s="6">
        <f>[1]Hybrid!L31</f>
        <v>1701.576716</v>
      </c>
      <c r="N345" s="6">
        <f>[1]Hybrid!M31</f>
        <v>1637.766689</v>
      </c>
      <c r="O345" s="6">
        <f>[1]Hybrid!N31</f>
        <v>1572.9174869999999</v>
      </c>
      <c r="P345" s="6">
        <f>[1]Hybrid!O31</f>
        <v>1507.455841</v>
      </c>
      <c r="Q345" s="6">
        <f>[1]Hybrid!P31</f>
        <v>1441.7848939999999</v>
      </c>
      <c r="R345" s="6">
        <f>[1]Hybrid!Q31</f>
        <v>1376.278581</v>
      </c>
      <c r="S345" s="6">
        <f>[1]Hybrid!R31</f>
        <v>1311.27809</v>
      </c>
      <c r="T345" s="6">
        <f>[1]Hybrid!S31</f>
        <v>1247.0900449999999</v>
      </c>
      <c r="U345" s="6">
        <f>[1]Hybrid!T31</f>
        <v>1183.985987</v>
      </c>
      <c r="V345" s="6">
        <f>[1]Hybrid!U31</f>
        <v>1122.202794</v>
      </c>
      <c r="W345" s="6">
        <f>[1]Hybrid!V31</f>
        <v>1061.9029820000001</v>
      </c>
      <c r="X345" s="6">
        <f>[1]Hybrid!W31</f>
        <v>1003.310268</v>
      </c>
      <c r="Y345" s="6">
        <f>[1]Hybrid!X31</f>
        <v>946.5652225</v>
      </c>
      <c r="Z345" s="6">
        <f>[1]Hybrid!Y31</f>
        <v>891.77949239999998</v>
      </c>
      <c r="AA345" s="6">
        <f>[1]Hybrid!Z31</f>
        <v>839.03822330000003</v>
      </c>
      <c r="AB345" s="6">
        <f>[1]Hybrid!AA31</f>
        <v>788.34275560000003</v>
      </c>
      <c r="AC345" s="6">
        <f>[1]Hybrid!AB31</f>
        <v>739.78647839999996</v>
      </c>
      <c r="AD345" s="6">
        <f>[1]Hybrid!AC31</f>
        <v>693.39961100000005</v>
      </c>
      <c r="AE345" s="6">
        <f>[1]Hybrid!AD31</f>
        <v>649.19237880000003</v>
      </c>
      <c r="AF345" s="6">
        <f>[1]Hybrid!AE31</f>
        <v>607.15720369999997</v>
      </c>
      <c r="AG345" s="6">
        <f>[1]Hybrid!AF31</f>
        <v>567.27118359999997</v>
      </c>
      <c r="AH345" s="6">
        <f>[1]Hybrid!AG31</f>
        <v>529.49852799999996</v>
      </c>
      <c r="AI345" s="6">
        <f>[1]Hybrid!AH31</f>
        <v>493.79280690000002</v>
      </c>
      <c r="AJ345" s="6">
        <f>[1]Hybrid!AI31</f>
        <v>460.09897059999997</v>
      </c>
      <c r="AK345" s="6">
        <f>[1]Hybrid!AJ31</f>
        <v>428.35513179999998</v>
      </c>
      <c r="AL345" s="6">
        <f>[1]Hybrid!AK31</f>
        <v>398.4941182</v>
      </c>
      <c r="AM345" s="6">
        <f>[1]Hybrid!AL31</f>
        <v>370.44223030000001</v>
      </c>
      <c r="AN345" s="6">
        <f>[1]Hybrid!AM31</f>
        <v>344.12684760000002</v>
      </c>
      <c r="AO345" s="6">
        <f>[1]Hybrid!AN31</f>
        <v>319.47326470000002</v>
      </c>
      <c r="AP345" s="6">
        <f>[1]Hybrid!AO31</f>
        <v>296.40550530000002</v>
      </c>
      <c r="AQ345" s="6">
        <f>[1]Hybrid!AP31</f>
        <v>274.84706619999997</v>
      </c>
      <c r="AR345" s="6">
        <f>[1]Hybrid!AQ31</f>
        <v>254.72183010000001</v>
      </c>
      <c r="AS345" s="6">
        <f>[1]Hybrid!AR31</f>
        <v>235.9546737</v>
      </c>
      <c r="AT345" s="6">
        <f>[1]Hybrid!AS31</f>
        <v>218.47132089999999</v>
      </c>
      <c r="AU345" s="6">
        <f>[1]Hybrid!AT31</f>
        <v>202.19887919999999</v>
      </c>
      <c r="AV345" s="6">
        <f>[1]Hybrid!AU31</f>
        <v>187.06633959999999</v>
      </c>
      <c r="AW345" s="6">
        <f>[1]Hybrid!AV31</f>
        <v>173.00498959999999</v>
      </c>
      <c r="AX345" s="6">
        <f>[1]Hybrid!AW31</f>
        <v>159.94858429999999</v>
      </c>
      <c r="AY345" s="6">
        <f>[1]Hybrid!AX31</f>
        <v>147.83357459999999</v>
      </c>
      <c r="AZ345" s="6">
        <f>[1]Hybrid!AY31</f>
        <v>136.59921069999999</v>
      </c>
      <c r="BA345" s="6">
        <f>[1]Hybrid!AZ31</f>
        <v>126.1875976</v>
      </c>
      <c r="BB345" s="6">
        <f>[1]Hybrid!BA31</f>
        <v>112.71163730000001</v>
      </c>
      <c r="BC345" s="6">
        <f>[1]Hybrid!BB31</f>
        <v>104.0471179</v>
      </c>
      <c r="BD345" s="6">
        <f>[1]Hybrid!BC31</f>
        <v>96.034357119999996</v>
      </c>
      <c r="BE345" s="6">
        <f>[1]Hybrid!BD31</f>
        <v>88.627060349999994</v>
      </c>
      <c r="BF345" s="6">
        <f>[1]Hybrid!BE31</f>
        <v>81.781736309999999</v>
      </c>
    </row>
    <row r="346" spans="1:58" x14ac:dyDescent="0.35">
      <c r="B346" s="6" t="str">
        <f>[1]Hybrid!A33</f>
        <v>auto_ca_cele_0</v>
      </c>
      <c r="C346" s="6">
        <f>[1]Hybrid!B33</f>
        <v>9.8427898650000003</v>
      </c>
      <c r="D346" s="6">
        <f>[1]Hybrid!C33</f>
        <v>15.01237952</v>
      </c>
      <c r="E346" s="6">
        <f>[1]Hybrid!D33</f>
        <v>20.493055250000001</v>
      </c>
      <c r="F346" s="6">
        <f>[1]Hybrid!E33</f>
        <v>26.160264640000001</v>
      </c>
      <c r="G346" s="6">
        <f>[1]Hybrid!F33</f>
        <v>31.9338494</v>
      </c>
      <c r="H346" s="6">
        <f>[1]Hybrid!G33</f>
        <v>37.763842539999999</v>
      </c>
      <c r="I346" s="6">
        <f>[1]Hybrid!H33</f>
        <v>43.608806540000003</v>
      </c>
      <c r="J346" s="6">
        <f>[1]Hybrid!I33</f>
        <v>49.449665420000002</v>
      </c>
      <c r="K346" s="6">
        <f>[1]Hybrid!J33</f>
        <v>55.275097080000002</v>
      </c>
      <c r="L346" s="6">
        <f>[1]Hybrid!K33</f>
        <v>61.078862639999997</v>
      </c>
      <c r="M346" s="6">
        <f>[1]Hybrid!L33</f>
        <v>66.878049000000004</v>
      </c>
      <c r="N346" s="6">
        <f>[1]Hybrid!M33</f>
        <v>72.652095209999999</v>
      </c>
      <c r="O346" s="6">
        <f>[1]Hybrid!N33</f>
        <v>78.401231330000002</v>
      </c>
      <c r="P346" s="6">
        <f>[1]Hybrid!O33</f>
        <v>84.126545070000006</v>
      </c>
      <c r="Q346" s="6">
        <f>[1]Hybrid!P33</f>
        <v>89.830216050000004</v>
      </c>
      <c r="R346" s="6">
        <f>[1]Hybrid!Q33</f>
        <v>95.515469190000005</v>
      </c>
      <c r="S346" s="6">
        <f>[1]Hybrid!R33</f>
        <v>101.186413</v>
      </c>
      <c r="T346" s="6">
        <f>[1]Hybrid!S33</f>
        <v>106.8478731</v>
      </c>
      <c r="U346" s="6">
        <f>[1]Hybrid!T33</f>
        <v>112.50526720000001</v>
      </c>
      <c r="V346" s="6">
        <f>[1]Hybrid!U33</f>
        <v>118.1645327</v>
      </c>
      <c r="W346" s="6">
        <f>[1]Hybrid!V33</f>
        <v>123.8155548</v>
      </c>
      <c r="X346" s="6">
        <f>[1]Hybrid!W33</f>
        <v>129.48200170000001</v>
      </c>
      <c r="Y346" s="6">
        <f>[1]Hybrid!X33</f>
        <v>135.1719181</v>
      </c>
      <c r="Z346" s="6">
        <f>[1]Hybrid!Y33</f>
        <v>140.8941829</v>
      </c>
      <c r="AA346" s="6">
        <f>[1]Hybrid!Z33</f>
        <v>146.65819959999999</v>
      </c>
      <c r="AB346" s="6">
        <f>[1]Hybrid!AA33</f>
        <v>152.42325450000001</v>
      </c>
      <c r="AC346" s="6">
        <f>[1]Hybrid!AB33</f>
        <v>158.22669550000001</v>
      </c>
      <c r="AD346" s="6">
        <f>[1]Hybrid!AC33</f>
        <v>164.08109769999999</v>
      </c>
      <c r="AE346" s="6">
        <f>[1]Hybrid!AD33</f>
        <v>170.00134990000001</v>
      </c>
      <c r="AF346" s="6">
        <f>[1]Hybrid!AE33</f>
        <v>176.00395219999999</v>
      </c>
      <c r="AG346" s="6">
        <f>[1]Hybrid!AF33</f>
        <v>182.10661690000001</v>
      </c>
      <c r="AH346" s="6">
        <f>[1]Hybrid!AG33</f>
        <v>188.32812799999999</v>
      </c>
      <c r="AI346" s="6">
        <f>[1]Hybrid!AH33</f>
        <v>194.68836289999999</v>
      </c>
      <c r="AJ346" s="6">
        <f>[1]Hybrid!AI33</f>
        <v>201.20840670000001</v>
      </c>
      <c r="AK346" s="6">
        <f>[1]Hybrid!AJ33</f>
        <v>207.91071650000001</v>
      </c>
      <c r="AL346" s="6">
        <f>[1]Hybrid!AK33</f>
        <v>214.8193062</v>
      </c>
      <c r="AM346" s="6">
        <f>[1]Hybrid!AL33</f>
        <v>221.94527059999999</v>
      </c>
      <c r="AN346" s="6">
        <f>[1]Hybrid!AM33</f>
        <v>229.31583560000001</v>
      </c>
      <c r="AO346" s="6">
        <f>[1]Hybrid!AN33</f>
        <v>236.96074680000001</v>
      </c>
      <c r="AP346" s="6">
        <f>[1]Hybrid!AO33</f>
        <v>244.91262470000001</v>
      </c>
      <c r="AQ346" s="6">
        <f>[1]Hybrid!AP33</f>
        <v>253.20703829999999</v>
      </c>
      <c r="AR346" s="6">
        <f>[1]Hybrid!AQ33</f>
        <v>261.88253750000001</v>
      </c>
      <c r="AS346" s="6">
        <f>[1]Hybrid!AR33</f>
        <v>270.98040029999999</v>
      </c>
      <c r="AT346" s="6">
        <f>[1]Hybrid!AS33</f>
        <v>280.54311109999998</v>
      </c>
      <c r="AU346" s="6">
        <f>[1]Hybrid!AT33</f>
        <v>290.61654140000002</v>
      </c>
      <c r="AV346" s="6">
        <f>[1]Hybrid!AU33</f>
        <v>301.25119119999999</v>
      </c>
      <c r="AW346" s="6">
        <f>[1]Hybrid!AV33</f>
        <v>312.50447020000001</v>
      </c>
      <c r="AX346" s="6">
        <f>[1]Hybrid!AW33</f>
        <v>324.43747139999999</v>
      </c>
      <c r="AY346" s="6">
        <f>[1]Hybrid!AX33</f>
        <v>337.11668109999999</v>
      </c>
      <c r="AZ346" s="6">
        <f>[1]Hybrid!AY33</f>
        <v>350.61413640000001</v>
      </c>
      <c r="BA346" s="6">
        <f>[1]Hybrid!AZ33</f>
        <v>365.00774030000002</v>
      </c>
      <c r="BB346" s="6">
        <f>[1]Hybrid!BA33</f>
        <v>124.0450032</v>
      </c>
      <c r="BC346" s="6">
        <f>[1]Hybrid!BB33</f>
        <v>114.81711970000001</v>
      </c>
      <c r="BD346" s="6">
        <f>[1]Hybrid!BC33</f>
        <v>104.3082737</v>
      </c>
      <c r="BE346" s="6">
        <f>[1]Hybrid!BD33</f>
        <v>92.398095470000001</v>
      </c>
      <c r="BF346" s="6">
        <f>[1]Hybrid!BE33</f>
        <v>78.954133470000002</v>
      </c>
    </row>
    <row r="347" spans="1:58" x14ac:dyDescent="0.35">
      <c r="B347" s="6" t="str">
        <f>[1]Hybrid!A35</f>
        <v>auto_cb_cele_0</v>
      </c>
      <c r="C347" s="6">
        <f>[1]Hybrid!B35</f>
        <v>11.44571741</v>
      </c>
      <c r="D347" s="6">
        <f>[1]Hybrid!C35</f>
        <v>16.323280220000001</v>
      </c>
      <c r="E347" s="6">
        <f>[1]Hybrid!D35</f>
        <v>21.493085480000001</v>
      </c>
      <c r="F347" s="6">
        <f>[1]Hybrid!E35</f>
        <v>26.833147990000001</v>
      </c>
      <c r="G347" s="6">
        <f>[1]Hybrid!F35</f>
        <v>32.265062319999998</v>
      </c>
      <c r="H347" s="6">
        <f>[1]Hybrid!G35</f>
        <v>37.739892089999998</v>
      </c>
      <c r="I347" s="6">
        <f>[1]Hybrid!H35</f>
        <v>43.21722432</v>
      </c>
      <c r="J347" s="6">
        <f>[1]Hybrid!I35</f>
        <v>48.678152449999999</v>
      </c>
      <c r="K347" s="6">
        <f>[1]Hybrid!J35</f>
        <v>54.111245869999998</v>
      </c>
      <c r="L347" s="6">
        <f>[1]Hybrid!K35</f>
        <v>59.509953299999999</v>
      </c>
      <c r="M347" s="6">
        <f>[1]Hybrid!L35</f>
        <v>64.889707670000007</v>
      </c>
      <c r="N347" s="6">
        <f>[1]Hybrid!M35</f>
        <v>70.23046617</v>
      </c>
      <c r="O347" s="6">
        <f>[1]Hybrid!N35</f>
        <v>75.53183654</v>
      </c>
      <c r="P347" s="6">
        <f>[1]Hybrid!O35</f>
        <v>80.794260019999996</v>
      </c>
      <c r="Q347" s="6">
        <f>[1]Hybrid!P35</f>
        <v>86.0192172</v>
      </c>
      <c r="R347" s="6">
        <f>[1]Hybrid!Q35</f>
        <v>91.209172550000005</v>
      </c>
      <c r="S347" s="6">
        <f>[1]Hybrid!R35</f>
        <v>96.367415230000006</v>
      </c>
      <c r="T347" s="6">
        <f>[1]Hybrid!S35</f>
        <v>101.4978981</v>
      </c>
      <c r="U347" s="6">
        <f>[1]Hybrid!T35</f>
        <v>106.6051166</v>
      </c>
      <c r="V347" s="6">
        <f>[1]Hybrid!U35</f>
        <v>111.6940376</v>
      </c>
      <c r="W347" s="6">
        <f>[1]Hybrid!V35</f>
        <v>116.75490360000001</v>
      </c>
      <c r="X347" s="6">
        <f>[1]Hybrid!W35</f>
        <v>121.8090114</v>
      </c>
      <c r="Y347" s="6">
        <f>[1]Hybrid!X35</f>
        <v>126.8632319</v>
      </c>
      <c r="Z347" s="6">
        <f>[1]Hybrid!Y35</f>
        <v>131.9251539</v>
      </c>
      <c r="AA347" s="6">
        <f>[1]Hybrid!Z35</f>
        <v>137.00279929999999</v>
      </c>
      <c r="AB347" s="6">
        <f>[1]Hybrid!AA35</f>
        <v>142.0588286</v>
      </c>
      <c r="AC347" s="6">
        <f>[1]Hybrid!AB35</f>
        <v>147.1268154</v>
      </c>
      <c r="AD347" s="6">
        <f>[1]Hybrid!AC35</f>
        <v>152.2177614</v>
      </c>
      <c r="AE347" s="6">
        <f>[1]Hybrid!AD35</f>
        <v>157.34465650000001</v>
      </c>
      <c r="AF347" s="6">
        <f>[1]Hybrid!AE35</f>
        <v>162.52182479999999</v>
      </c>
      <c r="AG347" s="6">
        <f>[1]Hybrid!AF35</f>
        <v>167.76454770000001</v>
      </c>
      <c r="AH347" s="6">
        <f>[1]Hybrid!AG35</f>
        <v>173.08891790000001</v>
      </c>
      <c r="AI347" s="6">
        <f>[1]Hybrid!AH35</f>
        <v>178.5118353</v>
      </c>
      <c r="AJ347" s="6">
        <f>[1]Hybrid!AI35</f>
        <v>184.05108240000001</v>
      </c>
      <c r="AK347" s="6">
        <f>[1]Hybrid!AJ35</f>
        <v>189.72544149999999</v>
      </c>
      <c r="AL347" s="6">
        <f>[1]Hybrid!AK35</f>
        <v>195.55482760000001</v>
      </c>
      <c r="AM347" s="6">
        <f>[1]Hybrid!AL35</f>
        <v>201.5475601</v>
      </c>
      <c r="AN347" s="6">
        <f>[1]Hybrid!AM35</f>
        <v>207.72594319999999</v>
      </c>
      <c r="AO347" s="6">
        <f>[1]Hybrid!AN35</f>
        <v>214.11417539999999</v>
      </c>
      <c r="AP347" s="6">
        <f>[1]Hybrid!AO35</f>
        <v>220.7385984</v>
      </c>
      <c r="AQ347" s="6">
        <f>[1]Hybrid!AP35</f>
        <v>227.6277011</v>
      </c>
      <c r="AR347" s="6">
        <f>[1]Hybrid!AQ35</f>
        <v>234.8121964</v>
      </c>
      <c r="AS347" s="6">
        <f>[1]Hybrid!AR35</f>
        <v>242.324872</v>
      </c>
      <c r="AT347" s="6">
        <f>[1]Hybrid!AS35</f>
        <v>250.19901680000001</v>
      </c>
      <c r="AU347" s="6">
        <f>[1]Hybrid!AT35</f>
        <v>258.47014380000002</v>
      </c>
      <c r="AV347" s="6">
        <f>[1]Hybrid!AU35</f>
        <v>267.17694729999999</v>
      </c>
      <c r="AW347" s="6">
        <f>[1]Hybrid!AV35</f>
        <v>276.3631542</v>
      </c>
      <c r="AX347" s="6">
        <f>[1]Hybrid!AW35</f>
        <v>286.07466499999998</v>
      </c>
      <c r="AY347" s="6">
        <f>[1]Hybrid!AX35</f>
        <v>296.36091470000002</v>
      </c>
      <c r="AZ347" s="6">
        <f>[1]Hybrid!AY35</f>
        <v>307.27487930000001</v>
      </c>
      <c r="BA347" s="6">
        <f>[1]Hybrid!AZ35</f>
        <v>318.8731962</v>
      </c>
      <c r="BB347" s="6">
        <f>[1]Hybrid!BA35</f>
        <v>97.441447859999997</v>
      </c>
      <c r="BC347" s="6">
        <f>[1]Hybrid!BB35</f>
        <v>88.643995919999995</v>
      </c>
      <c r="BD347" s="6">
        <f>[1]Hybrid!BC35</f>
        <v>78.802633589999999</v>
      </c>
      <c r="BE347" s="6">
        <f>[1]Hybrid!BD35</f>
        <v>67.831831030000004</v>
      </c>
      <c r="BF347" s="6">
        <f>[1]Hybrid!BE35</f>
        <v>55.638347830000001</v>
      </c>
    </row>
    <row r="348" spans="1:58" x14ac:dyDescent="0.35">
      <c r="B348" s="6" t="str">
        <f>[1]Hybrid!A37</f>
        <v>auto_cc_cele_0</v>
      </c>
      <c r="C348" s="6">
        <f>[1]Hybrid!B37</f>
        <v>9.4015406210000005</v>
      </c>
      <c r="D348" s="6">
        <f>[1]Hybrid!C37</f>
        <v>12.714683969999999</v>
      </c>
      <c r="E348" s="6">
        <f>[1]Hybrid!D37</f>
        <v>16.22587665</v>
      </c>
      <c r="F348" s="6">
        <f>[1]Hybrid!E37</f>
        <v>19.84904512</v>
      </c>
      <c r="G348" s="6">
        <f>[1]Hybrid!F37</f>
        <v>23.528949669999999</v>
      </c>
      <c r="H348" s="6">
        <f>[1]Hybrid!G37</f>
        <v>27.231087280000001</v>
      </c>
      <c r="I348" s="6">
        <f>[1]Hybrid!H37</f>
        <v>30.927088810000001</v>
      </c>
      <c r="J348" s="6">
        <f>[1]Hybrid!I37</f>
        <v>34.60350141</v>
      </c>
      <c r="K348" s="6">
        <f>[1]Hybrid!J37</f>
        <v>38.252071919999999</v>
      </c>
      <c r="L348" s="6">
        <f>[1]Hybrid!K37</f>
        <v>41.86792707</v>
      </c>
      <c r="M348" s="6">
        <f>[1]Hybrid!L37</f>
        <v>45.461136600000003</v>
      </c>
      <c r="N348" s="6">
        <f>[1]Hybrid!M37</f>
        <v>49.017671010000001</v>
      </c>
      <c r="O348" s="6">
        <f>[1]Hybrid!N37</f>
        <v>52.536895459999997</v>
      </c>
      <c r="P348" s="6">
        <f>[1]Hybrid!O37</f>
        <v>56.018761849999997</v>
      </c>
      <c r="Q348" s="6">
        <f>[1]Hybrid!P37</f>
        <v>59.463938480000003</v>
      </c>
      <c r="R348" s="6">
        <f>[1]Hybrid!Q37</f>
        <v>62.873764790000003</v>
      </c>
      <c r="S348" s="6">
        <f>[1]Hybrid!R37</f>
        <v>66.250138449999994</v>
      </c>
      <c r="T348" s="6">
        <f>[1]Hybrid!S37</f>
        <v>69.595403219999994</v>
      </c>
      <c r="U348" s="6">
        <f>[1]Hybrid!T37</f>
        <v>72.912264359999995</v>
      </c>
      <c r="V348" s="6">
        <f>[1]Hybrid!U37</f>
        <v>76.203738040000005</v>
      </c>
      <c r="W348" s="6">
        <f>[1]Hybrid!V37</f>
        <v>79.463105720000001</v>
      </c>
      <c r="X348" s="6">
        <f>[1]Hybrid!W37</f>
        <v>82.704230300000006</v>
      </c>
      <c r="Y348" s="6">
        <f>[1]Hybrid!X37</f>
        <v>85.931373109999996</v>
      </c>
      <c r="Z348" s="6">
        <f>[1]Hybrid!Y37</f>
        <v>89.149240469999995</v>
      </c>
      <c r="AA348" s="6">
        <f>[1]Hybrid!Z37</f>
        <v>92.362794710000003</v>
      </c>
      <c r="AB348" s="6">
        <f>[1]Hybrid!AA37</f>
        <v>95.547404670000006</v>
      </c>
      <c r="AC348" s="6">
        <f>[1]Hybrid!AB37</f>
        <v>98.724871059999998</v>
      </c>
      <c r="AD348" s="6">
        <f>[1]Hybrid!AC37</f>
        <v>101.9021678</v>
      </c>
      <c r="AE348" s="6">
        <f>[1]Hybrid!AD37</f>
        <v>105.0874938</v>
      </c>
      <c r="AF348" s="6">
        <f>[1]Hybrid!AE37</f>
        <v>108.28983460000001</v>
      </c>
      <c r="AG348" s="6">
        <f>[1]Hybrid!AF37</f>
        <v>111.5187068</v>
      </c>
      <c r="AH348" s="6">
        <f>[1]Hybrid!AG37</f>
        <v>114.78405100000001</v>
      </c>
      <c r="AI348" s="6">
        <f>[1]Hybrid!AH37</f>
        <v>118.0962145</v>
      </c>
      <c r="AJ348" s="6">
        <f>[1]Hybrid!AI37</f>
        <v>121.46598400000001</v>
      </c>
      <c r="AK348" s="6">
        <f>[1]Hybrid!AJ37</f>
        <v>124.90464299999999</v>
      </c>
      <c r="AL348" s="6">
        <f>[1]Hybrid!AK37</f>
        <v>128.4240379</v>
      </c>
      <c r="AM348" s="6">
        <f>[1]Hybrid!AL37</f>
        <v>132.02852279999999</v>
      </c>
      <c r="AN348" s="6">
        <f>[1]Hybrid!AM37</f>
        <v>135.73117869999999</v>
      </c>
      <c r="AO348" s="6">
        <f>[1]Hybrid!AN37</f>
        <v>139.5460836</v>
      </c>
      <c r="AP348" s="6">
        <f>[1]Hybrid!AO37</f>
        <v>143.48843099999999</v>
      </c>
      <c r="AQ348" s="6">
        <f>[1]Hybrid!AP37</f>
        <v>147.57449890000001</v>
      </c>
      <c r="AR348" s="6">
        <f>[1]Hybrid!AQ37</f>
        <v>151.82172919999999</v>
      </c>
      <c r="AS348" s="6">
        <f>[1]Hybrid!AR37</f>
        <v>156.24867850000001</v>
      </c>
      <c r="AT348" s="6">
        <f>[1]Hybrid!AS37</f>
        <v>160.8738855</v>
      </c>
      <c r="AU348" s="6">
        <f>[1]Hybrid!AT37</f>
        <v>165.71684909999999</v>
      </c>
      <c r="AV348" s="6">
        <f>[1]Hybrid!AU37</f>
        <v>170.79856050000001</v>
      </c>
      <c r="AW348" s="6">
        <f>[1]Hybrid!AV37</f>
        <v>176.1425888</v>
      </c>
      <c r="AX348" s="6">
        <f>[1]Hybrid!AW37</f>
        <v>181.77327399999999</v>
      </c>
      <c r="AY348" s="6">
        <f>[1]Hybrid!AX37</f>
        <v>187.7165139</v>
      </c>
      <c r="AZ348" s="6">
        <f>[1]Hybrid!AY37</f>
        <v>193.99970669999999</v>
      </c>
      <c r="BA348" s="6">
        <f>[1]Hybrid!AZ37</f>
        <v>200.65175120000001</v>
      </c>
      <c r="BB348" s="6">
        <f>[1]Hybrid!BA37</f>
        <v>55.764968279999998</v>
      </c>
      <c r="BC348" s="6">
        <f>[1]Hybrid!BB37</f>
        <v>49.894204240000001</v>
      </c>
      <c r="BD348" s="6">
        <f>[1]Hybrid!BC37</f>
        <v>43.422705530000002</v>
      </c>
      <c r="BE348" s="6">
        <f>[1]Hybrid!BD37</f>
        <v>36.308326579999999</v>
      </c>
      <c r="BF348" s="6">
        <f>[1]Hybrid!BE37</f>
        <v>28.50554975</v>
      </c>
    </row>
    <row r="349" spans="1:58" x14ac:dyDescent="0.35">
      <c r="B349" s="6" t="str">
        <f>[1]Hybrid!A39</f>
        <v>auto_cd_cele_0</v>
      </c>
      <c r="C349" s="6">
        <f>[1]Hybrid!B39</f>
        <v>5.770071272</v>
      </c>
      <c r="D349" s="6">
        <f>[1]Hybrid!C39</f>
        <v>7.5726007409999996</v>
      </c>
      <c r="E349" s="6">
        <f>[1]Hybrid!D39</f>
        <v>9.4661553850000004</v>
      </c>
      <c r="F349" s="6">
        <f>[1]Hybrid!E39</f>
        <v>11.397230690000001</v>
      </c>
      <c r="G349" s="6">
        <f>[1]Hybrid!F39</f>
        <v>13.331247879999999</v>
      </c>
      <c r="H349" s="6">
        <f>[1]Hybrid!G39</f>
        <v>15.24635512</v>
      </c>
      <c r="I349" s="6">
        <f>[1]Hybrid!H39</f>
        <v>17.12518386</v>
      </c>
      <c r="J349" s="6">
        <f>[1]Hybrid!I39</f>
        <v>18.95906823</v>
      </c>
      <c r="K349" s="6">
        <f>[1]Hybrid!J39</f>
        <v>20.742570839999999</v>
      </c>
      <c r="L349" s="6">
        <f>[1]Hybrid!K39</f>
        <v>22.472321409999999</v>
      </c>
      <c r="M349" s="6">
        <f>[1]Hybrid!L39</f>
        <v>24.152472499999998</v>
      </c>
      <c r="N349" s="6">
        <f>[1]Hybrid!M39</f>
        <v>25.775431300000001</v>
      </c>
      <c r="O349" s="6">
        <f>[1]Hybrid!N39</f>
        <v>27.340387020000001</v>
      </c>
      <c r="P349" s="6">
        <f>[1]Hybrid!O39</f>
        <v>28.84688573</v>
      </c>
      <c r="Q349" s="6">
        <f>[1]Hybrid!P39</f>
        <v>30.294849790000001</v>
      </c>
      <c r="R349" s="6">
        <f>[1]Hybrid!Q39</f>
        <v>31.684527509999999</v>
      </c>
      <c r="S349" s="6">
        <f>[1]Hybrid!R39</f>
        <v>33.01642021</v>
      </c>
      <c r="T349" s="6">
        <f>[1]Hybrid!S39</f>
        <v>34.291214680000003</v>
      </c>
      <c r="U349" s="6">
        <f>[1]Hybrid!T39</f>
        <v>35.509730759999997</v>
      </c>
      <c r="V349" s="6">
        <f>[1]Hybrid!U39</f>
        <v>36.672885209999997</v>
      </c>
      <c r="W349" s="6">
        <f>[1]Hybrid!V39</f>
        <v>37.7776079</v>
      </c>
      <c r="X349" s="6">
        <f>[1]Hybrid!W39</f>
        <v>38.829238089999997</v>
      </c>
      <c r="Y349" s="6">
        <f>[1]Hybrid!X39</f>
        <v>39.829009249999999</v>
      </c>
      <c r="Z349" s="6">
        <f>[1]Hybrid!Y39</f>
        <v>40.778228550000001</v>
      </c>
      <c r="AA349" s="6">
        <f>[1]Hybrid!Z39</f>
        <v>41.678202149999997</v>
      </c>
      <c r="AB349" s="6">
        <f>[1]Hybrid!AA39</f>
        <v>42.519420740000001</v>
      </c>
      <c r="AC349" s="6">
        <f>[1]Hybrid!AB39</f>
        <v>43.309597070000002</v>
      </c>
      <c r="AD349" s="6">
        <f>[1]Hybrid!AC39</f>
        <v>44.050713479999999</v>
      </c>
      <c r="AE349" s="6">
        <f>[1]Hybrid!AD39</f>
        <v>44.74497925</v>
      </c>
      <c r="AF349" s="6">
        <f>[1]Hybrid!AE39</f>
        <v>45.394663520000002</v>
      </c>
      <c r="AG349" s="6">
        <f>[1]Hybrid!AF39</f>
        <v>46.002000799999998</v>
      </c>
      <c r="AH349" s="6">
        <f>[1]Hybrid!AG39</f>
        <v>46.569150829999998</v>
      </c>
      <c r="AI349" s="6">
        <f>[1]Hybrid!AH39</f>
        <v>47.09818877</v>
      </c>
      <c r="AJ349" s="6">
        <f>[1]Hybrid!AI39</f>
        <v>47.591111480000002</v>
      </c>
      <c r="AK349" s="6">
        <f>[1]Hybrid!AJ39</f>
        <v>48.049850120000002</v>
      </c>
      <c r="AL349" s="6">
        <f>[1]Hybrid!AK39</f>
        <v>48.476283770000002</v>
      </c>
      <c r="AM349" s="6">
        <f>[1]Hybrid!AL39</f>
        <v>48.870100970000003</v>
      </c>
      <c r="AN349" s="6">
        <f>[1]Hybrid!AM39</f>
        <v>49.233264120000001</v>
      </c>
      <c r="AO349" s="6">
        <f>[1]Hybrid!AN39</f>
        <v>49.567772949999998</v>
      </c>
      <c r="AP349" s="6">
        <f>[1]Hybrid!AO39</f>
        <v>49.875666150000001</v>
      </c>
      <c r="AQ349" s="6">
        <f>[1]Hybrid!AP39</f>
        <v>50.15899057</v>
      </c>
      <c r="AR349" s="6">
        <f>[1]Hybrid!AQ39</f>
        <v>50.41985365</v>
      </c>
      <c r="AS349" s="6">
        <f>[1]Hybrid!AR39</f>
        <v>50.660440919999999</v>
      </c>
      <c r="AT349" s="6">
        <f>[1]Hybrid!AS39</f>
        <v>50.882637170000002</v>
      </c>
      <c r="AU349" s="6">
        <f>[1]Hybrid!AT39</f>
        <v>51.088202379999998</v>
      </c>
      <c r="AV349" s="6">
        <f>[1]Hybrid!AU39</f>
        <v>51.278871709999997</v>
      </c>
      <c r="AW349" s="6">
        <f>[1]Hybrid!AV39</f>
        <v>51.456552430000002</v>
      </c>
      <c r="AX349" s="6">
        <f>[1]Hybrid!AW39</f>
        <v>51.62297487</v>
      </c>
      <c r="AY349" s="6">
        <f>[1]Hybrid!AX39</f>
        <v>51.779844330000003</v>
      </c>
      <c r="AZ349" s="6">
        <f>[1]Hybrid!AY39</f>
        <v>51.928821769999999</v>
      </c>
      <c r="BA349" s="6">
        <f>[1]Hybrid!AZ39</f>
        <v>52.071512259999999</v>
      </c>
      <c r="BB349" s="6">
        <f>[1]Hybrid!BA39</f>
        <v>35.485589879999999</v>
      </c>
      <c r="BC349" s="6">
        <f>[1]Hybrid!BB39</f>
        <v>34.573697099999997</v>
      </c>
      <c r="BD349" s="6">
        <f>[1]Hybrid!BC39</f>
        <v>33.613691600000003</v>
      </c>
      <c r="BE349" s="6">
        <f>[1]Hybrid!BD39</f>
        <v>32.606383600000001</v>
      </c>
      <c r="BF349" s="6">
        <f>[1]Hybrid!BE39</f>
        <v>31.552621970000001</v>
      </c>
    </row>
    <row r="350" spans="1:58" x14ac:dyDescent="0.35">
      <c r="B350" s="6" t="str">
        <f>[1]Hybrid!A41</f>
        <v>auto_ce_cele_0</v>
      </c>
      <c r="C350" s="6">
        <f>[1]Hybrid!B41</f>
        <v>3.4730440960000002</v>
      </c>
      <c r="D350" s="6">
        <f>[1]Hybrid!C41</f>
        <v>4.5791700359999998</v>
      </c>
      <c r="E350" s="6">
        <f>[1]Hybrid!D41</f>
        <v>5.7315739920000004</v>
      </c>
      <c r="F350" s="6">
        <f>[1]Hybrid!E41</f>
        <v>6.8952212639999999</v>
      </c>
      <c r="G350" s="6">
        <f>[1]Hybrid!F41</f>
        <v>8.0477916950000008</v>
      </c>
      <c r="H350" s="6">
        <f>[1]Hybrid!G41</f>
        <v>9.1754068669999995</v>
      </c>
      <c r="I350" s="6">
        <f>[1]Hybrid!H41</f>
        <v>10.26739734</v>
      </c>
      <c r="J350" s="6">
        <f>[1]Hybrid!I41</f>
        <v>11.31858141</v>
      </c>
      <c r="K350" s="6">
        <f>[1]Hybrid!J41</f>
        <v>12.325869129999999</v>
      </c>
      <c r="L350" s="6">
        <f>[1]Hybrid!K41</f>
        <v>13.28749878</v>
      </c>
      <c r="M350" s="6">
        <f>[1]Hybrid!L41</f>
        <v>14.20602364</v>
      </c>
      <c r="N350" s="6">
        <f>[1]Hybrid!M41</f>
        <v>15.077421879999999</v>
      </c>
      <c r="O350" s="6">
        <f>[1]Hybrid!N41</f>
        <v>15.901591570000001</v>
      </c>
      <c r="P350" s="6">
        <f>[1]Hybrid!O41</f>
        <v>16.678684669999999</v>
      </c>
      <c r="Q350" s="6">
        <f>[1]Hybrid!P41</f>
        <v>17.409102409999999</v>
      </c>
      <c r="R350" s="6">
        <f>[1]Hybrid!Q41</f>
        <v>18.093456620000001</v>
      </c>
      <c r="S350" s="6">
        <f>[1]Hybrid!R41</f>
        <v>18.732522530000001</v>
      </c>
      <c r="T350" s="6">
        <f>[1]Hybrid!S41</f>
        <v>19.327197080000001</v>
      </c>
      <c r="U350" s="6">
        <f>[1]Hybrid!T41</f>
        <v>19.878466790000001</v>
      </c>
      <c r="V350" s="6">
        <f>[1]Hybrid!U41</f>
        <v>20.38738489</v>
      </c>
      <c r="W350" s="6">
        <f>[1]Hybrid!V41</f>
        <v>20.8530452</v>
      </c>
      <c r="X350" s="6">
        <f>[1]Hybrid!W41</f>
        <v>21.27876904</v>
      </c>
      <c r="Y350" s="6">
        <f>[1]Hybrid!X41</f>
        <v>21.6657999</v>
      </c>
      <c r="Z350" s="6">
        <f>[1]Hybrid!Y41</f>
        <v>22.0154122</v>
      </c>
      <c r="AA350" s="6">
        <f>[1]Hybrid!Z41</f>
        <v>22.328876340000001</v>
      </c>
      <c r="AB350" s="6">
        <f>[1]Hybrid!AA41</f>
        <v>22.60246167</v>
      </c>
      <c r="AC350" s="6">
        <f>[1]Hybrid!AB41</f>
        <v>22.840564220000001</v>
      </c>
      <c r="AD350" s="6">
        <f>[1]Hybrid!AC41</f>
        <v>23.044847780000001</v>
      </c>
      <c r="AE350" s="6">
        <f>[1]Hybrid!AD41</f>
        <v>23.21704227</v>
      </c>
      <c r="AF350" s="6">
        <f>[1]Hybrid!AE41</f>
        <v>23.358865999999999</v>
      </c>
      <c r="AG350" s="6">
        <f>[1]Hybrid!AF41</f>
        <v>23.471984030000002</v>
      </c>
      <c r="AH350" s="6">
        <f>[1]Hybrid!AG41</f>
        <v>23.557991189999999</v>
      </c>
      <c r="AI350" s="6">
        <f>[1]Hybrid!AH41</f>
        <v>23.61840845</v>
      </c>
      <c r="AJ350" s="6">
        <f>[1]Hybrid!AI41</f>
        <v>23.654686179999999</v>
      </c>
      <c r="AK350" s="6">
        <f>[1]Hybrid!AJ41</f>
        <v>23.668210089999999</v>
      </c>
      <c r="AL350" s="6">
        <f>[1]Hybrid!AK41</f>
        <v>23.660307599999999</v>
      </c>
      <c r="AM350" s="6">
        <f>[1]Hybrid!AL41</f>
        <v>23.63141439</v>
      </c>
      <c r="AN350" s="6">
        <f>[1]Hybrid!AM41</f>
        <v>23.582858640000001</v>
      </c>
      <c r="AO350" s="6">
        <f>[1]Hybrid!AN41</f>
        <v>23.515946400000001</v>
      </c>
      <c r="AP350" s="6">
        <f>[1]Hybrid!AO41</f>
        <v>23.43195746</v>
      </c>
      <c r="AQ350" s="6">
        <f>[1]Hybrid!AP41</f>
        <v>23.332131830000002</v>
      </c>
      <c r="AR350" s="6">
        <f>[1]Hybrid!AQ41</f>
        <v>23.217707870000002</v>
      </c>
      <c r="AS350" s="6">
        <f>[1]Hybrid!AR41</f>
        <v>23.089946210000001</v>
      </c>
      <c r="AT350" s="6">
        <f>[1]Hybrid!AS41</f>
        <v>22.949952920000001</v>
      </c>
      <c r="AU350" s="6">
        <f>[1]Hybrid!AT41</f>
        <v>22.798731549999999</v>
      </c>
      <c r="AV350" s="6">
        <f>[1]Hybrid!AU41</f>
        <v>22.637219649999999</v>
      </c>
      <c r="AW350" s="6">
        <f>[1]Hybrid!AV41</f>
        <v>22.466359319999999</v>
      </c>
      <c r="AX350" s="6">
        <f>[1]Hybrid!AW41</f>
        <v>22.286986049999999</v>
      </c>
      <c r="AY350" s="6">
        <f>[1]Hybrid!AX41</f>
        <v>22.099885969999999</v>
      </c>
      <c r="AZ350" s="6">
        <f>[1]Hybrid!AY41</f>
        <v>21.90579322</v>
      </c>
      <c r="BA350" s="6">
        <f>[1]Hybrid!AZ41</f>
        <v>21.705388670000001</v>
      </c>
      <c r="BB350" s="6">
        <f>[1]Hybrid!BA41</f>
        <v>14.46660228</v>
      </c>
      <c r="BC350" s="6">
        <f>[1]Hybrid!BB41</f>
        <v>13.96919132</v>
      </c>
      <c r="BD350" s="6">
        <f>[1]Hybrid!BC41</f>
        <v>13.465731549999999</v>
      </c>
      <c r="BE350" s="6">
        <f>[1]Hybrid!BD41</f>
        <v>12.95742368</v>
      </c>
      <c r="BF350" s="6">
        <f>[1]Hybrid!BE41</f>
        <v>12.44545143</v>
      </c>
    </row>
    <row r="351" spans="1:58" x14ac:dyDescent="0.35">
      <c r="B351" s="6" t="str">
        <f>[1]Hybrid!A43</f>
        <v>auto_cf_cele_0</v>
      </c>
      <c r="C351" s="6">
        <f>[1]Hybrid!B43</f>
        <v>1.7251505170000001</v>
      </c>
      <c r="D351" s="6">
        <f>[1]Hybrid!C43</f>
        <v>2.2482503220000001</v>
      </c>
      <c r="E351" s="6">
        <f>[1]Hybrid!D43</f>
        <v>2.7775446549999998</v>
      </c>
      <c r="F351" s="6">
        <f>[1]Hybrid!E43</f>
        <v>3.2929461039999999</v>
      </c>
      <c r="G351" s="6">
        <f>[1]Hybrid!F43</f>
        <v>3.782536114</v>
      </c>
      <c r="H351" s="6">
        <f>[1]Hybrid!G43</f>
        <v>4.2396704249999999</v>
      </c>
      <c r="I351" s="6">
        <f>[1]Hybrid!H43</f>
        <v>4.6601162389999997</v>
      </c>
      <c r="J351" s="6">
        <f>[1]Hybrid!I43</f>
        <v>5.0425770500000002</v>
      </c>
      <c r="K351" s="6">
        <f>[1]Hybrid!J43</f>
        <v>5.3869650770000002</v>
      </c>
      <c r="L351" s="6">
        <f>[1]Hybrid!K43</f>
        <v>5.6939240160000004</v>
      </c>
      <c r="M351" s="6">
        <f>[1]Hybrid!L43</f>
        <v>5.9657128080000001</v>
      </c>
      <c r="N351" s="6">
        <f>[1]Hybrid!M43</f>
        <v>6.2023584769999998</v>
      </c>
      <c r="O351" s="6">
        <f>[1]Hybrid!N43</f>
        <v>6.4053527170000004</v>
      </c>
      <c r="P351" s="6">
        <f>[1]Hybrid!O43</f>
        <v>6.5763015280000001</v>
      </c>
      <c r="Q351" s="6">
        <f>[1]Hybrid!P43</f>
        <v>6.7168946800000002</v>
      </c>
      <c r="R351" s="6">
        <f>[1]Hybrid!Q43</f>
        <v>6.8288730690000001</v>
      </c>
      <c r="S351" s="6">
        <f>[1]Hybrid!R43</f>
        <v>6.9139999630000002</v>
      </c>
      <c r="T351" s="6">
        <f>[1]Hybrid!S43</f>
        <v>6.9740380569999996</v>
      </c>
      <c r="U351" s="6">
        <f>[1]Hybrid!T43</f>
        <v>7.0107318550000004</v>
      </c>
      <c r="V351" s="6">
        <f>[1]Hybrid!U43</f>
        <v>7.0257944190000003</v>
      </c>
      <c r="W351" s="6">
        <f>[1]Hybrid!V43</f>
        <v>7.0204735789999999</v>
      </c>
      <c r="X351" s="6">
        <f>[1]Hybrid!W43</f>
        <v>6.9968889509999999</v>
      </c>
      <c r="Y351" s="6">
        <f>[1]Hybrid!X43</f>
        <v>6.9566172679999996</v>
      </c>
      <c r="Z351" s="6">
        <f>[1]Hybrid!Y43</f>
        <v>6.901170896</v>
      </c>
      <c r="AA351" s="6">
        <f>[1]Hybrid!Z43</f>
        <v>6.8319927470000001</v>
      </c>
      <c r="AB351" s="6">
        <f>[1]Hybrid!AA43</f>
        <v>6.7496570690000004</v>
      </c>
      <c r="AC351" s="6">
        <f>[1]Hybrid!AB43</f>
        <v>6.6560696669999997</v>
      </c>
      <c r="AD351" s="6">
        <f>[1]Hybrid!AC43</f>
        <v>6.5525727409999996</v>
      </c>
      <c r="AE351" s="6">
        <f>[1]Hybrid!AD43</f>
        <v>6.4404284279999997</v>
      </c>
      <c r="AF351" s="6">
        <f>[1]Hybrid!AE43</f>
        <v>6.320811473</v>
      </c>
      <c r="AG351" s="6">
        <f>[1]Hybrid!AF43</f>
        <v>6.1948087239999996</v>
      </c>
      <c r="AH351" s="6">
        <f>[1]Hybrid!AG43</f>
        <v>6.0634222009999998</v>
      </c>
      <c r="AI351" s="6">
        <f>[1]Hybrid!AH43</f>
        <v>5.9275736569999999</v>
      </c>
      <c r="AJ351" s="6">
        <f>[1]Hybrid!AI43</f>
        <v>5.7881096919999999</v>
      </c>
      <c r="AK351" s="6">
        <f>[1]Hybrid!AJ43</f>
        <v>5.6458068690000003</v>
      </c>
      <c r="AL351" s="6">
        <f>[1]Hybrid!AK43</f>
        <v>5.5013765460000004</v>
      </c>
      <c r="AM351" s="6">
        <f>[1]Hybrid!AL43</f>
        <v>5.3554032610000002</v>
      </c>
      <c r="AN351" s="6">
        <f>[1]Hybrid!AM43</f>
        <v>5.2085010760000001</v>
      </c>
      <c r="AO351" s="6">
        <f>[1]Hybrid!AN43</f>
        <v>5.0612299060000003</v>
      </c>
      <c r="AP351" s="6">
        <f>[1]Hybrid!AO43</f>
        <v>4.9140972850000004</v>
      </c>
      <c r="AQ351" s="6">
        <f>[1]Hybrid!AP43</f>
        <v>4.7675603049999999</v>
      </c>
      <c r="AR351" s="6">
        <f>[1]Hybrid!AQ43</f>
        <v>4.6220341810000001</v>
      </c>
      <c r="AS351" s="6">
        <f>[1]Hybrid!AR43</f>
        <v>4.4778978030000003</v>
      </c>
      <c r="AT351" s="6">
        <f>[1]Hybrid!AS43</f>
        <v>4.335479393</v>
      </c>
      <c r="AU351" s="6">
        <f>[1]Hybrid!AT43</f>
        <v>4.1950616600000004</v>
      </c>
      <c r="AV351" s="6">
        <f>[1]Hybrid!AU43</f>
        <v>4.0568878030000004</v>
      </c>
      <c r="AW351" s="6">
        <f>[1]Hybrid!AV43</f>
        <v>3.9211684400000002</v>
      </c>
      <c r="AX351" s="6">
        <f>[1]Hybrid!AW43</f>
        <v>3.7880809790000001</v>
      </c>
      <c r="AY351" s="6">
        <f>[1]Hybrid!AX43</f>
        <v>3.6577751780000001</v>
      </c>
      <c r="AZ351" s="6">
        <f>[1]Hybrid!AY43</f>
        <v>3.5303755940000001</v>
      </c>
      <c r="BA351" s="6">
        <f>[1]Hybrid!AZ43</f>
        <v>3.4059837279999998</v>
      </c>
      <c r="BB351" s="6">
        <f>[1]Hybrid!BA43</f>
        <v>2.9073723610000002</v>
      </c>
      <c r="BC351" s="6">
        <f>[1]Hybrid!BB43</f>
        <v>2.7952765500000001</v>
      </c>
      <c r="BD351" s="6">
        <f>[1]Hybrid!BC43</f>
        <v>2.686812464</v>
      </c>
      <c r="BE351" s="6">
        <f>[1]Hybrid!BD43</f>
        <v>2.581966531</v>
      </c>
      <c r="BF351" s="6">
        <f>[1]Hybrid!BE43</f>
        <v>2.480710094</v>
      </c>
    </row>
    <row r="352" spans="1:58" x14ac:dyDescent="0.35">
      <c r="B352" s="6" t="str">
        <f>[1]Hybrid!A45</f>
        <v>auto_cg_cele_0</v>
      </c>
      <c r="C352" s="6">
        <f>[1]Hybrid!B45</f>
        <v>3.1066862139999998</v>
      </c>
      <c r="D352" s="6">
        <f>[1]Hybrid!C45</f>
        <v>4.0780111479999999</v>
      </c>
      <c r="E352" s="6">
        <f>[1]Hybrid!D45</f>
        <v>5.035904951</v>
      </c>
      <c r="F352" s="6">
        <f>[1]Hybrid!E45</f>
        <v>5.9395484429999996</v>
      </c>
      <c r="G352" s="6">
        <f>[1]Hybrid!F45</f>
        <v>6.7669551969999997</v>
      </c>
      <c r="H352" s="6">
        <f>[1]Hybrid!G45</f>
        <v>7.5079311210000004</v>
      </c>
      <c r="I352" s="6">
        <f>[1]Hybrid!H45</f>
        <v>8.1579709810000001</v>
      </c>
      <c r="J352" s="6">
        <f>[1]Hybrid!I45</f>
        <v>8.7182950370000007</v>
      </c>
      <c r="K352" s="6">
        <f>[1]Hybrid!J45</f>
        <v>9.1924381020000006</v>
      </c>
      <c r="L352" s="6">
        <f>[1]Hybrid!K45</f>
        <v>9.5851848040000007</v>
      </c>
      <c r="M352" s="6">
        <f>[1]Hybrid!L45</f>
        <v>9.9035679870000006</v>
      </c>
      <c r="N352" s="6">
        <f>[1]Hybrid!M45</f>
        <v>10.151318720000001</v>
      </c>
      <c r="O352" s="6">
        <f>[1]Hybrid!N45</f>
        <v>10.334136300000001</v>
      </c>
      <c r="P352" s="6">
        <f>[1]Hybrid!O45</f>
        <v>10.457675180000001</v>
      </c>
      <c r="Q352" s="6">
        <f>[1]Hybrid!P45</f>
        <v>10.527466990000001</v>
      </c>
      <c r="R352" s="6">
        <f>[1]Hybrid!Q45</f>
        <v>10.548856410000001</v>
      </c>
      <c r="S352" s="6">
        <f>[1]Hybrid!R45</f>
        <v>10.526954</v>
      </c>
      <c r="T352" s="6">
        <f>[1]Hybrid!S45</f>
        <v>10.46660449</v>
      </c>
      <c r="U352" s="6">
        <f>[1]Hybrid!T45</f>
        <v>10.372366789999999</v>
      </c>
      <c r="V352" s="6">
        <f>[1]Hybrid!U45</f>
        <v>10.24850333</v>
      </c>
      <c r="W352" s="6">
        <f>[1]Hybrid!V45</f>
        <v>10.09858307</v>
      </c>
      <c r="X352" s="6">
        <f>[1]Hybrid!W45</f>
        <v>9.92675792</v>
      </c>
      <c r="Y352" s="6">
        <f>[1]Hybrid!X45</f>
        <v>9.7363981059999993</v>
      </c>
      <c r="Z352" s="6">
        <f>[1]Hybrid!Y45</f>
        <v>9.5305797040000009</v>
      </c>
      <c r="AA352" s="6">
        <f>[1]Hybrid!Z45</f>
        <v>9.3120970169999993</v>
      </c>
      <c r="AB352" s="6">
        <f>[1]Hybrid!AA45</f>
        <v>9.0828892910000008</v>
      </c>
      <c r="AC352" s="6">
        <f>[1]Hybrid!AB45</f>
        <v>8.8457346860000001</v>
      </c>
      <c r="AD352" s="6">
        <f>[1]Hybrid!AC45</f>
        <v>8.6027688510000004</v>
      </c>
      <c r="AE352" s="6">
        <f>[1]Hybrid!AD45</f>
        <v>8.3558824979999997</v>
      </c>
      <c r="AF352" s="6">
        <f>[1]Hybrid!AE45</f>
        <v>8.1067358790000004</v>
      </c>
      <c r="AG352" s="6">
        <f>[1]Hybrid!AF45</f>
        <v>7.8567774379999999</v>
      </c>
      <c r="AH352" s="6">
        <f>[1]Hybrid!AG45</f>
        <v>7.6072633710000002</v>
      </c>
      <c r="AI352" s="6">
        <f>[1]Hybrid!AH45</f>
        <v>7.3592765809999996</v>
      </c>
      <c r="AJ352" s="6">
        <f>[1]Hybrid!AI45</f>
        <v>7.1137444790000002</v>
      </c>
      <c r="AK352" s="6">
        <f>[1]Hybrid!AJ45</f>
        <v>6.8714554019999996</v>
      </c>
      <c r="AL352" s="6">
        <f>[1]Hybrid!AK45</f>
        <v>6.6330735709999997</v>
      </c>
      <c r="AM352" s="6">
        <f>[1]Hybrid!AL45</f>
        <v>6.3991252049999998</v>
      </c>
      <c r="AN352" s="6">
        <f>[1]Hybrid!AM45</f>
        <v>6.1700777430000002</v>
      </c>
      <c r="AO352" s="6">
        <f>[1]Hybrid!AN45</f>
        <v>5.9463091849999996</v>
      </c>
      <c r="AP352" s="6">
        <f>[1]Hybrid!AO45</f>
        <v>5.7281174510000001</v>
      </c>
      <c r="AQ352" s="6">
        <f>[1]Hybrid!AP45</f>
        <v>5.5157293459999996</v>
      </c>
      <c r="AR352" s="6">
        <f>[1]Hybrid!AQ45</f>
        <v>5.3093117750000003</v>
      </c>
      <c r="AS352" s="6">
        <f>[1]Hybrid!AR45</f>
        <v>5.1089802850000003</v>
      </c>
      <c r="AT352" s="6">
        <f>[1]Hybrid!AS45</f>
        <v>4.9147990400000001</v>
      </c>
      <c r="AU352" s="6">
        <f>[1]Hybrid!AT45</f>
        <v>4.72678829</v>
      </c>
      <c r="AV352" s="6">
        <f>[1]Hybrid!AU45</f>
        <v>4.544931783</v>
      </c>
      <c r="AW352" s="6">
        <f>[1]Hybrid!AV45</f>
        <v>4.3691835860000001</v>
      </c>
      <c r="AX352" s="6">
        <f>[1]Hybrid!AW45</f>
        <v>4.1994722979999999</v>
      </c>
      <c r="AY352" s="6">
        <f>[1]Hybrid!AX45</f>
        <v>4.0357061029999999</v>
      </c>
      <c r="AZ352" s="6">
        <f>[1]Hybrid!AY45</f>
        <v>3.877776457</v>
      </c>
      <c r="BA352" s="6">
        <f>[1]Hybrid!AZ45</f>
        <v>3.725561248</v>
      </c>
      <c r="BB352" s="6">
        <f>[1]Hybrid!BA45</f>
        <v>3.2957326619999998</v>
      </c>
      <c r="BC352" s="6">
        <f>[1]Hybrid!BB45</f>
        <v>3.16432365</v>
      </c>
      <c r="BD352" s="6">
        <f>[1]Hybrid!BC45</f>
        <v>3.0380470530000001</v>
      </c>
      <c r="BE352" s="6">
        <f>[1]Hybrid!BD45</f>
        <v>2.9167280400000002</v>
      </c>
      <c r="BF352" s="6">
        <f>[1]Hybrid!BE45</f>
        <v>2.8001923290000001</v>
      </c>
    </row>
    <row r="353" spans="1:58" x14ac:dyDescent="0.35">
      <c r="B353" s="6" t="str">
        <f>[1]Hybrid!A47</f>
        <v>auto_ca_cgas_0</v>
      </c>
      <c r="C353" s="6">
        <f>[1]Hybrid!B47</f>
        <v>0.42568169729999999</v>
      </c>
      <c r="D353" s="6">
        <f>[1]Hybrid!C47</f>
        <v>0.44962826880000001</v>
      </c>
      <c r="E353" s="6">
        <f>[1]Hybrid!D47</f>
        <v>0.47672578069999999</v>
      </c>
      <c r="F353" s="6">
        <f>[1]Hybrid!E47</f>
        <v>0.50570927720000003</v>
      </c>
      <c r="G353" s="6">
        <f>[1]Hybrid!F47</f>
        <v>0.53574812260000004</v>
      </c>
      <c r="H353" s="6">
        <f>[1]Hybrid!G47</f>
        <v>0.56631185449999999</v>
      </c>
      <c r="I353" s="6">
        <f>[1]Hybrid!H47</f>
        <v>0.59696939599999999</v>
      </c>
      <c r="J353" s="6">
        <f>[1]Hybrid!I47</f>
        <v>0.62750986040000001</v>
      </c>
      <c r="K353" s="6">
        <f>[1]Hybrid!J47</f>
        <v>0.65780301939999997</v>
      </c>
      <c r="L353" s="6">
        <f>[1]Hybrid!K47</f>
        <v>0.68777096660000003</v>
      </c>
      <c r="M353" s="6">
        <f>[1]Hybrid!L47</f>
        <v>0.71754550260000005</v>
      </c>
      <c r="N353" s="6">
        <f>[1]Hybrid!M47</f>
        <v>0.74692366129999999</v>
      </c>
      <c r="O353" s="6">
        <f>[1]Hybrid!N47</f>
        <v>0.77589157190000002</v>
      </c>
      <c r="P353" s="6">
        <f>[1]Hybrid!O47</f>
        <v>0.80444205879999997</v>
      </c>
      <c r="Q353" s="6">
        <f>[1]Hybrid!P47</f>
        <v>0.83257588380000003</v>
      </c>
      <c r="R353" s="6">
        <f>[1]Hybrid!Q47</f>
        <v>0.86030072660000001</v>
      </c>
      <c r="S353" s="6">
        <f>[1]Hybrid!R47</f>
        <v>0.88762926239999995</v>
      </c>
      <c r="T353" s="6">
        <f>[1]Hybrid!S47</f>
        <v>0.91457724620000003</v>
      </c>
      <c r="U353" s="6">
        <f>[1]Hybrid!T47</f>
        <v>0.94116197450000005</v>
      </c>
      <c r="V353" s="6">
        <f>[1]Hybrid!U47</f>
        <v>0.96740121830000003</v>
      </c>
      <c r="W353" s="6">
        <f>[1]Hybrid!V47</f>
        <v>0.99317513140000002</v>
      </c>
      <c r="X353" s="6">
        <f>[1]Hybrid!W47</f>
        <v>1.018643381</v>
      </c>
      <c r="Y353" s="6">
        <f>[1]Hybrid!X47</f>
        <v>1.0438257280000001</v>
      </c>
      <c r="Z353" s="6">
        <f>[1]Hybrid!Y47</f>
        <v>1.0687429559999999</v>
      </c>
      <c r="AA353" s="6">
        <f>[1]Hybrid!Z47</f>
        <v>1.0934139279999999</v>
      </c>
      <c r="AB353" s="6">
        <f>[1]Hybrid!AA47</f>
        <v>1.1174531599999999</v>
      </c>
      <c r="AC353" s="6">
        <f>[1]Hybrid!AB47</f>
        <v>1.1411020439999999</v>
      </c>
      <c r="AD353" s="6">
        <f>[1]Hybrid!AC47</f>
        <v>1.164388499</v>
      </c>
      <c r="AE353" s="6">
        <f>[1]Hybrid!AD47</f>
        <v>1.1873488759999999</v>
      </c>
      <c r="AF353" s="6">
        <f>[1]Hybrid!AE47</f>
        <v>1.2100216539999999</v>
      </c>
      <c r="AG353" s="6">
        <f>[1]Hybrid!AF47</f>
        <v>1.2324437049999999</v>
      </c>
      <c r="AH353" s="6">
        <f>[1]Hybrid!AG47</f>
        <v>1.254648717</v>
      </c>
      <c r="AI353" s="6">
        <f>[1]Hybrid!AH47</f>
        <v>1.2766669180000001</v>
      </c>
      <c r="AJ353" s="6">
        <f>[1]Hybrid!AI47</f>
        <v>1.2985254669999999</v>
      </c>
      <c r="AK353" s="6">
        <f>[1]Hybrid!AJ47</f>
        <v>1.32024911</v>
      </c>
      <c r="AL353" s="6">
        <f>[1]Hybrid!AK47</f>
        <v>1.3418608190000001</v>
      </c>
      <c r="AM353" s="6">
        <f>[1]Hybrid!AL47</f>
        <v>1.3632840879999999</v>
      </c>
      <c r="AN353" s="6">
        <f>[1]Hybrid!AM47</f>
        <v>1.3845428289999999</v>
      </c>
      <c r="AO353" s="6">
        <f>[1]Hybrid!AN47</f>
        <v>1.405662513</v>
      </c>
      <c r="AP353" s="6">
        <f>[1]Hybrid!AO47</f>
        <v>1.4266710709999999</v>
      </c>
      <c r="AQ353" s="6">
        <f>[1]Hybrid!AP47</f>
        <v>1.4475977929999999</v>
      </c>
      <c r="AR353" s="6">
        <f>[1]Hybrid!AQ47</f>
        <v>1.468471539</v>
      </c>
      <c r="AS353" s="6">
        <f>[1]Hybrid!AR47</f>
        <v>1.489315776</v>
      </c>
      <c r="AT353" s="6">
        <f>[1]Hybrid!AS47</f>
        <v>1.5101391</v>
      </c>
      <c r="AU353" s="6">
        <f>[1]Hybrid!AT47</f>
        <v>1.530947834</v>
      </c>
      <c r="AV353" s="6">
        <f>[1]Hybrid!AU47</f>
        <v>1.551751731</v>
      </c>
      <c r="AW353" s="6">
        <f>[1]Hybrid!AV47</f>
        <v>1.5725737099999999</v>
      </c>
      <c r="AX353" s="6">
        <f>[1]Hybrid!AW47</f>
        <v>1.5934304349999999</v>
      </c>
      <c r="AY353" s="6">
        <f>[1]Hybrid!AX47</f>
        <v>1.614339403</v>
      </c>
      <c r="AZ353" s="6">
        <f>[1]Hybrid!AY47</f>
        <v>1.6353173640000001</v>
      </c>
      <c r="BA353" s="6">
        <f>[1]Hybrid!AZ47</f>
        <v>1.656379467</v>
      </c>
      <c r="BB353" s="6">
        <f>[1]Hybrid!BA47</f>
        <v>1.797599926</v>
      </c>
      <c r="BC353" s="6">
        <f>[1]Hybrid!BB47</f>
        <v>1.825674359</v>
      </c>
      <c r="BD353" s="6">
        <f>[1]Hybrid!BC47</f>
        <v>1.8541047100000001</v>
      </c>
      <c r="BE353" s="6">
        <f>[1]Hybrid!BD47</f>
        <v>1.8829160920000001</v>
      </c>
      <c r="BF353" s="6">
        <f>[1]Hybrid!BE47</f>
        <v>1.9121352410000001</v>
      </c>
    </row>
    <row r="354" spans="1:58" x14ac:dyDescent="0.35">
      <c r="B354" s="6" t="str">
        <f>[1]Hybrid!A49</f>
        <v>auto_cb_cgas_0</v>
      </c>
      <c r="C354" s="6">
        <f>[1]Hybrid!B49</f>
        <v>0.49500522540000003</v>
      </c>
      <c r="D354" s="6">
        <f>[1]Hybrid!C49</f>
        <v>0.51254515599999995</v>
      </c>
      <c r="E354" s="6">
        <f>[1]Hybrid!D49</f>
        <v>0.53335517320000003</v>
      </c>
      <c r="F354" s="6">
        <f>[1]Hybrid!E49</f>
        <v>0.55617682229999998</v>
      </c>
      <c r="G354" s="6">
        <f>[1]Hybrid!F49</f>
        <v>0.58017929850000005</v>
      </c>
      <c r="H354" s="6">
        <f>[1]Hybrid!G49</f>
        <v>0.60482660730000004</v>
      </c>
      <c r="I354" s="6">
        <f>[1]Hybrid!H49</f>
        <v>0.62968351869999994</v>
      </c>
      <c r="J354" s="6">
        <f>[1]Hybrid!I49</f>
        <v>0.65452841790000005</v>
      </c>
      <c r="K354" s="6">
        <f>[1]Hybrid!J49</f>
        <v>0.67921903679999995</v>
      </c>
      <c r="L354" s="6">
        <f>[1]Hybrid!K49</f>
        <v>0.70366467229999996</v>
      </c>
      <c r="M354" s="6">
        <f>[1]Hybrid!L49</f>
        <v>0.72797294869999996</v>
      </c>
      <c r="N354" s="6">
        <f>[1]Hybrid!M49</f>
        <v>0.75193809649999999</v>
      </c>
      <c r="O354" s="6">
        <f>[1]Hybrid!N49</f>
        <v>0.77553353960000004</v>
      </c>
      <c r="P354" s="6">
        <f>[1]Hybrid!O49</f>
        <v>0.79874002519999998</v>
      </c>
      <c r="Q354" s="6">
        <f>[1]Hybrid!P49</f>
        <v>0.82154657509999995</v>
      </c>
      <c r="R354" s="6">
        <f>[1]Hybrid!Q49</f>
        <v>0.84394938109999995</v>
      </c>
      <c r="S354" s="6">
        <f>[1]Hybrid!R49</f>
        <v>0.86594990900000002</v>
      </c>
      <c r="T354" s="6">
        <f>[1]Hybrid!S49</f>
        <v>0.88755304430000004</v>
      </c>
      <c r="U354" s="6">
        <f>[1]Hybrid!T49</f>
        <v>0.90876560880000001</v>
      </c>
      <c r="V354" s="6">
        <f>[1]Hybrid!U49</f>
        <v>0.92959532619999996</v>
      </c>
      <c r="W354" s="6">
        <f>[1]Hybrid!V49</f>
        <v>0.94992537840000002</v>
      </c>
      <c r="X354" s="6">
        <f>[1]Hybrid!W49</f>
        <v>0.96989399180000002</v>
      </c>
      <c r="Y354" s="6">
        <f>[1]Hybrid!X49</f>
        <v>0.98951185880000003</v>
      </c>
      <c r="Z354" s="6">
        <f>[1]Hybrid!Y49</f>
        <v>1.00879075</v>
      </c>
      <c r="AA354" s="6">
        <f>[1]Hybrid!Z49</f>
        <v>1.0277408889999999</v>
      </c>
      <c r="AB354" s="6">
        <f>[1]Hybrid!AA49</f>
        <v>1.0460121600000001</v>
      </c>
      <c r="AC354" s="6">
        <f>[1]Hybrid!AB49</f>
        <v>1.0638168880000001</v>
      </c>
      <c r="AD354" s="6">
        <f>[1]Hybrid!AC49</f>
        <v>1.0811759240000001</v>
      </c>
      <c r="AE354" s="6">
        <f>[1]Hybrid!AD49</f>
        <v>1.098117367</v>
      </c>
      <c r="AF354" s="6">
        <f>[1]Hybrid!AE49</f>
        <v>1.114670933</v>
      </c>
      <c r="AG354" s="6">
        <f>[1]Hybrid!AF49</f>
        <v>1.1308646550000001</v>
      </c>
      <c r="AH354" s="6">
        <f>[1]Hybrid!AG49</f>
        <v>1.146723519</v>
      </c>
      <c r="AI354" s="6">
        <f>[1]Hybrid!AH49</f>
        <v>1.162269218</v>
      </c>
      <c r="AJ354" s="6">
        <f>[1]Hybrid!AI49</f>
        <v>1.1775205150000001</v>
      </c>
      <c r="AK354" s="6">
        <f>[1]Hybrid!AJ49</f>
        <v>1.1924938060000001</v>
      </c>
      <c r="AL354" s="6">
        <f>[1]Hybrid!AK49</f>
        <v>1.2072036930000001</v>
      </c>
      <c r="AM354" s="6">
        <f>[1]Hybrid!AL49</f>
        <v>1.2215798069999999</v>
      </c>
      <c r="AN354" s="6">
        <f>[1]Hybrid!AM49</f>
        <v>1.2356381569999999</v>
      </c>
      <c r="AO354" s="6">
        <f>[1]Hybrid!AN49</f>
        <v>1.249395872</v>
      </c>
      <c r="AP354" s="6">
        <f>[1]Hybrid!AO49</f>
        <v>1.2628718269999999</v>
      </c>
      <c r="AQ354" s="6">
        <f>[1]Hybrid!AP49</f>
        <v>1.276085653</v>
      </c>
      <c r="AR354" s="6">
        <f>[1]Hybrid!AQ49</f>
        <v>1.289056786</v>
      </c>
      <c r="AS354" s="6">
        <f>[1]Hybrid!AR49</f>
        <v>1.301800939</v>
      </c>
      <c r="AT354" s="6">
        <f>[1]Hybrid!AS49</f>
        <v>1.3143211319999999</v>
      </c>
      <c r="AU354" s="6">
        <f>[1]Hybrid!AT49</f>
        <v>1.326617795</v>
      </c>
      <c r="AV354" s="6">
        <f>[1]Hybrid!AU49</f>
        <v>1.338693433</v>
      </c>
      <c r="AW354" s="6">
        <f>[1]Hybrid!AV49</f>
        <v>1.3505606029999999</v>
      </c>
      <c r="AX354" s="6">
        <f>[1]Hybrid!AW49</f>
        <v>1.3622261849999999</v>
      </c>
      <c r="AY354" s="6">
        <f>[1]Hybrid!AX49</f>
        <v>1.3736973159999999</v>
      </c>
      <c r="AZ354" s="6">
        <f>[1]Hybrid!AY49</f>
        <v>1.3849801740000001</v>
      </c>
      <c r="BA354" s="6">
        <f>[1]Hybrid!AZ49</f>
        <v>1.396079343</v>
      </c>
      <c r="BB354" s="6">
        <f>[1]Hybrid!BA49</f>
        <v>1.49953493</v>
      </c>
      <c r="BC354" s="6">
        <f>[1]Hybrid!BB49</f>
        <v>1.515156978</v>
      </c>
      <c r="BD354" s="6">
        <f>[1]Hybrid!BC49</f>
        <v>1.5307466949999999</v>
      </c>
      <c r="BE354" s="6">
        <f>[1]Hybrid!BD49</f>
        <v>1.5463146320000001</v>
      </c>
      <c r="BF354" s="6">
        <f>[1]Hybrid!BE49</f>
        <v>1.561872156</v>
      </c>
    </row>
    <row r="355" spans="1:58" x14ac:dyDescent="0.35">
      <c r="B355" s="6" t="str">
        <f>[1]Hybrid!A51</f>
        <v>auto_cc_cgas_0</v>
      </c>
      <c r="C355" s="6">
        <f>[1]Hybrid!B51</f>
        <v>0.40659851759999999</v>
      </c>
      <c r="D355" s="6">
        <f>[1]Hybrid!C51</f>
        <v>0.41470452610000003</v>
      </c>
      <c r="E355" s="6">
        <f>[1]Hybrid!D51</f>
        <v>0.4252607773</v>
      </c>
      <c r="F355" s="6">
        <f>[1]Hybrid!E51</f>
        <v>0.43736524069999999</v>
      </c>
      <c r="G355" s="6">
        <f>[1]Hybrid!F51</f>
        <v>0.45041943159999998</v>
      </c>
      <c r="H355" s="6">
        <f>[1]Hybrid!G51</f>
        <v>0.46403361920000002</v>
      </c>
      <c r="I355" s="6">
        <f>[1]Hybrid!H51</f>
        <v>0.47789158409999999</v>
      </c>
      <c r="J355" s="6">
        <f>[1]Hybrid!I51</f>
        <v>0.49182657279999997</v>
      </c>
      <c r="K355" s="6">
        <f>[1]Hybrid!J51</f>
        <v>0.50572813650000004</v>
      </c>
      <c r="L355" s="6">
        <f>[1]Hybrid!K51</f>
        <v>0.51952250430000002</v>
      </c>
      <c r="M355" s="6">
        <f>[1]Hybrid!L51</f>
        <v>0.53327126739999997</v>
      </c>
      <c r="N355" s="6">
        <f>[1]Hybrid!M51</f>
        <v>0.54682454570000005</v>
      </c>
      <c r="O355" s="6">
        <f>[1]Hybrid!N51</f>
        <v>0.56015500060000001</v>
      </c>
      <c r="P355" s="6">
        <f>[1]Hybrid!O51</f>
        <v>0.57324104659999997</v>
      </c>
      <c r="Q355" s="6">
        <f>[1]Hybrid!P51</f>
        <v>0.58606734979999997</v>
      </c>
      <c r="R355" s="6">
        <f>[1]Hybrid!Q51</f>
        <v>0.59862397889999996</v>
      </c>
      <c r="S355" s="6">
        <f>[1]Hybrid!R51</f>
        <v>0.61090505959999997</v>
      </c>
      <c r="T355" s="6">
        <f>[1]Hybrid!S51</f>
        <v>0.62290747980000005</v>
      </c>
      <c r="U355" s="6">
        <f>[1]Hybrid!T51</f>
        <v>0.63462985699999996</v>
      </c>
      <c r="V355" s="6">
        <f>[1]Hybrid!U51</f>
        <v>0.64607181479999998</v>
      </c>
      <c r="W355" s="6">
        <f>[1]Hybrid!V51</f>
        <v>0.65715176710000001</v>
      </c>
      <c r="X355" s="6">
        <f>[1]Hybrid!W51</f>
        <v>0.66795610859999999</v>
      </c>
      <c r="Y355" s="6">
        <f>[1]Hybrid!X51</f>
        <v>0.67848746439999996</v>
      </c>
      <c r="Z355" s="6">
        <f>[1]Hybrid!Y51</f>
        <v>0.68874936119999997</v>
      </c>
      <c r="AA355" s="6">
        <f>[1]Hybrid!Z51</f>
        <v>0.69874453690000005</v>
      </c>
      <c r="AB355" s="6">
        <f>[1]Hybrid!AA51</f>
        <v>0.70824411320000003</v>
      </c>
      <c r="AC355" s="6">
        <f>[1]Hybrid!AB51</f>
        <v>0.71738339399999995</v>
      </c>
      <c r="AD355" s="6">
        <f>[1]Hybrid!AC51</f>
        <v>0.72617384699999998</v>
      </c>
      <c r="AE355" s="6">
        <f>[1]Hybrid!AD51</f>
        <v>0.73463150929999999</v>
      </c>
      <c r="AF355" s="6">
        <f>[1]Hybrid!AE51</f>
        <v>0.74277336510000003</v>
      </c>
      <c r="AG355" s="6">
        <f>[1]Hybrid!AF51</f>
        <v>0.75061525110000005</v>
      </c>
      <c r="AH355" s="6">
        <f>[1]Hybrid!AG51</f>
        <v>0.75817099580000002</v>
      </c>
      <c r="AI355" s="6">
        <f>[1]Hybrid!AH51</f>
        <v>0.76545228119999997</v>
      </c>
      <c r="AJ355" s="6">
        <f>[1]Hybrid!AI51</f>
        <v>0.77246887580000001</v>
      </c>
      <c r="AK355" s="6">
        <f>[1]Hybrid!AJ51</f>
        <v>0.77922900269999995</v>
      </c>
      <c r="AL355" s="6">
        <f>[1]Hybrid!AK51</f>
        <v>0.78573970400000004</v>
      </c>
      <c r="AM355" s="6">
        <f>[1]Hybrid!AL51</f>
        <v>0.79195573050000001</v>
      </c>
      <c r="AN355" s="6">
        <f>[1]Hybrid!AM51</f>
        <v>0.79788557130000004</v>
      </c>
      <c r="AO355" s="6">
        <f>[1]Hybrid!AN51</f>
        <v>0.80353837750000001</v>
      </c>
      <c r="AP355" s="6">
        <f>[1]Hybrid!AO51</f>
        <v>0.80892427690000002</v>
      </c>
      <c r="AQ355" s="6">
        <f>[1]Hybrid!AP51</f>
        <v>0.81405373349999999</v>
      </c>
      <c r="AR355" s="6">
        <f>[1]Hybrid!AQ51</f>
        <v>0.81893729999999998</v>
      </c>
      <c r="AS355" s="6">
        <f>[1]Hybrid!AR51</f>
        <v>0.82358385229999997</v>
      </c>
      <c r="AT355" s="6">
        <f>[1]Hybrid!AS51</f>
        <v>0.82799455249999998</v>
      </c>
      <c r="AU355" s="6">
        <f>[1]Hybrid!AT51</f>
        <v>0.83216870740000004</v>
      </c>
      <c r="AV355" s="6">
        <f>[1]Hybrid!AU51</f>
        <v>0.83610654559999997</v>
      </c>
      <c r="AW355" s="6">
        <f>[1]Hybrid!AV51</f>
        <v>0.83981395329999997</v>
      </c>
      <c r="AX355" s="6">
        <f>[1]Hybrid!AW51</f>
        <v>0.84329328859999997</v>
      </c>
      <c r="AY355" s="6">
        <f>[1]Hybrid!AX51</f>
        <v>0.84654697329999995</v>
      </c>
      <c r="AZ355" s="6">
        <f>[1]Hybrid!AY51</f>
        <v>0.84957684040000003</v>
      </c>
      <c r="BA355" s="6">
        <f>[1]Hybrid!AZ51</f>
        <v>0.85238379590000002</v>
      </c>
      <c r="BB355" s="6">
        <f>[1]Hybrid!BA51</f>
        <v>0.90626562889999995</v>
      </c>
      <c r="BC355" s="6">
        <f>[1]Hybrid!BB51</f>
        <v>0.91114016870000003</v>
      </c>
      <c r="BD355" s="6">
        <f>[1]Hybrid!BC51</f>
        <v>0.91585367900000003</v>
      </c>
      <c r="BE355" s="6">
        <f>[1]Hybrid!BD51</f>
        <v>0.92041032209999996</v>
      </c>
      <c r="BF355" s="6">
        <f>[1]Hybrid!BE51</f>
        <v>0.92481464719999995</v>
      </c>
    </row>
    <row r="356" spans="1:58" x14ac:dyDescent="0.35">
      <c r="B356" s="6" t="str">
        <f>[1]Hybrid!A53</f>
        <v>auto_cd_cgas_0</v>
      </c>
      <c r="C356" s="6">
        <f>[1]Hybrid!B53</f>
        <v>0.2495444651</v>
      </c>
      <c r="D356" s="6">
        <f>[1]Hybrid!C53</f>
        <v>0.25242935500000002</v>
      </c>
      <c r="E356" s="6">
        <f>[1]Hybrid!D53</f>
        <v>0.2566063576</v>
      </c>
      <c r="F356" s="6">
        <f>[1]Hybrid!E53</f>
        <v>0.26153288990000001</v>
      </c>
      <c r="G356" s="6">
        <f>[1]Hybrid!F53</f>
        <v>0.2668527316</v>
      </c>
      <c r="H356" s="6">
        <f>[1]Hybrid!G53</f>
        <v>0.27233604709999998</v>
      </c>
      <c r="I356" s="6">
        <f>[1]Hybrid!H53</f>
        <v>0.27780186019999997</v>
      </c>
      <c r="J356" s="6">
        <f>[1]Hybrid!I53</f>
        <v>0.28315460920000002</v>
      </c>
      <c r="K356" s="6">
        <f>[1]Hybrid!J53</f>
        <v>0.28833194379999999</v>
      </c>
      <c r="L356" s="6">
        <f>[1]Hybrid!K53</f>
        <v>0.29329290120000001</v>
      </c>
      <c r="M356" s="6">
        <f>[1]Hybrid!L53</f>
        <v>0.29806572930000003</v>
      </c>
      <c r="N356" s="6">
        <f>[1]Hybrid!M53</f>
        <v>0.30257345419999998</v>
      </c>
      <c r="O356" s="6">
        <f>[1]Hybrid!N53</f>
        <v>0.30680227409999999</v>
      </c>
      <c r="P356" s="6">
        <f>[1]Hybrid!O53</f>
        <v>0.31074217240000002</v>
      </c>
      <c r="Q356" s="6">
        <f>[1]Hybrid!P53</f>
        <v>0.31438689269999998</v>
      </c>
      <c r="R356" s="6">
        <f>[1]Hybrid!Q53</f>
        <v>0.31773334240000001</v>
      </c>
      <c r="S356" s="6">
        <f>[1]Hybrid!R53</f>
        <v>0.32078083190000001</v>
      </c>
      <c r="T356" s="6">
        <f>[1]Hybrid!S53</f>
        <v>0.32353038670000001</v>
      </c>
      <c r="U356" s="6">
        <f>[1]Hybrid!T53</f>
        <v>0.32598421319999998</v>
      </c>
      <c r="V356" s="6">
        <f>[1]Hybrid!U53</f>
        <v>0.32814532340000002</v>
      </c>
      <c r="W356" s="6">
        <f>[1]Hybrid!V53</f>
        <v>0.32998203739999998</v>
      </c>
      <c r="X356" s="6">
        <f>[1]Hybrid!W53</f>
        <v>0.33153646669999998</v>
      </c>
      <c r="Y356" s="6">
        <f>[1]Hybrid!X53</f>
        <v>0.33281380020000001</v>
      </c>
      <c r="Z356" s="6">
        <f>[1]Hybrid!Y53</f>
        <v>0.33381967010000002</v>
      </c>
      <c r="AA356" s="6">
        <f>[1]Hybrid!Z53</f>
        <v>0.33455950769999998</v>
      </c>
      <c r="AB356" s="6">
        <f>[1]Hybrid!AA53</f>
        <v>0.33494681529999998</v>
      </c>
      <c r="AC356" s="6">
        <f>[1]Hybrid!AB53</f>
        <v>0.33504375409999998</v>
      </c>
      <c r="AD356" s="6">
        <f>[1]Hybrid!AC53</f>
        <v>0.33486178929999999</v>
      </c>
      <c r="AE356" s="6">
        <f>[1]Hybrid!AD53</f>
        <v>0.33441378500000002</v>
      </c>
      <c r="AF356" s="6">
        <f>[1]Hybrid!AE53</f>
        <v>0.33371259809999998</v>
      </c>
      <c r="AG356" s="6">
        <f>[1]Hybrid!AF53</f>
        <v>0.33277032779999999</v>
      </c>
      <c r="AH356" s="6">
        <f>[1]Hybrid!AG53</f>
        <v>0.33159804650000002</v>
      </c>
      <c r="AI356" s="6">
        <f>[1]Hybrid!AH53</f>
        <v>0.3302057981</v>
      </c>
      <c r="AJ356" s="6">
        <f>[1]Hybrid!AI53</f>
        <v>0.32860272779999999</v>
      </c>
      <c r="AK356" s="6">
        <f>[1]Hybrid!AJ53</f>
        <v>0.32679725659999997</v>
      </c>
      <c r="AL356" s="6">
        <f>[1]Hybrid!AK53</f>
        <v>0.32479724910000002</v>
      </c>
      <c r="AM356" s="6">
        <f>[1]Hybrid!AL53</f>
        <v>0.3225934875</v>
      </c>
      <c r="AN356" s="6">
        <f>[1]Hybrid!AM53</f>
        <v>0.32019506739999998</v>
      </c>
      <c r="AO356" s="6">
        <f>[1]Hybrid!AN53</f>
        <v>0.31761121279999999</v>
      </c>
      <c r="AP356" s="6">
        <f>[1]Hybrid!AO53</f>
        <v>0.3148512893</v>
      </c>
      <c r="AQ356" s="6">
        <f>[1]Hybrid!AP53</f>
        <v>0.31192457530000001</v>
      </c>
      <c r="AR356" s="6">
        <f>[1]Hybrid!AQ53</f>
        <v>0.30884063560000002</v>
      </c>
      <c r="AS356" s="6">
        <f>[1]Hybrid!AR53</f>
        <v>0.30560923220000002</v>
      </c>
      <c r="AT356" s="6">
        <f>[1]Hybrid!AS53</f>
        <v>0.3022376624</v>
      </c>
      <c r="AU356" s="6">
        <f>[1]Hybrid!AT53</f>
        <v>0.29873223850000002</v>
      </c>
      <c r="AV356" s="6">
        <f>[1]Hybrid!AU53</f>
        <v>0.29509911770000002</v>
      </c>
      <c r="AW356" s="6">
        <f>[1]Hybrid!AV53</f>
        <v>0.29134567259999999</v>
      </c>
      <c r="AX356" s="6">
        <f>[1]Hybrid!AW53</f>
        <v>0.28747814980000003</v>
      </c>
      <c r="AY356" s="6">
        <f>[1]Hybrid!AX53</f>
        <v>0.28350277060000001</v>
      </c>
      <c r="AZ356" s="6">
        <f>[1]Hybrid!AY53</f>
        <v>0.27942562869999998</v>
      </c>
      <c r="BA356" s="6">
        <f>[1]Hybrid!AZ53</f>
        <v>0.2752526434</v>
      </c>
      <c r="BB356" s="6">
        <f>[1]Hybrid!BA53</f>
        <v>0.27612346450000003</v>
      </c>
      <c r="BC356" s="6">
        <f>[1]Hybrid!BB53</f>
        <v>0.2717945819</v>
      </c>
      <c r="BD356" s="6">
        <f>[1]Hybrid!BC53</f>
        <v>0.26737305779999998</v>
      </c>
      <c r="BE356" s="6">
        <f>[1]Hybrid!BD53</f>
        <v>0.26286532150000003</v>
      </c>
      <c r="BF356" s="6">
        <f>[1]Hybrid!BE53</f>
        <v>0.25827777819999997</v>
      </c>
    </row>
    <row r="357" spans="1:58" x14ac:dyDescent="0.35">
      <c r="B357" s="6" t="str">
        <f>[1]Hybrid!A55</f>
        <v>auto_ce_cgas_0</v>
      </c>
      <c r="C357" s="6">
        <f>[1]Hybrid!B55</f>
        <v>0.15020246549999999</v>
      </c>
      <c r="D357" s="6">
        <f>[1]Hybrid!C55</f>
        <v>0.152130713</v>
      </c>
      <c r="E357" s="6">
        <f>[1]Hybrid!D55</f>
        <v>0.1547535786</v>
      </c>
      <c r="F357" s="6">
        <f>[1]Hybrid!E55</f>
        <v>0.1577198692</v>
      </c>
      <c r="G357" s="6">
        <f>[1]Hybrid!F55</f>
        <v>0.1608032704</v>
      </c>
      <c r="H357" s="6">
        <f>[1]Hybrid!G55</f>
        <v>0.16386115479999999</v>
      </c>
      <c r="I357" s="6">
        <f>[1]Hybrid!H55</f>
        <v>0.16678531229999999</v>
      </c>
      <c r="J357" s="6">
        <f>[1]Hybrid!I55</f>
        <v>0.16952136540000001</v>
      </c>
      <c r="K357" s="6">
        <f>[1]Hybrid!J55</f>
        <v>0.1720363057</v>
      </c>
      <c r="L357" s="6">
        <f>[1]Hybrid!K55</f>
        <v>0.1743106975</v>
      </c>
      <c r="M357" s="6">
        <f>[1]Hybrid!L55</f>
        <v>0.1763646415</v>
      </c>
      <c r="N357" s="6">
        <f>[1]Hybrid!M55</f>
        <v>0.17815945180000001</v>
      </c>
      <c r="O357" s="6">
        <f>[1]Hybrid!N55</f>
        <v>0.17969272729999999</v>
      </c>
      <c r="P357" s="6">
        <f>[1]Hybrid!O55</f>
        <v>0.18096453370000001</v>
      </c>
      <c r="Q357" s="6">
        <f>[1]Hybrid!P55</f>
        <v>0.18197724009999999</v>
      </c>
      <c r="R357" s="6">
        <f>[1]Hybrid!Q55</f>
        <v>0.18273509239999999</v>
      </c>
      <c r="S357" s="6">
        <f>[1]Hybrid!R55</f>
        <v>0.1832437365</v>
      </c>
      <c r="T357" s="6">
        <f>[1]Hybrid!S55</f>
        <v>0.1835098074</v>
      </c>
      <c r="U357" s="6">
        <f>[1]Hybrid!T55</f>
        <v>0.18354061320000001</v>
      </c>
      <c r="V357" s="6">
        <f>[1]Hybrid!U55</f>
        <v>0.18334391229999999</v>
      </c>
      <c r="W357" s="6">
        <f>[1]Hybrid!V55</f>
        <v>0.1829104778</v>
      </c>
      <c r="X357" s="6">
        <f>[1]Hybrid!W55</f>
        <v>0.18226772660000001</v>
      </c>
      <c r="Y357" s="6">
        <f>[1]Hybrid!X55</f>
        <v>0.18142446749999999</v>
      </c>
      <c r="Z357" s="6">
        <f>[1]Hybrid!Y55</f>
        <v>0.18038960849999999</v>
      </c>
      <c r="AA357" s="6">
        <f>[1]Hybrid!Z55</f>
        <v>0.17917187509999999</v>
      </c>
      <c r="AB357" s="6">
        <f>[1]Hybrid!AA55</f>
        <v>0.17773804900000001</v>
      </c>
      <c r="AC357" s="6">
        <f>[1]Hybrid!AB55</f>
        <v>0.1761240365</v>
      </c>
      <c r="AD357" s="6">
        <f>[1]Hybrid!AC55</f>
        <v>0.17434182770000001</v>
      </c>
      <c r="AE357" s="6">
        <f>[1]Hybrid!AD55</f>
        <v>0.17240367579999999</v>
      </c>
      <c r="AF357" s="6">
        <f>[1]Hybrid!AE55</f>
        <v>0.17032148220000001</v>
      </c>
      <c r="AG357" s="6">
        <f>[1]Hybrid!AF55</f>
        <v>0.16810649720000001</v>
      </c>
      <c r="AH357" s="6">
        <f>[1]Hybrid!AG55</f>
        <v>0.1657692345</v>
      </c>
      <c r="AI357" s="6">
        <f>[1]Hybrid!AH55</f>
        <v>0.1633194989</v>
      </c>
      <c r="AJ357" s="6">
        <f>[1]Hybrid!AI55</f>
        <v>0.1607664654</v>
      </c>
      <c r="AK357" s="6">
        <f>[1]Hybrid!AJ55</f>
        <v>0.15811877460000001</v>
      </c>
      <c r="AL357" s="6">
        <f>[1]Hybrid!AK55</f>
        <v>0.15538462119999999</v>
      </c>
      <c r="AM357" s="6">
        <f>[1]Hybrid!AL55</f>
        <v>0.1525655309</v>
      </c>
      <c r="AN357" s="6">
        <f>[1]Hybrid!AM55</f>
        <v>0.14967008439999999</v>
      </c>
      <c r="AO357" s="6">
        <f>[1]Hybrid!AN55</f>
        <v>0.14670669180000001</v>
      </c>
      <c r="AP357" s="6">
        <f>[1]Hybrid!AO55</f>
        <v>0.14368357130000001</v>
      </c>
      <c r="AQ357" s="6">
        <f>[1]Hybrid!AP55</f>
        <v>0.14060865989999999</v>
      </c>
      <c r="AR357" s="6">
        <f>[1]Hybrid!AQ55</f>
        <v>0.13748988179999999</v>
      </c>
      <c r="AS357" s="6">
        <f>[1]Hybrid!AR55</f>
        <v>0.1343352243</v>
      </c>
      <c r="AT357" s="6">
        <f>[1]Hybrid!AS55</f>
        <v>0.13115154079999999</v>
      </c>
      <c r="AU357" s="6">
        <f>[1]Hybrid!AT55</f>
        <v>0.12794500489999999</v>
      </c>
      <c r="AV357" s="6">
        <f>[1]Hybrid!AU55</f>
        <v>0.1247214195</v>
      </c>
      <c r="AW357" s="6">
        <f>[1]Hybrid!AV55</f>
        <v>0.12148669500000001</v>
      </c>
      <c r="AX357" s="6">
        <f>[1]Hybrid!AW55</f>
        <v>0.11824615419999999</v>
      </c>
      <c r="AY357" s="6">
        <f>[1]Hybrid!AX55</f>
        <v>0.1150049227</v>
      </c>
      <c r="AZ357" s="6">
        <f>[1]Hybrid!AY55</f>
        <v>0.11176791680000001</v>
      </c>
      <c r="BA357" s="6">
        <f>[1]Hybrid!AZ55</f>
        <v>0.1085398389</v>
      </c>
      <c r="BB357" s="6">
        <f>[1]Hybrid!BA55</f>
        <v>0.1053358968</v>
      </c>
      <c r="BC357" s="6">
        <f>[1]Hybrid!BB55</f>
        <v>0.1021107666</v>
      </c>
      <c r="BD357" s="6">
        <f>[1]Hybrid!BC55</f>
        <v>9.8906918499999996E-2</v>
      </c>
      <c r="BE357" s="6">
        <f>[1]Hybrid!BD55</f>
        <v>9.5728802700000004E-2</v>
      </c>
      <c r="BF357" s="6">
        <f>[1]Hybrid!BE55</f>
        <v>9.2580637699999996E-2</v>
      </c>
    </row>
    <row r="358" spans="1:58" x14ac:dyDescent="0.35">
      <c r="B358" s="6" t="str">
        <f>[1]Hybrid!A57</f>
        <v>auto_cf_cgas_0</v>
      </c>
      <c r="C358" s="6">
        <f>[1]Hybrid!B57</f>
        <v>7.4609436000000001E-2</v>
      </c>
      <c r="D358" s="6">
        <f>[1]Hybrid!C57</f>
        <v>7.5328608399999997E-2</v>
      </c>
      <c r="E358" s="6">
        <f>[1]Hybrid!D57</f>
        <v>7.6247260799999994E-2</v>
      </c>
      <c r="F358" s="6">
        <f>[1]Hybrid!E57</f>
        <v>7.7170956499999999E-2</v>
      </c>
      <c r="G358" s="6">
        <f>[1]Hybrid!F57</f>
        <v>7.7984561399999999E-2</v>
      </c>
      <c r="H358" s="6">
        <f>[1]Hybrid!G57</f>
        <v>7.8624179799999999E-2</v>
      </c>
      <c r="I358" s="6">
        <f>[1]Hybrid!H57</f>
        <v>7.9049933000000003E-2</v>
      </c>
      <c r="J358" s="6">
        <f>[1]Hybrid!I57</f>
        <v>7.9249967300000002E-2</v>
      </c>
      <c r="K358" s="6">
        <f>[1]Hybrid!J57</f>
        <v>7.9223956900000003E-2</v>
      </c>
      <c r="L358" s="6">
        <f>[1]Hybrid!K57</f>
        <v>7.8978377899999994E-2</v>
      </c>
      <c r="M358" s="6">
        <f>[1]Hybrid!L57</f>
        <v>7.8534171700000002E-2</v>
      </c>
      <c r="N358" s="6">
        <f>[1]Hybrid!M57</f>
        <v>7.7891788300000001E-2</v>
      </c>
      <c r="O358" s="6">
        <f>[1]Hybrid!N57</f>
        <v>7.7064896399999999E-2</v>
      </c>
      <c r="P358" s="6">
        <f>[1]Hybrid!O57</f>
        <v>7.6067885700000004E-2</v>
      </c>
      <c r="Q358" s="6">
        <f>[1]Hybrid!P57</f>
        <v>7.4915573499999999E-2</v>
      </c>
      <c r="R358" s="6">
        <f>[1]Hybrid!Q57</f>
        <v>7.3622907599999995E-2</v>
      </c>
      <c r="S358" s="6">
        <f>[1]Hybrid!R57</f>
        <v>7.22047153E-2</v>
      </c>
      <c r="T358" s="6">
        <f>[1]Hybrid!S57</f>
        <v>7.0675510499999997E-2</v>
      </c>
      <c r="U358" s="6">
        <f>[1]Hybrid!T57</f>
        <v>6.9049353199999997E-2</v>
      </c>
      <c r="V358" s="6">
        <f>[1]Hybrid!U57</f>
        <v>6.7339750899999995E-2</v>
      </c>
      <c r="W358" s="6">
        <f>[1]Hybrid!V57</f>
        <v>6.5555869500000002E-2</v>
      </c>
      <c r="X358" s="6">
        <f>[1]Hybrid!W57</f>
        <v>6.37143929E-2</v>
      </c>
      <c r="Y358" s="6">
        <f>[1]Hybrid!X57</f>
        <v>6.1826898700000001E-2</v>
      </c>
      <c r="Z358" s="6">
        <f>[1]Hybrid!Y57</f>
        <v>5.9904211200000002E-2</v>
      </c>
      <c r="AA358" s="6">
        <f>[1]Hybrid!Z57</f>
        <v>5.7956382799999998E-2</v>
      </c>
      <c r="AB358" s="6">
        <f>[1]Hybrid!AA57</f>
        <v>5.5985815500000001E-2</v>
      </c>
      <c r="AC358" s="6">
        <f>[1]Hybrid!AB57</f>
        <v>5.4006484200000003E-2</v>
      </c>
      <c r="AD358" s="6">
        <f>[1]Hybrid!AC57</f>
        <v>5.2027221999999998E-2</v>
      </c>
      <c r="AE358" s="6">
        <f>[1]Hybrid!AD57</f>
        <v>5.0056050800000002E-2</v>
      </c>
      <c r="AF358" s="6">
        <f>[1]Hybrid!AE57</f>
        <v>4.8100145300000001E-2</v>
      </c>
      <c r="AG358" s="6">
        <f>[1]Hybrid!AF57</f>
        <v>4.6165854800000003E-2</v>
      </c>
      <c r="AH358" s="6">
        <f>[1]Hybrid!AG57</f>
        <v>4.4258753599999999E-2</v>
      </c>
      <c r="AI358" s="6">
        <f>[1]Hybrid!AH57</f>
        <v>4.2383701900000001E-2</v>
      </c>
      <c r="AJ358" s="6">
        <f>[1]Hybrid!AI57</f>
        <v>4.05449077E-2</v>
      </c>
      <c r="AK358" s="6">
        <f>[1]Hybrid!AJ57</f>
        <v>3.8745987099999997E-2</v>
      </c>
      <c r="AL358" s="6">
        <f>[1]Hybrid!AK57</f>
        <v>3.6990017899999998E-2</v>
      </c>
      <c r="AM358" s="6">
        <f>[1]Hybrid!AL57</f>
        <v>3.52790537E-2</v>
      </c>
      <c r="AN358" s="6">
        <f>[1]Hybrid!AM57</f>
        <v>3.3615421800000003E-2</v>
      </c>
      <c r="AO358" s="6">
        <f>[1]Hybrid!AN57</f>
        <v>3.20010243E-2</v>
      </c>
      <c r="AP358" s="6">
        <f>[1]Hybrid!AO57</f>
        <v>3.0437362400000001E-2</v>
      </c>
      <c r="AQ358" s="6">
        <f>[1]Hybrid!AP57</f>
        <v>2.89255598E-2</v>
      </c>
      <c r="AR358" s="6">
        <f>[1]Hybrid!AQ57</f>
        <v>2.7466438400000001E-2</v>
      </c>
      <c r="AS358" s="6">
        <f>[1]Hybrid!AR57</f>
        <v>2.6060562499999999E-2</v>
      </c>
      <c r="AT358" s="6">
        <f>[1]Hybrid!AS57</f>
        <v>2.4708134600000001E-2</v>
      </c>
      <c r="AU358" s="6">
        <f>[1]Hybrid!AT57</f>
        <v>2.3409047400000001E-2</v>
      </c>
      <c r="AV358" s="6">
        <f>[1]Hybrid!AU57</f>
        <v>2.2162939E-2</v>
      </c>
      <c r="AW358" s="6">
        <f>[1]Hybrid!AV57</f>
        <v>2.0969251599999999E-2</v>
      </c>
      <c r="AX358" s="6">
        <f>[1]Hybrid!AW57</f>
        <v>1.9827232199999999E-2</v>
      </c>
      <c r="AY358" s="6">
        <f>[1]Hybrid!AX57</f>
        <v>1.87359782E-2</v>
      </c>
      <c r="AZ358" s="6">
        <f>[1]Hybrid!AY57</f>
        <v>1.7694457800000001E-2</v>
      </c>
      <c r="BA358" s="6">
        <f>[1]Hybrid!AZ57</f>
        <v>1.67015288E-2</v>
      </c>
      <c r="BB358" s="6">
        <f>[1]Hybrid!BA57</f>
        <v>1.52630786E-2</v>
      </c>
      <c r="BC358" s="6">
        <f>[1]Hybrid!BB57</f>
        <v>1.43817345E-2</v>
      </c>
      <c r="BD358" s="6">
        <f>[1]Hybrid!BC57</f>
        <v>1.35451741E-2</v>
      </c>
      <c r="BE358" s="6">
        <f>[1]Hybrid!BD57</f>
        <v>1.2751882000000001E-2</v>
      </c>
      <c r="BF358" s="6">
        <f>[1]Hybrid!BE57</f>
        <v>1.20003032E-2</v>
      </c>
    </row>
    <row r="359" spans="1:58" x14ac:dyDescent="0.35">
      <c r="B359" s="6" t="str">
        <f>[1]Hybrid!A59</f>
        <v>auto_cg_cgas_0</v>
      </c>
      <c r="C359" s="6">
        <f>[1]Hybrid!B59</f>
        <v>0.13435819299999999</v>
      </c>
      <c r="D359" s="6">
        <f>[1]Hybrid!C59</f>
        <v>0.13591942570000001</v>
      </c>
      <c r="E359" s="6">
        <f>[1]Hybrid!D59</f>
        <v>0.13760958470000001</v>
      </c>
      <c r="F359" s="6">
        <f>[1]Hybrid!E59</f>
        <v>0.13904145579999999</v>
      </c>
      <c r="G359" s="6">
        <f>[1]Hybrid!F59</f>
        <v>0.1400091041</v>
      </c>
      <c r="H359" s="6">
        <f>[1]Hybrid!G59</f>
        <v>0.14041981949999999</v>
      </c>
      <c r="I359" s="6">
        <f>[1]Hybrid!H59</f>
        <v>0.14023589380000001</v>
      </c>
      <c r="J359" s="6">
        <f>[1]Hybrid!I59</f>
        <v>0.13947317980000001</v>
      </c>
      <c r="K359" s="6">
        <f>[1]Hybrid!J59</f>
        <v>0.13816851860000001</v>
      </c>
      <c r="L359" s="6">
        <f>[1]Hybrid!K59</f>
        <v>0.13636933200000001</v>
      </c>
      <c r="M359" s="6">
        <f>[1]Hybrid!L59</f>
        <v>0.13414209730000001</v>
      </c>
      <c r="N359" s="6">
        <f>[1]Hybrid!M59</f>
        <v>0.13152207569999999</v>
      </c>
      <c r="O359" s="6">
        <f>[1]Hybrid!N59</f>
        <v>0.12856132479999999</v>
      </c>
      <c r="P359" s="6">
        <f>[1]Hybrid!O59</f>
        <v>0.1253101965</v>
      </c>
      <c r="Q359" s="6">
        <f>[1]Hybrid!P59</f>
        <v>0.1218167034</v>
      </c>
      <c r="R359" s="6">
        <f>[1]Hybrid!Q59</f>
        <v>0.11812604</v>
      </c>
      <c r="S359" s="6">
        <f>[1]Hybrid!R59</f>
        <v>0.1142802691</v>
      </c>
      <c r="T359" s="6">
        <f>[1]Hybrid!S59</f>
        <v>0.11031815170000001</v>
      </c>
      <c r="U359" s="6">
        <f>[1]Hybrid!T59</f>
        <v>0.10627508350000001</v>
      </c>
      <c r="V359" s="6">
        <f>[1]Hybrid!U59</f>
        <v>0.1021831113</v>
      </c>
      <c r="W359" s="6">
        <f>[1]Hybrid!V59</f>
        <v>9.8067580200000004E-2</v>
      </c>
      <c r="X359" s="6">
        <f>[1]Hybrid!W59</f>
        <v>9.3958455400000002E-2</v>
      </c>
      <c r="Y359" s="6">
        <f>[1]Hybrid!X59</f>
        <v>8.9878306800000002E-2</v>
      </c>
      <c r="Z359" s="6">
        <f>[1]Hybrid!Y59</f>
        <v>8.5846782600000004E-2</v>
      </c>
      <c r="AA359" s="6">
        <f>[1]Hybrid!Z59</f>
        <v>8.18808065E-2</v>
      </c>
      <c r="AB359" s="6">
        <f>[1]Hybrid!AA59</f>
        <v>7.7989760800000002E-2</v>
      </c>
      <c r="AC359" s="6">
        <f>[1]Hybrid!AB59</f>
        <v>7.4190183199999996E-2</v>
      </c>
      <c r="AD359" s="6">
        <f>[1]Hybrid!AC59</f>
        <v>7.0492881100000002E-2</v>
      </c>
      <c r="AE359" s="6">
        <f>[1]Hybrid!AD59</f>
        <v>6.6906504800000002E-2</v>
      </c>
      <c r="AF359" s="6">
        <f>[1]Hybrid!AE59</f>
        <v>6.3437734699999998E-2</v>
      </c>
      <c r="AG359" s="6">
        <f>[1]Hybrid!AF59</f>
        <v>6.0091496899999999E-2</v>
      </c>
      <c r="AH359" s="6">
        <f>[1]Hybrid!AG59</f>
        <v>5.6871177199999998E-2</v>
      </c>
      <c r="AI359" s="6">
        <f>[1]Hybrid!AH59</f>
        <v>5.3778821900000003E-2</v>
      </c>
      <c r="AJ359" s="6">
        <f>[1]Hybrid!AI59</f>
        <v>5.0815321599999998E-2</v>
      </c>
      <c r="AK359" s="6">
        <f>[1]Hybrid!AJ59</f>
        <v>4.7980577099999998E-2</v>
      </c>
      <c r="AL359" s="6">
        <f>[1]Hybrid!AK59</f>
        <v>4.52736465E-2</v>
      </c>
      <c r="AM359" s="6">
        <f>[1]Hybrid!AL59</f>
        <v>4.2692659700000003E-2</v>
      </c>
      <c r="AN359" s="6">
        <f>[1]Hybrid!AM59</f>
        <v>4.0235471799999999E-2</v>
      </c>
      <c r="AO359" s="6">
        <f>[1]Hybrid!AN59</f>
        <v>3.78994224E-2</v>
      </c>
      <c r="AP359" s="6">
        <f>[1]Hybrid!AO59</f>
        <v>3.5681421999999997E-2</v>
      </c>
      <c r="AQ359" s="6">
        <f>[1]Hybrid!AP59</f>
        <v>3.3578033200000003E-2</v>
      </c>
      <c r="AR359" s="6">
        <f>[1]Hybrid!AQ59</f>
        <v>3.15855658E-2</v>
      </c>
      <c r="AS359" s="6">
        <f>[1]Hybrid!AR59</f>
        <v>2.9700146100000002E-2</v>
      </c>
      <c r="AT359" s="6">
        <f>[1]Hybrid!AS59</f>
        <v>2.7917722499999999E-2</v>
      </c>
      <c r="AU359" s="6">
        <f>[1]Hybrid!AT59</f>
        <v>2.6234127100000001E-2</v>
      </c>
      <c r="AV359" s="6">
        <f>[1]Hybrid!AU59</f>
        <v>2.4645134499999999E-2</v>
      </c>
      <c r="AW359" s="6">
        <f>[1]Hybrid!AV59</f>
        <v>2.31465117E-2</v>
      </c>
      <c r="AX359" s="6">
        <f>[1]Hybrid!AW59</f>
        <v>2.1734048700000001E-2</v>
      </c>
      <c r="AY359" s="6">
        <f>[1]Hybrid!AX59</f>
        <v>2.0403591799999999E-2</v>
      </c>
      <c r="AZ359" s="6">
        <f>[1]Hybrid!AY59</f>
        <v>1.9151066599999999E-2</v>
      </c>
      <c r="BA359" s="6">
        <f>[1]Hybrid!AZ59</f>
        <v>1.7972496099999999E-2</v>
      </c>
      <c r="BB359" s="6">
        <f>[1]Hybrid!BA59</f>
        <v>1.6384401199999999E-2</v>
      </c>
      <c r="BC359" s="6">
        <f>[1]Hybrid!BB59</f>
        <v>1.53693497E-2</v>
      </c>
      <c r="BD359" s="6">
        <f>[1]Hybrid!BC59</f>
        <v>1.44158467E-2</v>
      </c>
      <c r="BE359" s="6">
        <f>[1]Hybrid!BD59</f>
        <v>1.35204174E-2</v>
      </c>
      <c r="BF359" s="6">
        <f>[1]Hybrid!BE59</f>
        <v>1.26797366E-2</v>
      </c>
    </row>
    <row r="361" spans="1:58" x14ac:dyDescent="0.35">
      <c r="A361" s="12" t="s">
        <v>90</v>
      </c>
      <c r="B361" t="s">
        <v>56</v>
      </c>
      <c r="C361" s="2">
        <v>42005</v>
      </c>
      <c r="D361" s="2">
        <v>42370</v>
      </c>
      <c r="E361" s="2">
        <v>42736</v>
      </c>
      <c r="F361" s="2">
        <v>43101</v>
      </c>
      <c r="G361" s="2">
        <v>43466</v>
      </c>
      <c r="H361" s="2">
        <v>43831</v>
      </c>
      <c r="I361" s="2">
        <v>44197</v>
      </c>
      <c r="J361" s="2">
        <v>44562</v>
      </c>
      <c r="K361" s="2">
        <v>44927</v>
      </c>
      <c r="L361" s="2">
        <v>45292</v>
      </c>
      <c r="M361" s="2">
        <v>45658</v>
      </c>
      <c r="N361" s="2">
        <v>46023</v>
      </c>
      <c r="O361" s="2">
        <v>46388</v>
      </c>
      <c r="P361" s="2">
        <v>46753</v>
      </c>
      <c r="Q361" s="2">
        <v>47119</v>
      </c>
      <c r="R361" s="2">
        <v>47484</v>
      </c>
      <c r="S361" s="2">
        <v>47849</v>
      </c>
      <c r="T361" s="2">
        <v>48214</v>
      </c>
      <c r="U361" s="2">
        <v>48580</v>
      </c>
      <c r="V361" s="2">
        <v>48945</v>
      </c>
      <c r="W361" s="2">
        <v>49310</v>
      </c>
      <c r="X361" s="2">
        <v>49675</v>
      </c>
      <c r="Y361" s="2">
        <v>50041</v>
      </c>
      <c r="Z361" s="2">
        <v>50406</v>
      </c>
      <c r="AA361" s="2">
        <v>50771</v>
      </c>
      <c r="AB361" s="2">
        <v>51136</v>
      </c>
      <c r="AC361" s="2">
        <v>51502</v>
      </c>
      <c r="AD361" s="2">
        <v>51867</v>
      </c>
      <c r="AE361" s="2">
        <v>52232</v>
      </c>
      <c r="AF361" s="2">
        <v>52597</v>
      </c>
      <c r="AG361" s="2">
        <v>52963</v>
      </c>
      <c r="AH361" s="2">
        <v>53328</v>
      </c>
      <c r="AI361" s="2">
        <v>53693</v>
      </c>
      <c r="AJ361" s="2">
        <v>54058</v>
      </c>
      <c r="AK361" s="2">
        <v>54424</v>
      </c>
      <c r="AL361" s="2">
        <v>54789</v>
      </c>
      <c r="AM361" s="2">
        <v>54790</v>
      </c>
      <c r="AN361" s="2">
        <v>54791</v>
      </c>
      <c r="AO361" s="2">
        <v>54792</v>
      </c>
      <c r="AP361" s="2">
        <v>54793</v>
      </c>
      <c r="AQ361" s="2">
        <v>54794</v>
      </c>
      <c r="AR361" s="2">
        <v>54795</v>
      </c>
      <c r="AS361" s="2">
        <v>54796</v>
      </c>
      <c r="AT361" s="2">
        <v>54797</v>
      </c>
      <c r="AU361" s="2">
        <v>54798</v>
      </c>
      <c r="AV361" s="2">
        <v>54799</v>
      </c>
      <c r="AW361" s="2">
        <v>54800</v>
      </c>
      <c r="AX361" s="2">
        <v>54801</v>
      </c>
      <c r="AY361" s="2">
        <v>54802</v>
      </c>
      <c r="AZ361" s="2">
        <v>54803</v>
      </c>
      <c r="BA361" s="2">
        <v>54804</v>
      </c>
      <c r="BB361" s="2">
        <v>54805</v>
      </c>
      <c r="BC361" s="2">
        <v>54806</v>
      </c>
      <c r="BD361" s="2">
        <v>54807</v>
      </c>
      <c r="BE361" s="2">
        <v>54808</v>
      </c>
      <c r="BF361" s="2">
        <v>54809</v>
      </c>
    </row>
    <row r="362" spans="1:58" x14ac:dyDescent="0.35">
      <c r="A362" t="s">
        <v>38</v>
      </c>
      <c r="B362" t="s">
        <v>96</v>
      </c>
      <c r="C362" s="6">
        <f>C339+C346+C353</f>
        <v>7105.9689965623002</v>
      </c>
      <c r="D362" s="6">
        <f t="shared" ref="D362:AL362" si="207">D339+D346+D353</f>
        <v>7160.6948617887992</v>
      </c>
      <c r="E362" s="6">
        <f t="shared" si="207"/>
        <v>7267.2016510306994</v>
      </c>
      <c r="F362" s="6">
        <f t="shared" si="207"/>
        <v>7408.6454739172004</v>
      </c>
      <c r="G362" s="6">
        <f t="shared" si="207"/>
        <v>7573.7570205226002</v>
      </c>
      <c r="H362" s="6">
        <f t="shared" si="207"/>
        <v>7755.1232353944997</v>
      </c>
      <c r="I362" s="6">
        <f t="shared" si="207"/>
        <v>7946.7010169359992</v>
      </c>
      <c r="J362" s="6">
        <f t="shared" si="207"/>
        <v>8145.2371402804001</v>
      </c>
      <c r="K362" s="6">
        <f t="shared" si="207"/>
        <v>8348.5410830994006</v>
      </c>
      <c r="L362" s="6">
        <f t="shared" si="207"/>
        <v>8555.1229546066006</v>
      </c>
      <c r="M362" s="6">
        <f t="shared" si="207"/>
        <v>8766.0700795026023</v>
      </c>
      <c r="N362" s="6">
        <f t="shared" si="207"/>
        <v>8978.4617788713003</v>
      </c>
      <c r="O362" s="6">
        <f t="shared" si="207"/>
        <v>9191.723870901902</v>
      </c>
      <c r="P362" s="6">
        <f t="shared" si="207"/>
        <v>9405.3971121287996</v>
      </c>
      <c r="Q362" s="6">
        <f t="shared" si="207"/>
        <v>9619.1483289338012</v>
      </c>
      <c r="R362" s="6">
        <f t="shared" si="207"/>
        <v>9832.7544059165994</v>
      </c>
      <c r="S362" s="6">
        <f t="shared" si="207"/>
        <v>10046.0759052624</v>
      </c>
      <c r="T362" s="6">
        <f t="shared" si="207"/>
        <v>10259.0313703462</v>
      </c>
      <c r="U362" s="6">
        <f t="shared" si="207"/>
        <v>10471.576739174501</v>
      </c>
      <c r="V362" s="6">
        <f t="shared" si="207"/>
        <v>10683.690803918302</v>
      </c>
      <c r="W362" s="6">
        <f t="shared" si="207"/>
        <v>10893.7134499314</v>
      </c>
      <c r="X362" s="6">
        <f t="shared" si="207"/>
        <v>11103.384945080999</v>
      </c>
      <c r="Y362" s="6">
        <f t="shared" si="207"/>
        <v>11312.749673828001</v>
      </c>
      <c r="Z362" s="6">
        <f t="shared" si="207"/>
        <v>11521.876925856001</v>
      </c>
      <c r="AA362" s="6">
        <f t="shared" si="207"/>
        <v>11730.824383528001</v>
      </c>
      <c r="AB362" s="6">
        <f t="shared" si="207"/>
        <v>11934.79646766</v>
      </c>
      <c r="AC362" s="6">
        <f t="shared" si="207"/>
        <v>12136.621347543998</v>
      </c>
      <c r="AD362" s="6">
        <f t="shared" si="207"/>
        <v>12336.523596199</v>
      </c>
      <c r="AE362" s="6">
        <f t="shared" si="207"/>
        <v>12534.834788775999</v>
      </c>
      <c r="AF362" s="6">
        <f t="shared" si="207"/>
        <v>12731.915793854001</v>
      </c>
      <c r="AG362" s="6">
        <f t="shared" si="207"/>
        <v>12928.111430605</v>
      </c>
      <c r="AH362" s="6">
        <f t="shared" si="207"/>
        <v>13123.731636716999</v>
      </c>
      <c r="AI362" s="6">
        <f t="shared" si="207"/>
        <v>13319.048679818001</v>
      </c>
      <c r="AJ362" s="6">
        <f t="shared" si="207"/>
        <v>13514.302372167</v>
      </c>
      <c r="AK362" s="6">
        <f t="shared" si="207"/>
        <v>13709.70829561</v>
      </c>
      <c r="AL362" s="6">
        <f t="shared" si="207"/>
        <v>13905.465907018999</v>
      </c>
      <c r="AM362" s="6">
        <f t="shared" ref="AM362:BC362" si="208">AM339+AM346+AM353</f>
        <v>14100.580964687999</v>
      </c>
      <c r="AN362" s="6">
        <f t="shared" si="208"/>
        <v>14295.292058429</v>
      </c>
      <c r="AO362" s="6">
        <f t="shared" si="208"/>
        <v>14489.860219312999</v>
      </c>
      <c r="AP362" s="6">
        <f t="shared" si="208"/>
        <v>14684.579545771001</v>
      </c>
      <c r="AQ362" s="6">
        <f t="shared" si="208"/>
        <v>14879.763746092998</v>
      </c>
      <c r="AR362" s="6">
        <f t="shared" si="208"/>
        <v>15075.724509038999</v>
      </c>
      <c r="AS362" s="6">
        <f t="shared" si="208"/>
        <v>15272.712276076001</v>
      </c>
      <c r="AT362" s="6">
        <f t="shared" si="208"/>
        <v>15470.802860200001</v>
      </c>
      <c r="AU362" s="6">
        <f t="shared" si="208"/>
        <v>15670.052179234001</v>
      </c>
      <c r="AV362" s="6">
        <f t="shared" si="208"/>
        <v>15870.565572930998</v>
      </c>
      <c r="AW362" s="6">
        <f t="shared" si="208"/>
        <v>16072.61496391</v>
      </c>
      <c r="AX362" s="6">
        <f t="shared" si="208"/>
        <v>16276.401881835</v>
      </c>
      <c r="AY362" s="6">
        <f t="shared" si="208"/>
        <v>16482.144660503</v>
      </c>
      <c r="AZ362" s="6">
        <f t="shared" si="208"/>
        <v>16690.059443763999</v>
      </c>
      <c r="BA362" s="6">
        <f t="shared" si="208"/>
        <v>16900.350459767</v>
      </c>
      <c r="BB362" s="6">
        <f t="shared" si="208"/>
        <v>18138.462713126002</v>
      </c>
      <c r="BC362" s="6">
        <f t="shared" si="208"/>
        <v>18399.003174058998</v>
      </c>
      <c r="BD362" s="6">
        <f t="shared" ref="BD362:BF362" si="209">BD339+BD346+BD353</f>
        <v>18662.39411841</v>
      </c>
      <c r="BE362" s="6">
        <f t="shared" si="209"/>
        <v>18928.757421561997</v>
      </c>
      <c r="BF362" s="6">
        <f t="shared" si="209"/>
        <v>19198.222028710999</v>
      </c>
    </row>
    <row r="363" spans="1:58" x14ac:dyDescent="0.35">
      <c r="B363" t="s">
        <v>97</v>
      </c>
      <c r="C363" s="6">
        <f t="shared" ref="C363:AL363" si="210">C340+C347+C354</f>
        <v>8263.1971436354015</v>
      </c>
      <c r="D363" s="6">
        <f t="shared" si="210"/>
        <v>8203.0117483759986</v>
      </c>
      <c r="E363" s="6">
        <f t="shared" si="210"/>
        <v>8200.1598386532005</v>
      </c>
      <c r="F363" s="6">
        <f t="shared" si="210"/>
        <v>8237.5325578123011</v>
      </c>
      <c r="G363" s="6">
        <f t="shared" si="210"/>
        <v>8303.5410686185005</v>
      </c>
      <c r="H363" s="6">
        <f t="shared" si="210"/>
        <v>8390.4130966972989</v>
      </c>
      <c r="I363" s="6">
        <f t="shared" si="210"/>
        <v>8491.7866568386999</v>
      </c>
      <c r="J363" s="6">
        <f t="shared" si="210"/>
        <v>8604.0323158679003</v>
      </c>
      <c r="K363" s="6">
        <f t="shared" si="210"/>
        <v>8724.5887609068013</v>
      </c>
      <c r="L363" s="6">
        <f t="shared" si="210"/>
        <v>8851.6059869722994</v>
      </c>
      <c r="M363" s="6">
        <f t="shared" si="210"/>
        <v>8985.6928706186991</v>
      </c>
      <c r="N363" s="6">
        <f t="shared" si="210"/>
        <v>9123.7260072665013</v>
      </c>
      <c r="O363" s="6">
        <f t="shared" si="210"/>
        <v>9264.8232020795986</v>
      </c>
      <c r="P363" s="6">
        <f t="shared" si="210"/>
        <v>9408.2391240452016</v>
      </c>
      <c r="Q363" s="6">
        <f t="shared" si="210"/>
        <v>9553.3716957751003</v>
      </c>
      <c r="R363" s="6">
        <f t="shared" si="210"/>
        <v>9699.7439759311001</v>
      </c>
      <c r="S363" s="6">
        <f t="shared" si="210"/>
        <v>9846.9771091390012</v>
      </c>
      <c r="T363" s="6">
        <f t="shared" si="210"/>
        <v>9994.7644381443006</v>
      </c>
      <c r="U363" s="6">
        <f t="shared" si="210"/>
        <v>10142.8507022088</v>
      </c>
      <c r="V363" s="6">
        <f t="shared" si="210"/>
        <v>10291.017152926201</v>
      </c>
      <c r="W363" s="6">
        <f t="shared" si="210"/>
        <v>10437.5708889784</v>
      </c>
      <c r="X363" s="6">
        <f t="shared" si="210"/>
        <v>10583.930235391801</v>
      </c>
      <c r="Y363" s="6">
        <f t="shared" si="210"/>
        <v>10729.975033758799</v>
      </c>
      <c r="Z363" s="6">
        <f t="shared" si="210"/>
        <v>10875.616504649999</v>
      </c>
      <c r="AA363" s="6">
        <f t="shared" si="210"/>
        <v>11020.764160189001</v>
      </c>
      <c r="AB363" s="6">
        <f t="shared" si="210"/>
        <v>11161.007870760001</v>
      </c>
      <c r="AC363" s="6">
        <f t="shared" si="210"/>
        <v>11298.783592288</v>
      </c>
      <c r="AD363" s="6">
        <f t="shared" si="210"/>
        <v>11434.196457324</v>
      </c>
      <c r="AE363" s="6">
        <f t="shared" si="210"/>
        <v>11567.447973867</v>
      </c>
      <c r="AF363" s="6">
        <f t="shared" si="210"/>
        <v>11698.766505733001</v>
      </c>
      <c r="AG363" s="6">
        <f t="shared" si="210"/>
        <v>11828.366822355001</v>
      </c>
      <c r="AH363" s="6">
        <f t="shared" si="210"/>
        <v>11956.433511419</v>
      </c>
      <c r="AI363" s="6">
        <f t="shared" si="210"/>
        <v>12083.118274518001</v>
      </c>
      <c r="AJ363" s="6">
        <f t="shared" si="210"/>
        <v>12208.544462915001</v>
      </c>
      <c r="AK363" s="6">
        <f t="shared" si="210"/>
        <v>12332.813995306</v>
      </c>
      <c r="AL363" s="6">
        <f t="shared" si="210"/>
        <v>12456.014291293</v>
      </c>
      <c r="AM363" s="6">
        <f t="shared" ref="AM363:BC363" si="211">AM340+AM347+AM354</f>
        <v>12577.215269906999</v>
      </c>
      <c r="AN363" s="6">
        <f t="shared" si="211"/>
        <v>12696.549801357</v>
      </c>
      <c r="AO363" s="6">
        <f t="shared" si="211"/>
        <v>12814.169221272001</v>
      </c>
      <c r="AP363" s="6">
        <f t="shared" si="211"/>
        <v>12930.250710226999</v>
      </c>
      <c r="AQ363" s="6">
        <f t="shared" si="211"/>
        <v>13044.984886753</v>
      </c>
      <c r="AR363" s="6">
        <f t="shared" si="211"/>
        <v>13158.564223186</v>
      </c>
      <c r="AS363" s="6">
        <f t="shared" si="211"/>
        <v>13271.140852938999</v>
      </c>
      <c r="AT363" s="6">
        <f t="shared" si="211"/>
        <v>13382.718717931999</v>
      </c>
      <c r="AU363" s="6">
        <f t="shared" si="211"/>
        <v>13493.277661595001</v>
      </c>
      <c r="AV363" s="6">
        <f t="shared" si="211"/>
        <v>13602.830070733</v>
      </c>
      <c r="AW363" s="6">
        <f t="shared" si="211"/>
        <v>13711.516944802999</v>
      </c>
      <c r="AX363" s="6">
        <f t="shared" si="211"/>
        <v>13819.415651185</v>
      </c>
      <c r="AY363" s="6">
        <f t="shared" si="211"/>
        <v>13926.612792016</v>
      </c>
      <c r="AZ363" s="6">
        <f t="shared" si="211"/>
        <v>14033.189559473998</v>
      </c>
      <c r="BA363" s="6">
        <f t="shared" si="211"/>
        <v>14139.214195543</v>
      </c>
      <c r="BB363" s="6">
        <f t="shared" si="211"/>
        <v>14996.21756279</v>
      </c>
      <c r="BC363" s="6">
        <f t="shared" si="211"/>
        <v>15129.646392897999</v>
      </c>
      <c r="BD363" s="6">
        <f t="shared" ref="BD363:BF363" si="212">BD340+BD347+BD354</f>
        <v>15262.201480284999</v>
      </c>
      <c r="BE363" s="6">
        <f t="shared" si="212"/>
        <v>15393.885615662</v>
      </c>
      <c r="BF363" s="6">
        <f t="shared" si="212"/>
        <v>15524.704529986</v>
      </c>
    </row>
    <row r="364" spans="1:58" x14ac:dyDescent="0.35">
      <c r="B364" t="s">
        <v>98</v>
      </c>
      <c r="C364" s="6">
        <f t="shared" ref="C364:AL364" si="213">C341+C348+C355</f>
        <v>6787.4105911386005</v>
      </c>
      <c r="D364" s="6">
        <f t="shared" si="213"/>
        <v>6662.2684954960996</v>
      </c>
      <c r="E364" s="6">
        <f t="shared" si="213"/>
        <v>6582.5202534272994</v>
      </c>
      <c r="F364" s="6">
        <f t="shared" si="213"/>
        <v>6535.6477003606997</v>
      </c>
      <c r="G364" s="6">
        <f t="shared" si="213"/>
        <v>6513.0733241015996</v>
      </c>
      <c r="H364" s="6">
        <f t="shared" si="213"/>
        <v>6508.9433128991996</v>
      </c>
      <c r="I364" s="6">
        <f t="shared" si="213"/>
        <v>6518.4479823941001</v>
      </c>
      <c r="J364" s="6">
        <f t="shared" si="213"/>
        <v>6538.7086499828001</v>
      </c>
      <c r="K364" s="6">
        <f t="shared" si="213"/>
        <v>6567.6209960565002</v>
      </c>
      <c r="L364" s="6">
        <f t="shared" si="213"/>
        <v>6603.6016465743005</v>
      </c>
      <c r="M364" s="6">
        <f t="shared" si="213"/>
        <v>6646.7614988673995</v>
      </c>
      <c r="N364" s="6">
        <f t="shared" si="213"/>
        <v>6694.7079345557004</v>
      </c>
      <c r="O364" s="6">
        <f t="shared" si="213"/>
        <v>6746.5940774606006</v>
      </c>
      <c r="P364" s="6">
        <f t="shared" si="213"/>
        <v>6801.6876388966002</v>
      </c>
      <c r="Q364" s="6">
        <f t="shared" si="213"/>
        <v>6859.3723898298003</v>
      </c>
      <c r="R364" s="6">
        <f t="shared" si="213"/>
        <v>6919.1336867688997</v>
      </c>
      <c r="S364" s="6">
        <f t="shared" si="213"/>
        <v>6980.5385025096002</v>
      </c>
      <c r="T364" s="6">
        <f t="shared" si="213"/>
        <v>7043.2166136998003</v>
      </c>
      <c r="U364" s="6">
        <f t="shared" si="213"/>
        <v>7106.8454292169999</v>
      </c>
      <c r="V364" s="6">
        <f t="shared" si="213"/>
        <v>7171.1389268548</v>
      </c>
      <c r="W364" s="6">
        <f t="shared" si="213"/>
        <v>7234.8568294871002</v>
      </c>
      <c r="X364" s="6">
        <f t="shared" si="213"/>
        <v>7298.8144134085996</v>
      </c>
      <c r="Y364" s="6">
        <f t="shared" si="213"/>
        <v>7362.8220555744001</v>
      </c>
      <c r="Z364" s="6">
        <f t="shared" si="213"/>
        <v>7426.718350831201</v>
      </c>
      <c r="AA364" s="6">
        <f t="shared" si="213"/>
        <v>7490.3483132469009</v>
      </c>
      <c r="AB364" s="6">
        <f t="shared" si="213"/>
        <v>7550.7846407831994</v>
      </c>
      <c r="AC364" s="6">
        <f t="shared" si="213"/>
        <v>7609.537357453999</v>
      </c>
      <c r="AD364" s="6">
        <f t="shared" si="213"/>
        <v>7666.6123476469993</v>
      </c>
      <c r="AE364" s="6">
        <f t="shared" si="213"/>
        <v>7722.0797283092998</v>
      </c>
      <c r="AF364" s="6">
        <f t="shared" si="213"/>
        <v>7776.0287949651001</v>
      </c>
      <c r="AG364" s="6">
        <f t="shared" si="213"/>
        <v>7828.5420990510993</v>
      </c>
      <c r="AH364" s="6">
        <f t="shared" si="213"/>
        <v>7879.6848099957997</v>
      </c>
      <c r="AI364" s="6">
        <f t="shared" si="213"/>
        <v>7929.5029417812002</v>
      </c>
      <c r="AJ364" s="6">
        <f t="shared" si="213"/>
        <v>7978.0260838758004</v>
      </c>
      <c r="AK364" s="6">
        <f t="shared" si="213"/>
        <v>8025.2717350026996</v>
      </c>
      <c r="AL364" s="6">
        <f t="shared" si="213"/>
        <v>8071.2495296039997</v>
      </c>
      <c r="AM364" s="6">
        <f t="shared" ref="AM364:BC364" si="214">AM341+AM348+AM355</f>
        <v>8115.3445325305011</v>
      </c>
      <c r="AN364" s="6">
        <f t="shared" si="214"/>
        <v>8157.6047792712998</v>
      </c>
      <c r="AO364" s="6">
        <f t="shared" si="214"/>
        <v>8198.0907759775</v>
      </c>
      <c r="AP364" s="6">
        <f t="shared" si="214"/>
        <v>8236.8789672768999</v>
      </c>
      <c r="AQ364" s="6">
        <f t="shared" si="214"/>
        <v>8274.0536526335</v>
      </c>
      <c r="AR364" s="6">
        <f t="shared" si="214"/>
        <v>8309.7038445000017</v>
      </c>
      <c r="AS364" s="6">
        <f t="shared" si="214"/>
        <v>8343.9019913522989</v>
      </c>
      <c r="AT364" s="6">
        <f t="shared" si="214"/>
        <v>8376.6311040524979</v>
      </c>
      <c r="AU364" s="6">
        <f t="shared" si="214"/>
        <v>8407.8566998074002</v>
      </c>
      <c r="AV364" s="6">
        <f t="shared" si="214"/>
        <v>8437.5604480455986</v>
      </c>
      <c r="AW364" s="6">
        <f t="shared" si="214"/>
        <v>8465.7971707532997</v>
      </c>
      <c r="AX364" s="6">
        <f t="shared" si="214"/>
        <v>8492.5824122886006</v>
      </c>
      <c r="AY364" s="6">
        <f t="shared" si="214"/>
        <v>8517.9364728733017</v>
      </c>
      <c r="AZ364" s="6">
        <f t="shared" si="214"/>
        <v>8541.8763785403989</v>
      </c>
      <c r="BA364" s="6">
        <f t="shared" si="214"/>
        <v>8564.4117939958996</v>
      </c>
      <c r="BB364" s="6">
        <f t="shared" si="214"/>
        <v>8978.4153069089007</v>
      </c>
      <c r="BC364" s="6">
        <f t="shared" si="214"/>
        <v>9010.4894394087005</v>
      </c>
      <c r="BD364" s="6">
        <f t="shared" ref="BD364:BF364" si="215">BD341+BD348+BD355</f>
        <v>9040.7197932090003</v>
      </c>
      <c r="BE364" s="6">
        <f t="shared" si="215"/>
        <v>9069.0906969020998</v>
      </c>
      <c r="BF364" s="6">
        <f t="shared" si="215"/>
        <v>9095.5887483972001</v>
      </c>
    </row>
    <row r="365" spans="1:58" x14ac:dyDescent="0.35">
      <c r="B365" t="s">
        <v>99</v>
      </c>
      <c r="C365" s="6">
        <f t="shared" ref="C365:AL365" si="216">C342+C349+C356</f>
        <v>4165.6835237371006</v>
      </c>
      <c r="D365" s="6">
        <f t="shared" si="216"/>
        <v>4063.767780096</v>
      </c>
      <c r="E365" s="6">
        <f t="shared" si="216"/>
        <v>3987.5425367426001</v>
      </c>
      <c r="F365" s="6">
        <f t="shared" si="216"/>
        <v>3929.4644585799001</v>
      </c>
      <c r="G365" s="6">
        <f t="shared" si="216"/>
        <v>3884.4068086115999</v>
      </c>
      <c r="H365" s="6">
        <f t="shared" si="216"/>
        <v>3848.8913251670997</v>
      </c>
      <c r="I365" s="6">
        <f t="shared" si="216"/>
        <v>3820.1238377201998</v>
      </c>
      <c r="J365" s="6">
        <f t="shared" si="216"/>
        <v>3796.4171128391999</v>
      </c>
      <c r="K365" s="6">
        <f t="shared" si="216"/>
        <v>3776.5420297838004</v>
      </c>
      <c r="L365" s="6">
        <f t="shared" si="216"/>
        <v>3759.5749723111999</v>
      </c>
      <c r="M365" s="6">
        <f t="shared" si="216"/>
        <v>3745.4648812292999</v>
      </c>
      <c r="N365" s="6">
        <f t="shared" si="216"/>
        <v>3732.9216857541996</v>
      </c>
      <c r="O365" s="6">
        <f t="shared" si="216"/>
        <v>3721.4566432941001</v>
      </c>
      <c r="P365" s="6">
        <f t="shared" si="216"/>
        <v>3710.6541319024</v>
      </c>
      <c r="Q365" s="6">
        <f t="shared" si="216"/>
        <v>3700.1685196827002</v>
      </c>
      <c r="R365" s="6">
        <f t="shared" si="216"/>
        <v>3689.7144048524001</v>
      </c>
      <c r="S365" s="6">
        <f t="shared" si="216"/>
        <v>3679.0551700418996</v>
      </c>
      <c r="T365" s="6">
        <f t="shared" si="216"/>
        <v>3667.9927410667001</v>
      </c>
      <c r="U365" s="6">
        <f t="shared" si="216"/>
        <v>3656.3594649731999</v>
      </c>
      <c r="V365" s="6">
        <f t="shared" si="216"/>
        <v>3644.0121275334</v>
      </c>
      <c r="W365" s="6">
        <f t="shared" si="216"/>
        <v>3630.4040069374</v>
      </c>
      <c r="X365" s="6">
        <f t="shared" si="216"/>
        <v>3615.8939545567005</v>
      </c>
      <c r="Y365" s="6">
        <f t="shared" si="216"/>
        <v>3600.4010040501998</v>
      </c>
      <c r="Z365" s="6">
        <f t="shared" si="216"/>
        <v>3583.8597942201004</v>
      </c>
      <c r="AA365" s="6">
        <f t="shared" si="216"/>
        <v>3566.2119546576996</v>
      </c>
      <c r="AB365" s="6">
        <f t="shared" si="216"/>
        <v>3546.3026415552999</v>
      </c>
      <c r="AC365" s="6">
        <f t="shared" si="216"/>
        <v>3524.7886708240999</v>
      </c>
      <c r="AD365" s="6">
        <f t="shared" si="216"/>
        <v>3501.7133732692996</v>
      </c>
      <c r="AE365" s="6">
        <f t="shared" si="216"/>
        <v>3477.1422640350002</v>
      </c>
      <c r="AF365" s="6">
        <f t="shared" si="216"/>
        <v>3451.1454871181004</v>
      </c>
      <c r="AG365" s="6">
        <f t="shared" si="216"/>
        <v>3423.7884091278002</v>
      </c>
      <c r="AH365" s="6">
        <f t="shared" si="216"/>
        <v>3395.1281898765001</v>
      </c>
      <c r="AI365" s="6">
        <f t="shared" si="216"/>
        <v>3365.2136185681002</v>
      </c>
      <c r="AJ365" s="6">
        <f t="shared" si="216"/>
        <v>3334.0865452078001</v>
      </c>
      <c r="AK365" s="6">
        <f t="shared" si="216"/>
        <v>3301.7838363766</v>
      </c>
      <c r="AL365" s="6">
        <f t="shared" si="216"/>
        <v>3268.3392320191001</v>
      </c>
      <c r="AM365" s="6">
        <f t="shared" ref="AM365:BC365" si="217">AM342+AM349+AM356</f>
        <v>3233.5842964574999</v>
      </c>
      <c r="AN365" s="6">
        <f t="shared" si="217"/>
        <v>3197.5771041874004</v>
      </c>
      <c r="AO365" s="6">
        <f t="shared" si="217"/>
        <v>3160.3796931627999</v>
      </c>
      <c r="AP365" s="6">
        <f t="shared" si="217"/>
        <v>3122.0580184393002</v>
      </c>
      <c r="AQ365" s="6">
        <f t="shared" si="217"/>
        <v>3082.6789981452998</v>
      </c>
      <c r="AR365" s="6">
        <f t="shared" si="217"/>
        <v>3042.3148762855999</v>
      </c>
      <c r="AS365" s="6">
        <f t="shared" si="217"/>
        <v>3001.0419801521998</v>
      </c>
      <c r="AT365" s="6">
        <f t="shared" si="217"/>
        <v>2958.9084898323999</v>
      </c>
      <c r="AU365" s="6">
        <f t="shared" si="217"/>
        <v>2915.9525626185</v>
      </c>
      <c r="AV365" s="6">
        <f t="shared" si="217"/>
        <v>2872.2123468277</v>
      </c>
      <c r="AW365" s="6">
        <f t="shared" si="217"/>
        <v>2827.7423781026</v>
      </c>
      <c r="AX365" s="6">
        <f t="shared" si="217"/>
        <v>2782.5850050197996</v>
      </c>
      <c r="AY365" s="6">
        <f t="shared" si="217"/>
        <v>2736.7837321006</v>
      </c>
      <c r="AZ365" s="6">
        <f t="shared" si="217"/>
        <v>2690.3818793987002</v>
      </c>
      <c r="BA365" s="6">
        <f t="shared" si="217"/>
        <v>2643.4219249033999</v>
      </c>
      <c r="BB365" s="6">
        <f t="shared" si="217"/>
        <v>2632.3136523445</v>
      </c>
      <c r="BC365" s="6">
        <f t="shared" si="217"/>
        <v>2583.2256786819003</v>
      </c>
      <c r="BD365" s="6">
        <f t="shared" ref="BD365:BF365" si="218">BD342+BD349+BD356</f>
        <v>2533.5150676578</v>
      </c>
      <c r="BE365" s="6">
        <f t="shared" si="218"/>
        <v>2483.2349519214999</v>
      </c>
      <c r="BF365" s="6">
        <f t="shared" si="218"/>
        <v>2432.4389197482001</v>
      </c>
    </row>
    <row r="366" spans="1:58" x14ac:dyDescent="0.35">
      <c r="B366" t="s">
        <v>100</v>
      </c>
      <c r="C366" s="6">
        <f t="shared" ref="C366:AL366" si="219">C343+C350+C357</f>
        <v>2507.3524895615005</v>
      </c>
      <c r="D366" s="6">
        <f t="shared" si="219"/>
        <v>2448.3132837490002</v>
      </c>
      <c r="E366" s="6">
        <f t="shared" si="219"/>
        <v>2403.7044725706</v>
      </c>
      <c r="F366" s="6">
        <f t="shared" si="219"/>
        <v>2368.7077761331998</v>
      </c>
      <c r="G366" s="6">
        <f t="shared" si="219"/>
        <v>2340.1151489653998</v>
      </c>
      <c r="H366" s="6">
        <f t="shared" si="219"/>
        <v>2315.8027460218004</v>
      </c>
      <c r="I366" s="6">
        <f t="shared" si="219"/>
        <v>2294.1177286523002</v>
      </c>
      <c r="J366" s="6">
        <f t="shared" si="219"/>
        <v>2274.1008547754004</v>
      </c>
      <c r="K366" s="6">
        <f t="shared" si="219"/>
        <v>2255.0831514357001</v>
      </c>
      <c r="L366" s="6">
        <f t="shared" si="219"/>
        <v>2236.5858024775002</v>
      </c>
      <c r="M366" s="6">
        <f t="shared" si="219"/>
        <v>2218.6276232814998</v>
      </c>
      <c r="N366" s="6">
        <f t="shared" si="219"/>
        <v>2200.5347313318002</v>
      </c>
      <c r="O366" s="6">
        <f t="shared" si="219"/>
        <v>2182.0924572972999</v>
      </c>
      <c r="P366" s="6">
        <f t="shared" si="219"/>
        <v>2163.1306602036998</v>
      </c>
      <c r="Q366" s="6">
        <f t="shared" si="219"/>
        <v>2143.5201676500997</v>
      </c>
      <c r="R366" s="6">
        <f t="shared" si="219"/>
        <v>2123.1662087124</v>
      </c>
      <c r="S366" s="6">
        <f t="shared" si="219"/>
        <v>2102.0014232665003</v>
      </c>
      <c r="T366" s="6">
        <f t="shared" si="219"/>
        <v>2079.9798488873998</v>
      </c>
      <c r="U366" s="6">
        <f t="shared" si="219"/>
        <v>2057.0722084032</v>
      </c>
      <c r="V366" s="6">
        <f t="shared" si="219"/>
        <v>2033.2624478022999</v>
      </c>
      <c r="W366" s="6">
        <f t="shared" si="219"/>
        <v>2008.3374576778001</v>
      </c>
      <c r="X366" s="6">
        <f t="shared" si="219"/>
        <v>1982.5342197666</v>
      </c>
      <c r="Y366" s="6">
        <f t="shared" si="219"/>
        <v>1955.8683413674999</v>
      </c>
      <c r="Z366" s="6">
        <f t="shared" si="219"/>
        <v>1928.3620778084999</v>
      </c>
      <c r="AA366" s="6">
        <f t="shared" si="219"/>
        <v>1900.0404992151002</v>
      </c>
      <c r="AB366" s="6">
        <f t="shared" si="219"/>
        <v>1870.429010719</v>
      </c>
      <c r="AC366" s="6">
        <f t="shared" si="219"/>
        <v>1839.8959442564999</v>
      </c>
      <c r="AD366" s="6">
        <f t="shared" si="219"/>
        <v>1808.5205886076999</v>
      </c>
      <c r="AE366" s="6">
        <f t="shared" si="219"/>
        <v>1776.3883109458002</v>
      </c>
      <c r="AF366" s="6">
        <f t="shared" si="219"/>
        <v>1743.5828884822001</v>
      </c>
      <c r="AG366" s="6">
        <f t="shared" si="219"/>
        <v>1710.1827615271998</v>
      </c>
      <c r="AH366" s="6">
        <f t="shared" si="219"/>
        <v>1676.2599294244999</v>
      </c>
      <c r="AI366" s="6">
        <f t="shared" si="219"/>
        <v>1641.8802189488999</v>
      </c>
      <c r="AJ366" s="6">
        <f t="shared" si="219"/>
        <v>1607.1041856454001</v>
      </c>
      <c r="AK366" s="6">
        <f t="shared" si="219"/>
        <v>1571.9881768646001</v>
      </c>
      <c r="AL366" s="6">
        <f t="shared" si="219"/>
        <v>1536.5853342211999</v>
      </c>
      <c r="AM366" s="6">
        <f t="shared" ref="AM366:BC366" si="220">AM343+AM350+AM357</f>
        <v>1500.8705779208999</v>
      </c>
      <c r="AN366" s="6">
        <f t="shared" si="220"/>
        <v>1464.9068267243999</v>
      </c>
      <c r="AO366" s="6">
        <f t="shared" si="220"/>
        <v>1428.7565380918002</v>
      </c>
      <c r="AP366" s="6">
        <f t="shared" si="220"/>
        <v>1392.4813570312999</v>
      </c>
      <c r="AQ366" s="6">
        <f t="shared" si="220"/>
        <v>1356.1409584899</v>
      </c>
      <c r="AR366" s="6">
        <f t="shared" si="220"/>
        <v>1319.7962217518</v>
      </c>
      <c r="AS366" s="6">
        <f t="shared" si="220"/>
        <v>1283.5100524343002</v>
      </c>
      <c r="AT366" s="6">
        <f t="shared" si="220"/>
        <v>1247.3328504607998</v>
      </c>
      <c r="AU366" s="6">
        <f t="shared" si="220"/>
        <v>1211.3080835549001</v>
      </c>
      <c r="AV366" s="6">
        <f t="shared" si="220"/>
        <v>1175.4760270694999</v>
      </c>
      <c r="AW366" s="6">
        <f t="shared" si="220"/>
        <v>1139.879501015</v>
      </c>
      <c r="AX366" s="6">
        <f t="shared" si="220"/>
        <v>1104.5553582042</v>
      </c>
      <c r="AY366" s="6">
        <f t="shared" si="220"/>
        <v>1069.5392138927002</v>
      </c>
      <c r="AZ366" s="6">
        <f t="shared" si="220"/>
        <v>1034.8652451368</v>
      </c>
      <c r="BA366" s="6">
        <f t="shared" si="220"/>
        <v>1000.5660807089</v>
      </c>
      <c r="BB366" s="6">
        <f t="shared" si="220"/>
        <v>959.84461077679998</v>
      </c>
      <c r="BC366" s="6">
        <f t="shared" si="220"/>
        <v>925.75718298660013</v>
      </c>
      <c r="BD366" s="6">
        <f t="shared" ref="BD366:BF366" si="221">BD343+BD350+BD357</f>
        <v>892.1314733685</v>
      </c>
      <c r="BE366" s="6">
        <f t="shared" si="221"/>
        <v>859.00109408270009</v>
      </c>
      <c r="BF366" s="6">
        <f t="shared" si="221"/>
        <v>826.39766396770005</v>
      </c>
    </row>
    <row r="367" spans="1:58" x14ac:dyDescent="0.35">
      <c r="B367" t="s">
        <v>101</v>
      </c>
      <c r="C367" s="6">
        <f t="shared" ref="C367:AL367" si="222">C344+C351+C358</f>
        <v>1245.466605953</v>
      </c>
      <c r="D367" s="6">
        <f t="shared" si="222"/>
        <v>1213.2731769304</v>
      </c>
      <c r="E367" s="6">
        <f t="shared" si="222"/>
        <v>1186.5417099158001</v>
      </c>
      <c r="F367" s="6">
        <f t="shared" si="222"/>
        <v>1162.6613500604999</v>
      </c>
      <c r="G367" s="6">
        <f t="shared" si="222"/>
        <v>1140.0303936754001</v>
      </c>
      <c r="H367" s="6">
        <f t="shared" si="222"/>
        <v>1117.7004196048001</v>
      </c>
      <c r="I367" s="6">
        <f t="shared" si="222"/>
        <v>1095.037073172</v>
      </c>
      <c r="J367" s="6">
        <f t="shared" si="222"/>
        <v>1071.7619130173002</v>
      </c>
      <c r="K367" s="6">
        <f t="shared" si="222"/>
        <v>1047.7476890339001</v>
      </c>
      <c r="L367" s="6">
        <f t="shared" si="222"/>
        <v>1022.9585063938999</v>
      </c>
      <c r="M367" s="6">
        <f t="shared" si="222"/>
        <v>997.5399441797</v>
      </c>
      <c r="N367" s="6">
        <f t="shared" si="222"/>
        <v>971.39584536529992</v>
      </c>
      <c r="O367" s="6">
        <f t="shared" si="222"/>
        <v>944.59669131340002</v>
      </c>
      <c r="P367" s="6">
        <f t="shared" si="222"/>
        <v>917.22646781370008</v>
      </c>
      <c r="Q367" s="6">
        <f t="shared" si="222"/>
        <v>889.37862585350001</v>
      </c>
      <c r="R367" s="6">
        <f t="shared" si="222"/>
        <v>861.15210627659997</v>
      </c>
      <c r="S367" s="6">
        <f t="shared" si="222"/>
        <v>832.64799367830005</v>
      </c>
      <c r="T367" s="6">
        <f t="shared" si="222"/>
        <v>803.9669456675</v>
      </c>
      <c r="U367" s="6">
        <f t="shared" si="222"/>
        <v>775.20730030819993</v>
      </c>
      <c r="V367" s="6">
        <f t="shared" si="222"/>
        <v>746.46373046990004</v>
      </c>
      <c r="W367" s="6">
        <f t="shared" si="222"/>
        <v>717.78157774850013</v>
      </c>
      <c r="X367" s="6">
        <f t="shared" si="222"/>
        <v>689.29993884390001</v>
      </c>
      <c r="Y367" s="6">
        <f t="shared" si="222"/>
        <v>661.09833416669994</v>
      </c>
      <c r="Z367" s="6">
        <f t="shared" si="222"/>
        <v>633.24980090719998</v>
      </c>
      <c r="AA367" s="6">
        <f t="shared" si="222"/>
        <v>605.82060692979985</v>
      </c>
      <c r="AB367" s="6">
        <f t="shared" si="222"/>
        <v>578.7875107845</v>
      </c>
      <c r="AC367" s="6">
        <f t="shared" si="222"/>
        <v>552.2700132512</v>
      </c>
      <c r="AD367" s="6">
        <f t="shared" si="222"/>
        <v>526.32708666299993</v>
      </c>
      <c r="AE367" s="6">
        <f t="shared" si="222"/>
        <v>501.01005357880001</v>
      </c>
      <c r="AF367" s="6">
        <f t="shared" si="222"/>
        <v>476.36213671830001</v>
      </c>
      <c r="AG367" s="6">
        <f t="shared" si="222"/>
        <v>452.41871157879996</v>
      </c>
      <c r="AH367" s="6">
        <f t="shared" si="222"/>
        <v>429.20789975459996</v>
      </c>
      <c r="AI367" s="6">
        <f t="shared" si="222"/>
        <v>406.75127605889998</v>
      </c>
      <c r="AJ367" s="6">
        <f t="shared" si="222"/>
        <v>385.06458939969997</v>
      </c>
      <c r="AK367" s="6">
        <f t="shared" si="222"/>
        <v>364.1584382561</v>
      </c>
      <c r="AL367" s="6">
        <f t="shared" si="222"/>
        <v>344.03887836390004</v>
      </c>
      <c r="AM367" s="6">
        <f t="shared" ref="AM367:BC367" si="223">AM344+AM351+AM358</f>
        <v>324.70151991469999</v>
      </c>
      <c r="AN367" s="6">
        <f t="shared" si="223"/>
        <v>306.14717169779999</v>
      </c>
      <c r="AO367" s="6">
        <f t="shared" si="223"/>
        <v>288.37324963029999</v>
      </c>
      <c r="AP367" s="6">
        <f t="shared" si="223"/>
        <v>271.37399874740004</v>
      </c>
      <c r="AQ367" s="6">
        <f t="shared" si="223"/>
        <v>255.14072806479999</v>
      </c>
      <c r="AR367" s="6">
        <f t="shared" si="223"/>
        <v>239.66265871940001</v>
      </c>
      <c r="AS367" s="6">
        <f t="shared" si="223"/>
        <v>224.92739036549997</v>
      </c>
      <c r="AT367" s="6">
        <f t="shared" si="223"/>
        <v>210.9195820276</v>
      </c>
      <c r="AU367" s="6">
        <f t="shared" si="223"/>
        <v>197.62152690740001</v>
      </c>
      <c r="AV367" s="6">
        <f t="shared" si="223"/>
        <v>185.01376944199998</v>
      </c>
      <c r="AW367" s="6">
        <f t="shared" si="223"/>
        <v>173.07575259160001</v>
      </c>
      <c r="AX367" s="6">
        <f t="shared" si="223"/>
        <v>161.7857645112</v>
      </c>
      <c r="AY367" s="6">
        <f t="shared" si="223"/>
        <v>151.12142575620001</v>
      </c>
      <c r="AZ367" s="6">
        <f t="shared" si="223"/>
        <v>141.05987905179998</v>
      </c>
      <c r="BA367" s="6">
        <f t="shared" si="223"/>
        <v>131.5779453568</v>
      </c>
      <c r="BB367" s="6">
        <f t="shared" si="223"/>
        <v>117.8300919396</v>
      </c>
      <c r="BC367" s="6">
        <f t="shared" si="223"/>
        <v>109.6390523845</v>
      </c>
      <c r="BD367" s="6">
        <f t="shared" ref="BD367:BF367" si="224">BD344+BD351+BD358</f>
        <v>101.95772671810001</v>
      </c>
      <c r="BE367" s="6">
        <f t="shared" si="224"/>
        <v>94.761996233000005</v>
      </c>
      <c r="BF367" s="6">
        <f t="shared" si="224"/>
        <v>88.028007127199999</v>
      </c>
    </row>
    <row r="368" spans="1:58" x14ac:dyDescent="0.35">
      <c r="B368" t="s">
        <v>102</v>
      </c>
      <c r="C368" s="6">
        <f t="shared" ref="C368:AL368" si="225">C345+C352+C359</f>
        <v>2242.8616504070001</v>
      </c>
      <c r="D368" s="6">
        <f t="shared" si="225"/>
        <v>2188.0844765737002</v>
      </c>
      <c r="E368" s="6">
        <f t="shared" si="225"/>
        <v>2140.3286405356998</v>
      </c>
      <c r="F368" s="6">
        <f t="shared" si="225"/>
        <v>2094.4923208988002</v>
      </c>
      <c r="G368" s="6">
        <f t="shared" si="225"/>
        <v>2047.7562663011001</v>
      </c>
      <c r="H368" s="6">
        <f t="shared" si="225"/>
        <v>1998.7253299404999</v>
      </c>
      <c r="I368" s="6">
        <f t="shared" si="225"/>
        <v>1946.7036148748002</v>
      </c>
      <c r="J368" s="6">
        <f t="shared" si="225"/>
        <v>1891.6642932167999</v>
      </c>
      <c r="K368" s="6">
        <f t="shared" si="225"/>
        <v>1833.8466796206001</v>
      </c>
      <c r="L368" s="6">
        <f t="shared" si="225"/>
        <v>1773.6263581359999</v>
      </c>
      <c r="M368" s="6">
        <f t="shared" si="225"/>
        <v>1711.6144260843</v>
      </c>
      <c r="N368" s="6">
        <f t="shared" si="225"/>
        <v>1648.0495297957002</v>
      </c>
      <c r="O368" s="6">
        <f t="shared" si="225"/>
        <v>1583.3801846248</v>
      </c>
      <c r="P368" s="6">
        <f t="shared" si="225"/>
        <v>1518.0388263765001</v>
      </c>
      <c r="Q368" s="6">
        <f t="shared" si="225"/>
        <v>1452.4341776934</v>
      </c>
      <c r="R368" s="6">
        <f t="shared" si="225"/>
        <v>1386.9455634500002</v>
      </c>
      <c r="S368" s="6">
        <f t="shared" si="225"/>
        <v>1321.9193242690999</v>
      </c>
      <c r="T368" s="6">
        <f t="shared" si="225"/>
        <v>1257.6669676417</v>
      </c>
      <c r="U368" s="6">
        <f t="shared" si="225"/>
        <v>1194.4646288734998</v>
      </c>
      <c r="V368" s="6">
        <f t="shared" si="225"/>
        <v>1132.5534804413001</v>
      </c>
      <c r="W368" s="6">
        <f t="shared" si="225"/>
        <v>1072.0996326502</v>
      </c>
      <c r="X368" s="6">
        <f t="shared" si="225"/>
        <v>1013.3309843753999</v>
      </c>
      <c r="Y368" s="6">
        <f t="shared" si="225"/>
        <v>956.39149891279999</v>
      </c>
      <c r="Z368" s="6">
        <f t="shared" si="225"/>
        <v>901.39591888660004</v>
      </c>
      <c r="AA368" s="6">
        <f t="shared" si="225"/>
        <v>848.43220112350002</v>
      </c>
      <c r="AB368" s="6">
        <f t="shared" si="225"/>
        <v>797.5036346518001</v>
      </c>
      <c r="AC368" s="6">
        <f t="shared" si="225"/>
        <v>748.7064032692</v>
      </c>
      <c r="AD368" s="6">
        <f t="shared" si="225"/>
        <v>702.0728727321</v>
      </c>
      <c r="AE368" s="6">
        <f t="shared" si="225"/>
        <v>657.6151678028001</v>
      </c>
      <c r="AF368" s="6">
        <f t="shared" si="225"/>
        <v>615.32737731369991</v>
      </c>
      <c r="AG368" s="6">
        <f t="shared" si="225"/>
        <v>575.18805253489995</v>
      </c>
      <c r="AH368" s="6">
        <f t="shared" si="225"/>
        <v>537.16266254820005</v>
      </c>
      <c r="AI368" s="6">
        <f t="shared" si="225"/>
        <v>501.20586230290002</v>
      </c>
      <c r="AJ368" s="6">
        <f t="shared" si="225"/>
        <v>467.26353040059996</v>
      </c>
      <c r="AK368" s="6">
        <f t="shared" si="225"/>
        <v>435.27456777909998</v>
      </c>
      <c r="AL368" s="6">
        <f t="shared" si="225"/>
        <v>405.17246541750001</v>
      </c>
      <c r="AM368" s="6">
        <f t="shared" ref="AM368:BC368" si="226">AM345+AM352+AM359</f>
        <v>376.8840481647</v>
      </c>
      <c r="AN368" s="6">
        <f t="shared" si="226"/>
        <v>350.33716081479997</v>
      </c>
      <c r="AO368" s="6">
        <f t="shared" si="226"/>
        <v>325.45747330740005</v>
      </c>
      <c r="AP368" s="6">
        <f t="shared" si="226"/>
        <v>302.169304173</v>
      </c>
      <c r="AQ368" s="6">
        <f t="shared" si="226"/>
        <v>280.39637357919997</v>
      </c>
      <c r="AR368" s="6">
        <f t="shared" si="226"/>
        <v>260.06272744080002</v>
      </c>
      <c r="AS368" s="6">
        <f t="shared" si="226"/>
        <v>241.0933541311</v>
      </c>
      <c r="AT368" s="6">
        <f t="shared" si="226"/>
        <v>223.41403766249999</v>
      </c>
      <c r="AU368" s="6">
        <f t="shared" si="226"/>
        <v>206.95190161709999</v>
      </c>
      <c r="AV368" s="6">
        <f t="shared" si="226"/>
        <v>191.63591651749999</v>
      </c>
      <c r="AW368" s="6">
        <f t="shared" si="226"/>
        <v>177.39731969769997</v>
      </c>
      <c r="AX368" s="6">
        <f t="shared" si="226"/>
        <v>164.16979064669999</v>
      </c>
      <c r="AY368" s="6">
        <f t="shared" si="226"/>
        <v>151.88968429479999</v>
      </c>
      <c r="AZ368" s="6">
        <f t="shared" si="226"/>
        <v>140.49613822359998</v>
      </c>
      <c r="BA368" s="6">
        <f t="shared" si="226"/>
        <v>129.93113134409998</v>
      </c>
      <c r="BB368" s="6">
        <f t="shared" si="226"/>
        <v>116.02375436320001</v>
      </c>
      <c r="BC368" s="6">
        <f t="shared" si="226"/>
        <v>107.2268108997</v>
      </c>
      <c r="BD368" s="6">
        <f t="shared" ref="BD368:BF368" si="227">BD345+BD352+BD359</f>
        <v>99.086820019699999</v>
      </c>
      <c r="BE368" s="6">
        <f t="shared" si="227"/>
        <v>91.557308807399991</v>
      </c>
      <c r="BF368" s="6">
        <f t="shared" si="227"/>
        <v>84.594608375600004</v>
      </c>
    </row>
    <row r="370" spans="1:58" x14ac:dyDescent="0.35">
      <c r="A370" s="12" t="s">
        <v>91</v>
      </c>
      <c r="C370" s="2">
        <v>42005</v>
      </c>
      <c r="D370" s="2">
        <v>42370</v>
      </c>
      <c r="E370" s="2">
        <v>42736</v>
      </c>
      <c r="F370" s="2">
        <v>43101</v>
      </c>
      <c r="G370" s="2">
        <v>43466</v>
      </c>
      <c r="H370" s="2">
        <v>43831</v>
      </c>
      <c r="I370" s="2">
        <v>44197</v>
      </c>
      <c r="J370" s="2">
        <v>44562</v>
      </c>
      <c r="K370" s="2">
        <v>44927</v>
      </c>
      <c r="L370" s="2">
        <v>45292</v>
      </c>
      <c r="M370" s="2">
        <v>45658</v>
      </c>
      <c r="N370" s="2">
        <v>46023</v>
      </c>
      <c r="O370" s="2">
        <v>46388</v>
      </c>
      <c r="P370" s="2">
        <v>46753</v>
      </c>
      <c r="Q370" s="2">
        <v>47119</v>
      </c>
      <c r="R370" s="2">
        <v>47484</v>
      </c>
      <c r="S370" s="2">
        <v>47849</v>
      </c>
      <c r="T370" s="2">
        <v>48214</v>
      </c>
      <c r="U370" s="2">
        <v>48580</v>
      </c>
      <c r="V370" s="2">
        <v>48945</v>
      </c>
      <c r="W370" s="2">
        <v>49310</v>
      </c>
      <c r="X370" s="2">
        <v>49675</v>
      </c>
      <c r="Y370" s="2">
        <v>50041</v>
      </c>
      <c r="Z370" s="2">
        <v>50406</v>
      </c>
      <c r="AA370" s="2">
        <v>50771</v>
      </c>
      <c r="AB370" s="2">
        <v>51136</v>
      </c>
      <c r="AC370" s="2">
        <v>51502</v>
      </c>
      <c r="AD370" s="2">
        <v>51867</v>
      </c>
      <c r="AE370" s="2">
        <v>52232</v>
      </c>
      <c r="AF370" s="2">
        <v>52597</v>
      </c>
      <c r="AG370" s="2">
        <v>52963</v>
      </c>
      <c r="AH370" s="2">
        <v>53328</v>
      </c>
      <c r="AI370" s="2">
        <v>53693</v>
      </c>
      <c r="AJ370" s="2">
        <v>54058</v>
      </c>
      <c r="AK370" s="2">
        <v>54424</v>
      </c>
      <c r="AL370" s="2">
        <v>54789</v>
      </c>
      <c r="AM370" s="2">
        <v>54790</v>
      </c>
      <c r="AN370" s="2">
        <v>54791</v>
      </c>
      <c r="AO370" s="2">
        <v>54792</v>
      </c>
      <c r="AP370" s="2">
        <v>54793</v>
      </c>
      <c r="AQ370" s="2">
        <v>54794</v>
      </c>
      <c r="AR370" s="2">
        <v>54795</v>
      </c>
      <c r="AS370" s="2">
        <v>54796</v>
      </c>
      <c r="AT370" s="2">
        <v>54797</v>
      </c>
      <c r="AU370" s="2">
        <v>54798</v>
      </c>
      <c r="AV370" s="2">
        <v>54799</v>
      </c>
      <c r="AW370" s="2">
        <v>54800</v>
      </c>
      <c r="AX370" s="2">
        <v>54801</v>
      </c>
      <c r="AY370" s="2">
        <v>54802</v>
      </c>
      <c r="AZ370" s="2">
        <v>54803</v>
      </c>
      <c r="BA370" s="2">
        <v>54804</v>
      </c>
      <c r="BB370" s="2">
        <v>54805</v>
      </c>
      <c r="BC370" s="2">
        <v>54806</v>
      </c>
      <c r="BD370" s="2">
        <v>54807</v>
      </c>
      <c r="BE370" s="2">
        <v>54808</v>
      </c>
      <c r="BF370" s="2">
        <v>54809</v>
      </c>
    </row>
    <row r="371" spans="1:58" x14ac:dyDescent="0.35">
      <c r="A371" t="s">
        <v>39</v>
      </c>
      <c r="B371" t="s">
        <v>57</v>
      </c>
      <c r="C371" s="6">
        <f>[1]Results!F104</f>
        <v>3.476542051</v>
      </c>
      <c r="D371" s="6">
        <f>[1]Results!G104</f>
        <v>7.105756339</v>
      </c>
      <c r="E371" s="6">
        <f>[1]Results!H104</f>
        <v>11.181736859999999</v>
      </c>
      <c r="F371" s="6">
        <f>[1]Results!I104</f>
        <v>15.179186619999999</v>
      </c>
      <c r="G371" s="6">
        <f>[1]Results!J104</f>
        <v>18.91197244</v>
      </c>
      <c r="H371" s="6">
        <f>[1]Results!K104</f>
        <v>22.32312465</v>
      </c>
      <c r="I371" s="6">
        <f>[1]Results!L104</f>
        <v>25.396548429999999</v>
      </c>
      <c r="J371" s="6">
        <f>[1]Results!M104</f>
        <v>28.205922959999999</v>
      </c>
      <c r="K371" s="6">
        <f>[1]Results!N104</f>
        <v>30.81852426</v>
      </c>
      <c r="L371" s="6">
        <f>[1]Results!O104</f>
        <v>33.299761519999997</v>
      </c>
      <c r="M371" s="6">
        <f>[1]Results!P104</f>
        <v>35.735850939999999</v>
      </c>
      <c r="N371" s="6">
        <f>[1]Results!Q104</f>
        <v>38.07086219</v>
      </c>
      <c r="O371" s="6">
        <f>[1]Results!R104</f>
        <v>40.36456767</v>
      </c>
      <c r="P371" s="6">
        <f>[1]Results!S104</f>
        <v>42.627747040000003</v>
      </c>
      <c r="Q371" s="6">
        <f>[1]Results!T104</f>
        <v>44.863639810000002</v>
      </c>
      <c r="R371" s="6">
        <f>[1]Results!U104</f>
        <v>47.073213129999999</v>
      </c>
      <c r="S371" s="6">
        <f>[1]Results!V104</f>
        <v>49.261551230000002</v>
      </c>
      <c r="T371" s="6">
        <f>[1]Results!W104</f>
        <v>51.442964779999997</v>
      </c>
      <c r="U371" s="6">
        <f>[1]Results!X104</f>
        <v>53.630823300000003</v>
      </c>
      <c r="V371" s="6">
        <f>[1]Results!Y104</f>
        <v>55.835754129999998</v>
      </c>
      <c r="W371" s="6">
        <f>[1]Results!Z104</f>
        <v>58.043070200000003</v>
      </c>
      <c r="X371" s="6">
        <f>[1]Results!AA104</f>
        <v>60.318316430000003</v>
      </c>
      <c r="Y371" s="6">
        <f>[1]Results!AB104</f>
        <v>62.640666869999997</v>
      </c>
      <c r="Z371" s="6">
        <f>[1]Results!AC104</f>
        <v>65.012233449999997</v>
      </c>
      <c r="AA371" s="6">
        <f>[1]Results!AD104</f>
        <v>67.434660940000001</v>
      </c>
      <c r="AB371" s="6">
        <f>[1]Results!AE104</f>
        <v>69.843708370000002</v>
      </c>
      <c r="AC371" s="6">
        <f>[1]Results!AF104</f>
        <v>72.363493120000001</v>
      </c>
      <c r="AD371" s="6">
        <f>[1]Results!AG104</f>
        <v>74.960824900000006</v>
      </c>
      <c r="AE371" s="6">
        <f>[1]Results!AH104</f>
        <v>77.636571829999994</v>
      </c>
      <c r="AF371" s="6">
        <f>[1]Results!AI104</f>
        <v>80.390508400000002</v>
      </c>
      <c r="AG371" s="6">
        <f>[1]Results!AJ104</f>
        <v>83.221609779999994</v>
      </c>
      <c r="AH371" s="6">
        <f>[1]Results!AK104</f>
        <v>86.127635560000002</v>
      </c>
      <c r="AI371" s="6">
        <f>[1]Results!AL104</f>
        <v>89.10489742</v>
      </c>
      <c r="AJ371" s="6">
        <f>[1]Results!AM104</f>
        <v>92.149748650000006</v>
      </c>
      <c r="AK371" s="6">
        <f>[1]Results!AN104</f>
        <v>95.258911080000004</v>
      </c>
      <c r="AL371" s="6">
        <f>[1]Results!AO104</f>
        <v>98.42948518</v>
      </c>
      <c r="AM371" s="6">
        <f>[1]Results!AP104</f>
        <v>101.6419653</v>
      </c>
      <c r="AN371" s="6">
        <f>[1]Results!AQ104</f>
        <v>104.9042929</v>
      </c>
      <c r="AO371" s="6">
        <f>[1]Results!AR104</f>
        <v>108.2126277</v>
      </c>
      <c r="AP371" s="6">
        <f>[1]Results!AS104</f>
        <v>111.566425</v>
      </c>
      <c r="AQ371" s="6">
        <f>[1]Results!AT104</f>
        <v>114.96671720000001</v>
      </c>
      <c r="AR371" s="6">
        <f>[1]Results!AU104</f>
        <v>118.4144194</v>
      </c>
      <c r="AS371" s="6">
        <f>[1]Results!AV104</f>
        <v>121.9092338</v>
      </c>
      <c r="AT371" s="6">
        <f>[1]Results!AW104</f>
        <v>125.4504122</v>
      </c>
      <c r="AU371" s="6">
        <f>[1]Results!AX104</f>
        <v>129.0368914</v>
      </c>
      <c r="AV371" s="6">
        <f>[1]Results!AY104</f>
        <v>132.6672973</v>
      </c>
      <c r="AW371" s="6">
        <f>[1]Results!AZ104</f>
        <v>136.34281519999999</v>
      </c>
      <c r="AX371" s="6">
        <f>[1]Results!BA104</f>
        <v>140.0667143</v>
      </c>
      <c r="AY371" s="6">
        <f>[1]Results!BB104</f>
        <v>143.8381732</v>
      </c>
      <c r="AZ371" s="6">
        <f>[1]Results!BC104</f>
        <v>147.65153240000001</v>
      </c>
      <c r="BA371" s="6">
        <f>[1]Results!BD104</f>
        <v>151.49915910000001</v>
      </c>
      <c r="BB371" s="6">
        <f>[1]Results!BE104</f>
        <v>22.97561808</v>
      </c>
      <c r="BC371" s="6">
        <f>[1]Results!BF104</f>
        <v>23.049233709999999</v>
      </c>
      <c r="BD371" s="6">
        <f>[1]Results!BG104</f>
        <v>23.122476450000001</v>
      </c>
      <c r="BE371" s="6">
        <f>[1]Results!BH104</f>
        <v>23.195350779999998</v>
      </c>
      <c r="BF371" s="6">
        <f>[1]Results!BI104</f>
        <v>23.267860880000001</v>
      </c>
    </row>
    <row r="372" spans="1:58" x14ac:dyDescent="0.35">
      <c r="B372" t="s">
        <v>58</v>
      </c>
      <c r="C372" s="6">
        <f>[1]Results!F105</f>
        <v>68.80476281</v>
      </c>
      <c r="D372" s="6">
        <f>[1]Results!G105</f>
        <v>75.437780540000006</v>
      </c>
      <c r="E372" s="6">
        <f>[1]Results!H105</f>
        <v>81.568034179999998</v>
      </c>
      <c r="F372" s="6">
        <f>[1]Results!I105</f>
        <v>87.181510130000007</v>
      </c>
      <c r="G372" s="6">
        <f>[1]Results!J105</f>
        <v>92.628014199999996</v>
      </c>
      <c r="H372" s="6">
        <f>[1]Results!K105</f>
        <v>98.104155270000007</v>
      </c>
      <c r="I372" s="6">
        <f>[1]Results!L105</f>
        <v>103.09668430000001</v>
      </c>
      <c r="J372" s="6">
        <f>[1]Results!M105</f>
        <v>108.28103849999999</v>
      </c>
      <c r="K372" s="6">
        <f>[1]Results!N105</f>
        <v>113.6743731</v>
      </c>
      <c r="L372" s="6">
        <f>[1]Results!O105</f>
        <v>119.2645526</v>
      </c>
      <c r="M372" s="6">
        <f>[1]Results!P105</f>
        <v>126.0630075</v>
      </c>
      <c r="N372" s="6">
        <f>[1]Results!Q105</f>
        <v>131.9709733</v>
      </c>
      <c r="O372" s="6">
        <f>[1]Results!R105</f>
        <v>137.9908408</v>
      </c>
      <c r="P372" s="6">
        <f>[1]Results!S105</f>
        <v>144.09373650000001</v>
      </c>
      <c r="Q372" s="6">
        <f>[1]Results!T105</f>
        <v>150.2594331</v>
      </c>
      <c r="R372" s="6">
        <f>[1]Results!U105</f>
        <v>156.4743417</v>
      </c>
      <c r="S372" s="6">
        <f>[1]Results!V105</f>
        <v>162.72281659999999</v>
      </c>
      <c r="T372" s="6">
        <f>[1]Results!W105</f>
        <v>168.9754045</v>
      </c>
      <c r="U372" s="6">
        <f>[1]Results!X105</f>
        <v>175.1975194</v>
      </c>
      <c r="V372" s="6">
        <f>[1]Results!Y105</f>
        <v>181.3557476</v>
      </c>
      <c r="W372" s="6">
        <f>[1]Results!Z105</f>
        <v>186.72993159999999</v>
      </c>
      <c r="X372" s="6">
        <f>[1]Results!AA105</f>
        <v>192.6608449</v>
      </c>
      <c r="Y372" s="6">
        <f>[1]Results!AB105</f>
        <v>198.44528890000001</v>
      </c>
      <c r="Z372" s="6">
        <f>[1]Results!AC105</f>
        <v>204.0768084</v>
      </c>
      <c r="AA372" s="6">
        <f>[1]Results!AD105</f>
        <v>209.5566355</v>
      </c>
      <c r="AB372" s="6">
        <f>[1]Results!AE105</f>
        <v>213.00960889999999</v>
      </c>
      <c r="AC372" s="6">
        <f>[1]Results!AF105</f>
        <v>217.2976506</v>
      </c>
      <c r="AD372" s="6">
        <f>[1]Results!AG105</f>
        <v>221.43323799999999</v>
      </c>
      <c r="AE372" s="6">
        <f>[1]Results!AH105</f>
        <v>225.4278132</v>
      </c>
      <c r="AF372" s="6">
        <f>[1]Results!AI105</f>
        <v>229.29458679999999</v>
      </c>
      <c r="AG372" s="6">
        <f>[1]Results!AJ105</f>
        <v>233.0468147</v>
      </c>
      <c r="AH372" s="6">
        <f>[1]Results!AK105</f>
        <v>236.69721200000001</v>
      </c>
      <c r="AI372" s="6">
        <f>[1]Results!AL105</f>
        <v>240.257767</v>
      </c>
      <c r="AJ372" s="6">
        <f>[1]Results!AM105</f>
        <v>243.7388206</v>
      </c>
      <c r="AK372" s="6">
        <f>[1]Results!AN105</f>
        <v>247.14895129999999</v>
      </c>
      <c r="AL372" s="6">
        <f>[1]Results!AO105</f>
        <v>250.49517420000001</v>
      </c>
      <c r="AM372" s="6">
        <f>[1]Results!AP105</f>
        <v>253.38378890000001</v>
      </c>
      <c r="AN372" s="6">
        <f>[1]Results!AQ105</f>
        <v>256.22130959999998</v>
      </c>
      <c r="AO372" s="6">
        <f>[1]Results!AR105</f>
        <v>259.01294050000001</v>
      </c>
      <c r="AP372" s="6">
        <f>[1]Results!AS105</f>
        <v>261.7615121</v>
      </c>
      <c r="AQ372" s="6">
        <f>[1]Results!AT105</f>
        <v>264.46842079999999</v>
      </c>
      <c r="AR372" s="6">
        <f>[1]Results!AU105</f>
        <v>267.13465889999998</v>
      </c>
      <c r="AS372" s="6">
        <f>[1]Results!AV105</f>
        <v>269.76154050000002</v>
      </c>
      <c r="AT372" s="6">
        <f>[1]Results!AW105</f>
        <v>272.35046940000001</v>
      </c>
      <c r="AU372" s="6">
        <f>[1]Results!AX105</f>
        <v>274.90291300000001</v>
      </c>
      <c r="AV372" s="6">
        <f>[1]Results!AY105</f>
        <v>277.4204173</v>
      </c>
      <c r="AW372" s="6">
        <f>[1]Results!AZ105</f>
        <v>279.93627320000002</v>
      </c>
      <c r="AX372" s="6">
        <f>[1]Results!BA105</f>
        <v>282.41762990000001</v>
      </c>
      <c r="AY372" s="6">
        <f>[1]Results!BB105</f>
        <v>284.86580609999999</v>
      </c>
      <c r="AZ372" s="6">
        <f>[1]Results!BC105</f>
        <v>287.2839376</v>
      </c>
      <c r="BA372" s="6">
        <f>[1]Results!BD105</f>
        <v>289.67584790000001</v>
      </c>
      <c r="BB372" s="6">
        <f>[1]Results!BE105</f>
        <v>476.70896579999999</v>
      </c>
      <c r="BC372" s="6">
        <f>[1]Results!BF105</f>
        <v>481.95657119999998</v>
      </c>
      <c r="BD372" s="6">
        <f>[1]Results!BG105</f>
        <v>487.1573343</v>
      </c>
      <c r="BE372" s="6">
        <f>[1]Results!BH105</f>
        <v>492.3115464</v>
      </c>
      <c r="BF372" s="6">
        <f>[1]Results!BI105</f>
        <v>497.41941509999998</v>
      </c>
    </row>
    <row r="373" spans="1:58" x14ac:dyDescent="0.35">
      <c r="B373" t="s">
        <v>59</v>
      </c>
      <c r="C373" s="6">
        <f>[1]Results!F106</f>
        <v>408.28039699999999</v>
      </c>
      <c r="D373" s="6">
        <f>[1]Results!G106</f>
        <v>422.38730770000001</v>
      </c>
      <c r="E373" s="6">
        <f>[1]Results!H106</f>
        <v>436.24218080000003</v>
      </c>
      <c r="F373" s="6">
        <f>[1]Results!I106</f>
        <v>449.14030359999998</v>
      </c>
      <c r="G373" s="6">
        <f>[1]Results!J106</f>
        <v>461.70146319999998</v>
      </c>
      <c r="H373" s="6">
        <f>[1]Results!K106</f>
        <v>474.26816819999999</v>
      </c>
      <c r="I373" s="6">
        <f>[1]Results!L106</f>
        <v>485.27109059999998</v>
      </c>
      <c r="J373" s="6">
        <f>[1]Results!M106</f>
        <v>496.53094129999999</v>
      </c>
      <c r="K373" s="6">
        <f>[1]Results!N106</f>
        <v>508.05981439999999</v>
      </c>
      <c r="L373" s="6">
        <f>[1]Results!O106</f>
        <v>519.8250845</v>
      </c>
      <c r="M373" s="6">
        <f>[1]Results!P106</f>
        <v>534.69144240000003</v>
      </c>
      <c r="N373" s="6">
        <f>[1]Results!Q106</f>
        <v>546.79456219999997</v>
      </c>
      <c r="O373" s="6">
        <f>[1]Results!R106</f>
        <v>558.99140269999998</v>
      </c>
      <c r="P373" s="6">
        <f>[1]Results!S106</f>
        <v>571.24336170000004</v>
      </c>
      <c r="Q373" s="6">
        <f>[1]Results!T106</f>
        <v>583.52564500000005</v>
      </c>
      <c r="R373" s="6">
        <f>[1]Results!U106</f>
        <v>595.82339109999998</v>
      </c>
      <c r="S373" s="6">
        <f>[1]Results!V106</f>
        <v>608.12058290000004</v>
      </c>
      <c r="T373" s="6">
        <f>[1]Results!W106</f>
        <v>620.38631950000001</v>
      </c>
      <c r="U373" s="6">
        <f>[1]Results!X106</f>
        <v>632.58564899999999</v>
      </c>
      <c r="V373" s="6">
        <f>[1]Results!Y106</f>
        <v>644.68606279999995</v>
      </c>
      <c r="W373" s="6">
        <f>[1]Results!Z106</f>
        <v>654.72693000000004</v>
      </c>
      <c r="X373" s="6">
        <f>[1]Results!AA106</f>
        <v>666.53068140000005</v>
      </c>
      <c r="Y373" s="6">
        <f>[1]Results!AB106</f>
        <v>678.15813949999995</v>
      </c>
      <c r="Z373" s="6">
        <f>[1]Results!AC106</f>
        <v>689.60487290000003</v>
      </c>
      <c r="AA373" s="6">
        <f>[1]Results!AD106</f>
        <v>700.87404660000004</v>
      </c>
      <c r="AB373" s="6">
        <f>[1]Results!AE106</f>
        <v>706.70157640000002</v>
      </c>
      <c r="AC373" s="6">
        <f>[1]Results!AF106</f>
        <v>715.12773000000004</v>
      </c>
      <c r="AD373" s="6">
        <f>[1]Results!AG106</f>
        <v>723.37072469999998</v>
      </c>
      <c r="AE373" s="6">
        <f>[1]Results!AH106</f>
        <v>731.44333819999997</v>
      </c>
      <c r="AF373" s="6">
        <f>[1]Results!AI106</f>
        <v>739.36005409999996</v>
      </c>
      <c r="AG373" s="6">
        <f>[1]Results!AJ106</f>
        <v>747.13538349999999</v>
      </c>
      <c r="AH373" s="6">
        <f>[1]Results!AK106</f>
        <v>754.78338710000003</v>
      </c>
      <c r="AI373" s="6">
        <f>[1]Results!AL106</f>
        <v>762.31758009999999</v>
      </c>
      <c r="AJ373" s="6">
        <f>[1]Results!AM106</f>
        <v>769.74974840000004</v>
      </c>
      <c r="AK373" s="6">
        <f>[1]Results!AN106</f>
        <v>777.08976589999997</v>
      </c>
      <c r="AL373" s="6">
        <f>[1]Results!AO106</f>
        <v>784.34579880000001</v>
      </c>
      <c r="AM373" s="6">
        <f>[1]Results!AP106</f>
        <v>790.40197860000001</v>
      </c>
      <c r="AN373" s="6">
        <f>[1]Results!AQ106</f>
        <v>796.38810750000005</v>
      </c>
      <c r="AO373" s="6">
        <f>[1]Results!AR106</f>
        <v>802.31107629999997</v>
      </c>
      <c r="AP373" s="6">
        <f>[1]Results!AS106</f>
        <v>808.17459459999998</v>
      </c>
      <c r="AQ373" s="6">
        <f>[1]Results!AT106</f>
        <v>813.98039100000005</v>
      </c>
      <c r="AR373" s="6">
        <f>[1]Results!AU106</f>
        <v>819.72960799999998</v>
      </c>
      <c r="AS373" s="6">
        <f>[1]Results!AV106</f>
        <v>825.42382120000002</v>
      </c>
      <c r="AT373" s="6">
        <f>[1]Results!AW106</f>
        <v>831.06472329999997</v>
      </c>
      <c r="AU373" s="6">
        <f>[1]Results!AX106</f>
        <v>836.65409910000005</v>
      </c>
      <c r="AV373" s="6">
        <f>[1]Results!AY106</f>
        <v>842.1938543</v>
      </c>
      <c r="AW373" s="6">
        <f>[1]Results!AZ106</f>
        <v>847.77613069999995</v>
      </c>
      <c r="AX373" s="6">
        <f>[1]Results!BA106</f>
        <v>853.31078520000005</v>
      </c>
      <c r="AY373" s="6">
        <f>[1]Results!BB106</f>
        <v>858.80004989999998</v>
      </c>
      <c r="AZ373" s="6">
        <f>[1]Results!BC106</f>
        <v>864.24791540000001</v>
      </c>
      <c r="BA373" s="6">
        <f>[1]Results!BD106</f>
        <v>869.65894390000005</v>
      </c>
      <c r="BB373" s="6">
        <f>[1]Results!BE106</f>
        <v>1081.1689630000001</v>
      </c>
      <c r="BC373" s="6">
        <f>[1]Results!BF106</f>
        <v>1090.184426</v>
      </c>
      <c r="BD373" s="6">
        <f>[1]Results!BG106</f>
        <v>1099.142771</v>
      </c>
      <c r="BE373" s="6">
        <f>[1]Results!BH106</f>
        <v>1108.044478</v>
      </c>
      <c r="BF373" s="6">
        <f>[1]Results!BI106</f>
        <v>1116.890073</v>
      </c>
    </row>
    <row r="374" spans="1:58" x14ac:dyDescent="0.35">
      <c r="B374" t="s">
        <v>60</v>
      </c>
      <c r="C374" s="6">
        <f>[1]Results!F107</f>
        <v>954.38155940000001</v>
      </c>
      <c r="D374" s="6">
        <f>[1]Results!G107</f>
        <v>950.79697429999999</v>
      </c>
      <c r="E374" s="6">
        <f>[1]Results!H107</f>
        <v>948.88109740000004</v>
      </c>
      <c r="F374" s="6">
        <f>[1]Results!I107</f>
        <v>947.53635770000005</v>
      </c>
      <c r="G374" s="6">
        <f>[1]Results!J107</f>
        <v>946.24975749999999</v>
      </c>
      <c r="H374" s="6">
        <f>[1]Results!K107</f>
        <v>944.8082177</v>
      </c>
      <c r="I374" s="6">
        <f>[1]Results!L107</f>
        <v>943.12626709999995</v>
      </c>
      <c r="J374" s="6">
        <f>[1]Results!M107</f>
        <v>941.16529160000005</v>
      </c>
      <c r="K374" s="6">
        <f>[1]Results!N107</f>
        <v>938.90739150000002</v>
      </c>
      <c r="L374" s="6">
        <f>[1]Results!O107</f>
        <v>936.35717829999999</v>
      </c>
      <c r="M374" s="6">
        <f>[1]Results!P107</f>
        <v>933.53815380000003</v>
      </c>
      <c r="N374" s="6">
        <f>[1]Results!Q107</f>
        <v>930.47937730000001</v>
      </c>
      <c r="O374" s="6">
        <f>[1]Results!R107</f>
        <v>927.22092720000001</v>
      </c>
      <c r="P374" s="6">
        <f>[1]Results!S107</f>
        <v>923.80264780000005</v>
      </c>
      <c r="Q374" s="6">
        <f>[1]Results!T107</f>
        <v>920.25477149999995</v>
      </c>
      <c r="R374" s="6">
        <f>[1]Results!U107</f>
        <v>916.59850879999999</v>
      </c>
      <c r="S374" s="6">
        <f>[1]Results!V107</f>
        <v>912.85800159999997</v>
      </c>
      <c r="T374" s="6">
        <f>[1]Results!W107</f>
        <v>909.0786779</v>
      </c>
      <c r="U374" s="6">
        <f>[1]Results!X107</f>
        <v>905.31621050000001</v>
      </c>
      <c r="V374" s="6">
        <f>[1]Results!Y107</f>
        <v>901.62607019999996</v>
      </c>
      <c r="W374" s="6">
        <f>[1]Results!Z107</f>
        <v>898.06232899999998</v>
      </c>
      <c r="X374" s="6">
        <f>[1]Results!AA107</f>
        <v>894.67469649999998</v>
      </c>
      <c r="Y374" s="6">
        <f>[1]Results!AB107</f>
        <v>891.49476259999994</v>
      </c>
      <c r="Z374" s="6">
        <f>[1]Results!AC107</f>
        <v>888.53401729999996</v>
      </c>
      <c r="AA374" s="6">
        <f>[1]Results!AD107</f>
        <v>885.78957349999996</v>
      </c>
      <c r="AB374" s="6">
        <f>[1]Results!AE107</f>
        <v>883.25495060000003</v>
      </c>
      <c r="AC374" s="6">
        <f>[1]Results!AF107</f>
        <v>880.92321960000004</v>
      </c>
      <c r="AD374" s="6">
        <f>[1]Results!AG107</f>
        <v>878.77926249999996</v>
      </c>
      <c r="AE374" s="6">
        <f>[1]Results!AH107</f>
        <v>876.80081189999999</v>
      </c>
      <c r="AF374" s="6">
        <f>[1]Results!AI107</f>
        <v>874.96345280000003</v>
      </c>
      <c r="AG374" s="6">
        <f>[1]Results!AJ107</f>
        <v>873.24358240000004</v>
      </c>
      <c r="AH374" s="6">
        <f>[1]Results!AK107</f>
        <v>871.61966359999997</v>
      </c>
      <c r="AI374" s="6">
        <f>[1]Results!AL107</f>
        <v>870.07256629999995</v>
      </c>
      <c r="AJ374" s="6">
        <f>[1]Results!AM107</f>
        <v>868.58661800000004</v>
      </c>
      <c r="AK374" s="6">
        <f>[1]Results!AN107</f>
        <v>867.1495142</v>
      </c>
      <c r="AL374" s="6">
        <f>[1]Results!AO107</f>
        <v>865.75180030000001</v>
      </c>
      <c r="AM374" s="6">
        <f>[1]Results!AP107</f>
        <v>864.38470989999996</v>
      </c>
      <c r="AN374" s="6">
        <f>[1]Results!AQ107</f>
        <v>863.03738099999998</v>
      </c>
      <c r="AO374" s="6">
        <f>[1]Results!AR107</f>
        <v>861.70295250000004</v>
      </c>
      <c r="AP374" s="6">
        <f>[1]Results!AS107</f>
        <v>860.37837669999999</v>
      </c>
      <c r="AQ374" s="6">
        <f>[1]Results!AT107</f>
        <v>859.0629232</v>
      </c>
      <c r="AR374" s="6">
        <f>[1]Results!AU107</f>
        <v>857.75658329999999</v>
      </c>
      <c r="AS374" s="6">
        <f>[1]Results!AV107</f>
        <v>856.45891730000005</v>
      </c>
      <c r="AT374" s="6">
        <f>[1]Results!AW107</f>
        <v>855.16963310000006</v>
      </c>
      <c r="AU374" s="6">
        <f>[1]Results!AX107</f>
        <v>853.8885927</v>
      </c>
      <c r="AV374" s="6">
        <f>[1]Results!AY107</f>
        <v>852.61571060000006</v>
      </c>
      <c r="AW374" s="6">
        <f>[1]Results!AZ107</f>
        <v>851.35027790000004</v>
      </c>
      <c r="AX374" s="6">
        <f>[1]Results!BA107</f>
        <v>850.09013779999998</v>
      </c>
      <c r="AY374" s="6">
        <f>[1]Results!BB107</f>
        <v>848.83226609999997</v>
      </c>
      <c r="AZ374" s="6">
        <f>[1]Results!BC107</f>
        <v>847.57359480000002</v>
      </c>
      <c r="BA374" s="6">
        <f>[1]Results!BD107</f>
        <v>846.31162119999999</v>
      </c>
      <c r="BB374" s="6">
        <f>[1]Results!BE107</f>
        <v>524.96822689999999</v>
      </c>
      <c r="BC374" s="6">
        <f>[1]Results!BF107</f>
        <v>519.65419159999999</v>
      </c>
      <c r="BD374" s="6">
        <f>[1]Results!BG107</f>
        <v>514.41976720000002</v>
      </c>
      <c r="BE374" s="6">
        <f>[1]Results!BH107</f>
        <v>509.26440919999999</v>
      </c>
      <c r="BF374" s="6">
        <f>[1]Results!BI107</f>
        <v>504.18760109999999</v>
      </c>
    </row>
    <row r="375" spans="1:58" x14ac:dyDescent="0.35">
      <c r="B375" t="s">
        <v>61</v>
      </c>
      <c r="C375" s="6">
        <f>[1]Results!F108</f>
        <v>878.79999729999997</v>
      </c>
      <c r="D375" s="6">
        <f>[1]Results!G108</f>
        <v>868.32324340000002</v>
      </c>
      <c r="E375" s="6">
        <f>[1]Results!H108</f>
        <v>858.97928030000003</v>
      </c>
      <c r="F375" s="6">
        <f>[1]Results!I108</f>
        <v>850.62682440000003</v>
      </c>
      <c r="G375" s="6">
        <f>[1]Results!J108</f>
        <v>842.99286870000003</v>
      </c>
      <c r="H375" s="6">
        <f>[1]Results!K108</f>
        <v>835.80858790000002</v>
      </c>
      <c r="I375" s="6">
        <f>[1]Results!L108</f>
        <v>828.85873890000005</v>
      </c>
      <c r="J375" s="6">
        <f>[1]Results!M108</f>
        <v>821.99848510000004</v>
      </c>
      <c r="K375" s="6">
        <f>[1]Results!N108</f>
        <v>815.15217299999995</v>
      </c>
      <c r="L375" s="6">
        <f>[1]Results!O108</f>
        <v>808.29688510000005</v>
      </c>
      <c r="M375" s="6">
        <f>[1]Results!P108</f>
        <v>801.44065239999998</v>
      </c>
      <c r="N375" s="6">
        <f>[1]Results!Q108</f>
        <v>794.60367040000006</v>
      </c>
      <c r="O375" s="6">
        <f>[1]Results!R108</f>
        <v>787.8062516</v>
      </c>
      <c r="P375" s="6">
        <f>[1]Results!S108</f>
        <v>781.06592579999995</v>
      </c>
      <c r="Q375" s="6">
        <f>[1]Results!T108</f>
        <v>774.39479519999998</v>
      </c>
      <c r="R375" s="6">
        <f>[1]Results!U108</f>
        <v>767.7996369</v>
      </c>
      <c r="S375" s="6">
        <f>[1]Results!V108</f>
        <v>761.28339979999998</v>
      </c>
      <c r="T375" s="6">
        <f>[1]Results!W108</f>
        <v>754.84724329999995</v>
      </c>
      <c r="U375" s="6">
        <f>[1]Results!X108</f>
        <v>748.49222050000003</v>
      </c>
      <c r="V375" s="6">
        <f>[1]Results!Y108</f>
        <v>742.21871399999998</v>
      </c>
      <c r="W375" s="6">
        <f>[1]Results!Z108</f>
        <v>736.02609870000003</v>
      </c>
      <c r="X375" s="6">
        <f>[1]Results!AA108</f>
        <v>729.91271099999994</v>
      </c>
      <c r="Y375" s="6">
        <f>[1]Results!AB108</f>
        <v>723.87705000000005</v>
      </c>
      <c r="Z375" s="6">
        <f>[1]Results!AC108</f>
        <v>717.91686979999997</v>
      </c>
      <c r="AA375" s="6">
        <f>[1]Results!AD108</f>
        <v>712.02947419999998</v>
      </c>
      <c r="AB375" s="6">
        <f>[1]Results!AE108</f>
        <v>706.21170470000004</v>
      </c>
      <c r="AC375" s="6">
        <f>[1]Results!AF108</f>
        <v>700.45960130000003</v>
      </c>
      <c r="AD375" s="6">
        <f>[1]Results!AG108</f>
        <v>694.77112699999998</v>
      </c>
      <c r="AE375" s="6">
        <f>[1]Results!AH108</f>
        <v>689.14376730000004</v>
      </c>
      <c r="AF375" s="6">
        <f>[1]Results!AI108</f>
        <v>683.57474850000006</v>
      </c>
      <c r="AG375" s="6">
        <f>[1]Results!AJ108</f>
        <v>678.06119909999995</v>
      </c>
      <c r="AH375" s="6">
        <f>[1]Results!AK108</f>
        <v>672.60037910000005</v>
      </c>
      <c r="AI375" s="6">
        <f>[1]Results!AL108</f>
        <v>667.18985610000004</v>
      </c>
      <c r="AJ375" s="6">
        <f>[1]Results!AM108</f>
        <v>661.82708070000001</v>
      </c>
      <c r="AK375" s="6">
        <f>[1]Results!AN108</f>
        <v>656.5094527</v>
      </c>
      <c r="AL375" s="6">
        <f>[1]Results!AO108</f>
        <v>651.2344306</v>
      </c>
      <c r="AM375" s="6">
        <f>[1]Results!AP108</f>
        <v>646.00055729999997</v>
      </c>
      <c r="AN375" s="6">
        <f>[1]Results!AQ108</f>
        <v>640.80860140000004</v>
      </c>
      <c r="AO375" s="6">
        <f>[1]Results!AR108</f>
        <v>635.65749110000002</v>
      </c>
      <c r="AP375" s="6">
        <f>[1]Results!AS108</f>
        <v>630.54460900000004</v>
      </c>
      <c r="AQ375" s="6">
        <f>[1]Results!AT108</f>
        <v>625.466859</v>
      </c>
      <c r="AR375" s="6">
        <f>[1]Results!AU108</f>
        <v>620.42152209999995</v>
      </c>
      <c r="AS375" s="6">
        <f>[1]Results!AV108</f>
        <v>615.40675099999999</v>
      </c>
      <c r="AT375" s="6">
        <f>[1]Results!AW108</f>
        <v>610.42078119999996</v>
      </c>
      <c r="AU375" s="6">
        <f>[1]Results!AX108</f>
        <v>605.46183980000001</v>
      </c>
      <c r="AV375" s="6">
        <f>[1]Results!AY108</f>
        <v>600.52820039999995</v>
      </c>
      <c r="AW375" s="6">
        <f>[1]Results!AZ108</f>
        <v>595.61839910000003</v>
      </c>
      <c r="AX375" s="6">
        <f>[1]Results!BA108</f>
        <v>590.73126739999998</v>
      </c>
      <c r="AY375" s="6">
        <f>[1]Results!BB108</f>
        <v>585.86745889999997</v>
      </c>
      <c r="AZ375" s="6">
        <f>[1]Results!BC108</f>
        <v>581.02862489999995</v>
      </c>
      <c r="BA375" s="6">
        <f>[1]Results!BD108</f>
        <v>576.21640119999995</v>
      </c>
      <c r="BB375" s="6">
        <f>[1]Results!BE108</f>
        <v>630.2942673</v>
      </c>
      <c r="BC375" s="6">
        <f>[1]Results!BF108</f>
        <v>626.75182099999995</v>
      </c>
      <c r="BD375" s="6">
        <f>[1]Results!BG108</f>
        <v>623.22951149999994</v>
      </c>
      <c r="BE375" s="6">
        <f>[1]Results!BH108</f>
        <v>619.72726850000004</v>
      </c>
      <c r="BF375" s="6">
        <f>[1]Results!BI108</f>
        <v>616.24502619999998</v>
      </c>
    </row>
    <row r="376" spans="1:58" x14ac:dyDescent="0.35">
      <c r="B376" t="s">
        <v>62</v>
      </c>
      <c r="C376" s="6">
        <f>[1]Results!F109</f>
        <v>139.85209269999999</v>
      </c>
      <c r="D376" s="6">
        <f>[1]Results!G109</f>
        <v>137.95076789999999</v>
      </c>
      <c r="E376" s="6">
        <f>[1]Results!H109</f>
        <v>136.0747442</v>
      </c>
      <c r="F376" s="6">
        <f>[1]Results!I109</f>
        <v>134.22890770000001</v>
      </c>
      <c r="G376" s="6">
        <f>[1]Results!J109</f>
        <v>132.41620030000001</v>
      </c>
      <c r="H376" s="6">
        <f>[1]Results!K109</f>
        <v>130.6368722</v>
      </c>
      <c r="I376" s="6">
        <f>[1]Results!L109</f>
        <v>128.88911440000001</v>
      </c>
      <c r="J376" s="6">
        <f>[1]Results!M109</f>
        <v>127.170196</v>
      </c>
      <c r="K376" s="6">
        <f>[1]Results!N109</f>
        <v>125.4775862</v>
      </c>
      <c r="L376" s="6">
        <f>[1]Results!O109</f>
        <v>123.80933229999999</v>
      </c>
      <c r="M376" s="6">
        <f>[1]Results!P109</f>
        <v>122.1641394</v>
      </c>
      <c r="N376" s="6">
        <f>[1]Results!Q109</f>
        <v>120.5412357</v>
      </c>
      <c r="O376" s="6">
        <f>[1]Results!R109</f>
        <v>118.9400406</v>
      </c>
      <c r="P376" s="6">
        <f>[1]Results!S109</f>
        <v>117.36014659999999</v>
      </c>
      <c r="Q376" s="6">
        <f>[1]Results!T109</f>
        <v>115.8012615</v>
      </c>
      <c r="R376" s="6">
        <f>[1]Results!U109</f>
        <v>114.2631334</v>
      </c>
      <c r="S376" s="6">
        <f>[1]Results!V109</f>
        <v>112.7454985</v>
      </c>
      <c r="T376" s="6">
        <f>[1]Results!W109</f>
        <v>111.2480559</v>
      </c>
      <c r="U376" s="6">
        <f>[1]Results!X109</f>
        <v>109.77048739999999</v>
      </c>
      <c r="V376" s="6">
        <f>[1]Results!Y109</f>
        <v>108.31246969999999</v>
      </c>
      <c r="W376" s="6">
        <f>[1]Results!Z109</f>
        <v>106.873648</v>
      </c>
      <c r="X376" s="6">
        <f>[1]Results!AA109</f>
        <v>105.4536571</v>
      </c>
      <c r="Y376" s="6">
        <f>[1]Results!AB109</f>
        <v>104.0522084</v>
      </c>
      <c r="Z376" s="6">
        <f>[1]Results!AC109</f>
        <v>102.6690438</v>
      </c>
      <c r="AA376" s="6">
        <f>[1]Results!AD109</f>
        <v>101.3039115</v>
      </c>
      <c r="AB376" s="6">
        <f>[1]Results!AE109</f>
        <v>99.956488019999995</v>
      </c>
      <c r="AC376" s="6">
        <f>[1]Results!AF109</f>
        <v>98.626386740000001</v>
      </c>
      <c r="AD376" s="6">
        <f>[1]Results!AG109</f>
        <v>97.313339929999998</v>
      </c>
      <c r="AE376" s="6">
        <f>[1]Results!AH109</f>
        <v>96.017150490000006</v>
      </c>
      <c r="AF376" s="6">
        <f>[1]Results!AI109</f>
        <v>94.737642649999998</v>
      </c>
      <c r="AG376" s="6">
        <f>[1]Results!AJ109</f>
        <v>93.47464927</v>
      </c>
      <c r="AH376" s="6">
        <f>[1]Results!AK109</f>
        <v>92.228009119999996</v>
      </c>
      <c r="AI376" s="6">
        <f>[1]Results!AL109</f>
        <v>90.997563700000001</v>
      </c>
      <c r="AJ376" s="6">
        <f>[1]Results!AM109</f>
        <v>89.783146869999996</v>
      </c>
      <c r="AK376" s="6">
        <f>[1]Results!AN109</f>
        <v>88.584578149999999</v>
      </c>
      <c r="AL376" s="6">
        <f>[1]Results!AO109</f>
        <v>87.401659530000003</v>
      </c>
      <c r="AM376" s="6">
        <f>[1]Results!AP109</f>
        <v>86.234171129999993</v>
      </c>
      <c r="AN376" s="6">
        <f>[1]Results!AQ109</f>
        <v>85.081878790000005</v>
      </c>
      <c r="AO376" s="6">
        <f>[1]Results!AR109</f>
        <v>83.94452837</v>
      </c>
      <c r="AP376" s="6">
        <f>[1]Results!AS109</f>
        <v>82.821853509999997</v>
      </c>
      <c r="AQ376" s="6">
        <f>[1]Results!AT109</f>
        <v>81.713584760000003</v>
      </c>
      <c r="AR376" s="6">
        <f>[1]Results!AU109</f>
        <v>80.619459410000005</v>
      </c>
      <c r="AS376" s="6">
        <f>[1]Results!AV109</f>
        <v>79.539229169999999</v>
      </c>
      <c r="AT376" s="6">
        <f>[1]Results!AW109</f>
        <v>78.472657350000006</v>
      </c>
      <c r="AU376" s="6">
        <f>[1]Results!AX109</f>
        <v>77.419518199999999</v>
      </c>
      <c r="AV376" s="6">
        <f>[1]Results!AY109</f>
        <v>76.37959678</v>
      </c>
      <c r="AW376" s="6">
        <f>[1]Results!AZ109</f>
        <v>75.35259241</v>
      </c>
      <c r="AX376" s="6">
        <f>[1]Results!BA109</f>
        <v>74.337923459999999</v>
      </c>
      <c r="AY376" s="6">
        <f>[1]Results!BB109</f>
        <v>73.335282329999998</v>
      </c>
      <c r="AZ376" s="6">
        <f>[1]Results!BC109</f>
        <v>72.344658699999997</v>
      </c>
      <c r="BA376" s="6">
        <f>[1]Results!BD109</f>
        <v>71.366201119999999</v>
      </c>
      <c r="BB376" s="6">
        <f>[1]Results!BE109</f>
        <v>73.136080030000002</v>
      </c>
      <c r="BC376" s="6">
        <f>[1]Results!BF109</f>
        <v>72.266466910000005</v>
      </c>
      <c r="BD376" s="6">
        <f>[1]Results!BG109</f>
        <v>71.408305409999997</v>
      </c>
      <c r="BE376" s="6">
        <f>[1]Results!BH109</f>
        <v>70.561469470000006</v>
      </c>
      <c r="BF376" s="6">
        <f>[1]Results!BI109</f>
        <v>69.725838089999996</v>
      </c>
    </row>
    <row r="377" spans="1:58" x14ac:dyDescent="0.35">
      <c r="B377" t="s">
        <v>63</v>
      </c>
      <c r="C377" s="6">
        <f>[1]Results!F110</f>
        <v>3.874567114</v>
      </c>
      <c r="D377" s="6">
        <f>[1]Results!G110</f>
        <v>3.724543325</v>
      </c>
      <c r="E377" s="6">
        <f>[1]Results!H110</f>
        <v>3.581032961</v>
      </c>
      <c r="F377" s="6">
        <f>[1]Results!I110</f>
        <v>3.443894615</v>
      </c>
      <c r="G377" s="6">
        <f>[1]Results!J110</f>
        <v>3.3129371320000001</v>
      </c>
      <c r="H377" s="6">
        <f>[1]Results!K110</f>
        <v>3.1878741239999999</v>
      </c>
      <c r="I377" s="6">
        <f>[1]Results!L110</f>
        <v>3.0683460349999998</v>
      </c>
      <c r="J377" s="6">
        <f>[1]Results!M110</f>
        <v>2.9539733479999999</v>
      </c>
      <c r="K377" s="6">
        <f>[1]Results!N110</f>
        <v>2.844414929</v>
      </c>
      <c r="L377" s="6">
        <f>[1]Results!O110</f>
        <v>2.7393816709999999</v>
      </c>
      <c r="M377" s="6">
        <f>[1]Results!P110</f>
        <v>2.6386352689999999</v>
      </c>
      <c r="N377" s="6">
        <f>[1]Results!Q110</f>
        <v>2.541976359</v>
      </c>
      <c r="O377" s="6">
        <f>[1]Results!R110</f>
        <v>2.449221917</v>
      </c>
      <c r="P377" s="6">
        <f>[1]Results!S110</f>
        <v>2.36020311</v>
      </c>
      <c r="Q377" s="6">
        <f>[1]Results!T110</f>
        <v>2.2747622179999998</v>
      </c>
      <c r="R377" s="6">
        <f>[1]Results!U110</f>
        <v>2.1927488350000002</v>
      </c>
      <c r="S377" s="6">
        <f>[1]Results!V110</f>
        <v>2.1140178700000001</v>
      </c>
      <c r="T377" s="6">
        <f>[1]Results!W110</f>
        <v>2.0384291870000002</v>
      </c>
      <c r="U377" s="6">
        <f>[1]Results!X110</f>
        <v>1.965847103</v>
      </c>
      <c r="V377" s="6">
        <f>[1]Results!Y110</f>
        <v>1.896140878</v>
      </c>
      <c r="W377" s="6">
        <f>[1]Results!Z110</f>
        <v>1.8291834250000001</v>
      </c>
      <c r="X377" s="6">
        <f>[1]Results!AA110</f>
        <v>1.7648524699999999</v>
      </c>
      <c r="Y377" s="6">
        <f>[1]Results!AB110</f>
        <v>1.703035233</v>
      </c>
      <c r="Z377" s="6">
        <f>[1]Results!AC110</f>
        <v>1.643625573</v>
      </c>
      <c r="AA377" s="6">
        <f>[1]Results!AD110</f>
        <v>1.5865224</v>
      </c>
      <c r="AB377" s="6">
        <f>[1]Results!AE110</f>
        <v>1.5316255510000001</v>
      </c>
      <c r="AC377" s="6">
        <f>[1]Results!AF110</f>
        <v>1.4788357990000001</v>
      </c>
      <c r="AD377" s="6">
        <f>[1]Results!AG110</f>
        <v>1.428063439</v>
      </c>
      <c r="AE377" s="6">
        <f>[1]Results!AH110</f>
        <v>1.379226107</v>
      </c>
      <c r="AF377" s="6">
        <f>[1]Results!AI110</f>
        <v>1.3322462239999999</v>
      </c>
      <c r="AG377" s="6">
        <f>[1]Results!AJ110</f>
        <v>1.287050078</v>
      </c>
      <c r="AH377" s="6">
        <f>[1]Results!AK110</f>
        <v>1.2435673519999999</v>
      </c>
      <c r="AI377" s="6">
        <f>[1]Results!AL110</f>
        <v>1.201730674</v>
      </c>
      <c r="AJ377" s="6">
        <f>[1]Results!AM110</f>
        <v>1.161475341</v>
      </c>
      <c r="AK377" s="6">
        <f>[1]Results!AN110</f>
        <v>1.122738971</v>
      </c>
      <c r="AL377" s="6">
        <f>[1]Results!AO110</f>
        <v>1.0854612429999999</v>
      </c>
      <c r="AM377" s="6">
        <f>[1]Results!AP110</f>
        <v>1.049582977</v>
      </c>
      <c r="AN377" s="6">
        <f>[1]Results!AQ110</f>
        <v>1.0150454760000001</v>
      </c>
      <c r="AO377" s="6">
        <f>[1]Results!AR110</f>
        <v>0.98179257509999995</v>
      </c>
      <c r="AP377" s="6">
        <f>[1]Results!AS110</f>
        <v>0.94977101249999996</v>
      </c>
      <c r="AQ377" s="6">
        <f>[1]Results!AT110</f>
        <v>0.91893024239999999</v>
      </c>
      <c r="AR377" s="6">
        <f>[1]Results!AU110</f>
        <v>0.88922218080000004</v>
      </c>
      <c r="AS377" s="6">
        <f>[1]Results!AV110</f>
        <v>0.86060098159999998</v>
      </c>
      <c r="AT377" s="6">
        <f>[1]Results!AW110</f>
        <v>0.83302303779999998</v>
      </c>
      <c r="AU377" s="6">
        <f>[1]Results!AX110</f>
        <v>0.80644684820000001</v>
      </c>
      <c r="AV377" s="6">
        <f>[1]Results!AY110</f>
        <v>0.78083287339999996</v>
      </c>
      <c r="AW377" s="6">
        <f>[1]Results!AZ110</f>
        <v>0.75613993410000002</v>
      </c>
      <c r="AX377" s="6">
        <f>[1]Results!BA110</f>
        <v>0.7323186733</v>
      </c>
      <c r="AY377" s="6">
        <f>[1]Results!BB110</f>
        <v>0.70933012900000003</v>
      </c>
      <c r="AZ377" s="6">
        <f>[1]Results!BC110</f>
        <v>0.68714612770000005</v>
      </c>
      <c r="BA377" s="6">
        <f>[1]Results!BD110</f>
        <v>0.66574453950000001</v>
      </c>
      <c r="BB377" s="6">
        <f>[1]Results!BE110</f>
        <v>0.72578483000000005</v>
      </c>
      <c r="BC377" s="6">
        <f>[1]Results!BF110</f>
        <v>0.70667312709999996</v>
      </c>
      <c r="BD377" s="6">
        <f>[1]Results!BG110</f>
        <v>0.68819737540000003</v>
      </c>
      <c r="BE377" s="6">
        <f>[1]Results!BH110</f>
        <v>0.67033503049999998</v>
      </c>
      <c r="BF377" s="6">
        <f>[1]Results!BI110</f>
        <v>0.65306457139999996</v>
      </c>
    </row>
    <row r="379" spans="1:58" x14ac:dyDescent="0.35">
      <c r="A379" s="12" t="s">
        <v>91</v>
      </c>
      <c r="C379" s="2">
        <v>42005</v>
      </c>
      <c r="D379" s="2">
        <v>42370</v>
      </c>
      <c r="E379" s="2">
        <v>42736</v>
      </c>
      <c r="F379" s="2">
        <v>43101</v>
      </c>
      <c r="G379" s="2">
        <v>43466</v>
      </c>
      <c r="H379" s="2">
        <v>43831</v>
      </c>
      <c r="I379" s="2">
        <v>44197</v>
      </c>
      <c r="J379" s="2">
        <v>44562</v>
      </c>
      <c r="K379" s="2">
        <v>44927</v>
      </c>
      <c r="L379" s="2">
        <v>45292</v>
      </c>
      <c r="M379" s="2">
        <v>45658</v>
      </c>
      <c r="N379" s="2">
        <v>46023</v>
      </c>
      <c r="O379" s="2">
        <v>46388</v>
      </c>
      <c r="P379" s="2">
        <v>46753</v>
      </c>
      <c r="Q379" s="2">
        <v>47119</v>
      </c>
      <c r="R379" s="2">
        <v>47484</v>
      </c>
      <c r="S379" s="2">
        <v>47849</v>
      </c>
      <c r="T379" s="2">
        <v>48214</v>
      </c>
      <c r="U379" s="2">
        <v>48580</v>
      </c>
      <c r="V379" s="2">
        <v>48945</v>
      </c>
      <c r="W379" s="2">
        <v>49310</v>
      </c>
      <c r="X379" s="2">
        <v>49675</v>
      </c>
      <c r="Y379" s="2">
        <v>50041</v>
      </c>
      <c r="Z379" s="2">
        <v>50406</v>
      </c>
      <c r="AA379" s="2">
        <v>50771</v>
      </c>
      <c r="AB379" s="2">
        <v>51136</v>
      </c>
      <c r="AC379" s="2">
        <v>51502</v>
      </c>
      <c r="AD379" s="2">
        <v>51867</v>
      </c>
      <c r="AE379" s="2">
        <v>52232</v>
      </c>
      <c r="AF379" s="2">
        <v>52597</v>
      </c>
      <c r="AG379" s="2">
        <v>52963</v>
      </c>
      <c r="AH379" s="2">
        <v>53328</v>
      </c>
      <c r="AI379" s="2">
        <v>53693</v>
      </c>
      <c r="AJ379" s="2">
        <v>54058</v>
      </c>
      <c r="AK379" s="2">
        <v>54424</v>
      </c>
      <c r="AL379" s="2">
        <v>54789</v>
      </c>
      <c r="AM379" s="2">
        <v>54790</v>
      </c>
      <c r="AN379" s="2">
        <v>54791</v>
      </c>
      <c r="AO379" s="2">
        <v>54792</v>
      </c>
      <c r="AP379" s="2">
        <v>54793</v>
      </c>
      <c r="AQ379" s="2">
        <v>54794</v>
      </c>
      <c r="AR379" s="2">
        <v>54795</v>
      </c>
      <c r="AS379" s="2">
        <v>54796</v>
      </c>
      <c r="AT379" s="2">
        <v>54797</v>
      </c>
      <c r="AU379" s="2">
        <v>54798</v>
      </c>
      <c r="AV379" s="2">
        <v>54799</v>
      </c>
      <c r="AW379" s="2">
        <v>54800</v>
      </c>
      <c r="AX379" s="2">
        <v>54801</v>
      </c>
      <c r="AY379" s="2">
        <v>54802</v>
      </c>
      <c r="AZ379" s="2">
        <v>54803</v>
      </c>
      <c r="BA379" s="2">
        <v>54804</v>
      </c>
      <c r="BB379" s="2">
        <v>54805</v>
      </c>
      <c r="BC379" s="2">
        <v>54806</v>
      </c>
      <c r="BD379" s="2">
        <v>54807</v>
      </c>
      <c r="BE379" s="2">
        <v>54808</v>
      </c>
      <c r="BF379" s="2">
        <v>54809</v>
      </c>
    </row>
    <row r="380" spans="1:58" x14ac:dyDescent="0.35">
      <c r="A380" t="s">
        <v>38</v>
      </c>
      <c r="B380" t="s">
        <v>57</v>
      </c>
      <c r="C380" s="6">
        <f>[1]Results!F112</f>
        <v>3.476542051</v>
      </c>
      <c r="D380" s="6">
        <f>[1]Results!G112</f>
        <v>5.728073051</v>
      </c>
      <c r="E380" s="6">
        <f>[1]Results!H112</f>
        <v>7.9853327690000002</v>
      </c>
      <c r="F380" s="6">
        <f>[1]Results!I112</f>
        <v>10.056993159999999</v>
      </c>
      <c r="G380" s="6">
        <f>[1]Results!J112</f>
        <v>11.813775550000001</v>
      </c>
      <c r="H380" s="6">
        <f>[1]Results!K112</f>
        <v>13.135113049999999</v>
      </c>
      <c r="I380" s="6">
        <f>[1]Results!L112</f>
        <v>16.15393199</v>
      </c>
      <c r="J380" s="6">
        <f>[1]Results!M112</f>
        <v>19.75269544</v>
      </c>
      <c r="K380" s="6">
        <f>[1]Results!N112</f>
        <v>23.48079997</v>
      </c>
      <c r="L380" s="6">
        <f>[1]Results!O112</f>
        <v>27.241878190000001</v>
      </c>
      <c r="M380" s="6">
        <f>[1]Results!P112</f>
        <v>31.07973024</v>
      </c>
      <c r="N380" s="6">
        <f>[1]Results!Q112</f>
        <v>34.932012139999998</v>
      </c>
      <c r="O380" s="6">
        <f>[1]Results!R112</f>
        <v>38.841569</v>
      </c>
      <c r="P380" s="6">
        <f>[1]Results!S112</f>
        <v>42.802409760000003</v>
      </c>
      <c r="Q380" s="6">
        <f>[1]Results!T112</f>
        <v>46.80474676</v>
      </c>
      <c r="R380" s="6">
        <f>[1]Results!U112</f>
        <v>50.837775039999997</v>
      </c>
      <c r="S380" s="6">
        <f>[1]Results!V112</f>
        <v>54.89135598</v>
      </c>
      <c r="T380" s="6">
        <f>[1]Results!W112</f>
        <v>58.956484690000003</v>
      </c>
      <c r="U380" s="6">
        <f>[1]Results!X112</f>
        <v>63.025449279999997</v>
      </c>
      <c r="V380" s="6">
        <f>[1]Results!Y112</f>
        <v>67.091797499999998</v>
      </c>
      <c r="W380" s="6">
        <f>[1]Results!Z112</f>
        <v>71.123265340000003</v>
      </c>
      <c r="X380" s="6">
        <f>[1]Results!AA112</f>
        <v>75.167216609999997</v>
      </c>
      <c r="Y380" s="6">
        <f>[1]Results!AB112</f>
        <v>79.193368809999996</v>
      </c>
      <c r="Z380" s="6">
        <f>[1]Results!AC112</f>
        <v>83.198907149999997</v>
      </c>
      <c r="AA380" s="6">
        <f>[1]Results!AD112</f>
        <v>87.181618319999998</v>
      </c>
      <c r="AB380" s="6">
        <f>[1]Results!AE112</f>
        <v>91.066165269999999</v>
      </c>
      <c r="AC380" s="6">
        <f>[1]Results!AF112</f>
        <v>94.957345329999995</v>
      </c>
      <c r="AD380" s="6">
        <f>[1]Results!AG112</f>
        <v>98.811551129999998</v>
      </c>
      <c r="AE380" s="6">
        <f>[1]Results!AH112</f>
        <v>102.6238754</v>
      </c>
      <c r="AF380" s="6">
        <f>[1]Results!AI112</f>
        <v>106.3894359</v>
      </c>
      <c r="AG380" s="6">
        <f>[1]Results!AJ112</f>
        <v>110.10311110000001</v>
      </c>
      <c r="AH380" s="6">
        <f>[1]Results!AK112</f>
        <v>113.7593318</v>
      </c>
      <c r="AI380" s="6">
        <f>[1]Results!AL112</f>
        <v>117.351805</v>
      </c>
      <c r="AJ380" s="6">
        <f>[1]Results!AM112</f>
        <v>120.8730642</v>
      </c>
      <c r="AK380" s="6">
        <f>[1]Results!AN112</f>
        <v>124.31372930000001</v>
      </c>
      <c r="AL380" s="6">
        <f>[1]Results!AO112</f>
        <v>127.6613107</v>
      </c>
      <c r="AM380" s="6">
        <f>[1]Results!AP112</f>
        <v>130.8814342</v>
      </c>
      <c r="AN380" s="6">
        <f>[1]Results!AQ112</f>
        <v>133.95688329999999</v>
      </c>
      <c r="AO380" s="6">
        <f>[1]Results!AR112</f>
        <v>137.56506379999999</v>
      </c>
      <c r="AP380" s="6">
        <f>[1]Results!AS112</f>
        <v>141.5536601</v>
      </c>
      <c r="AQ380" s="6">
        <f>[1]Results!AT112</f>
        <v>145.3316256</v>
      </c>
      <c r="AR380" s="6">
        <f>[1]Results!AU112</f>
        <v>148.41456109999999</v>
      </c>
      <c r="AS380" s="6">
        <f>[1]Results!AV112</f>
        <v>151.23299410000001</v>
      </c>
      <c r="AT380" s="6">
        <f>[1]Results!AW112</f>
        <v>153.9309112</v>
      </c>
      <c r="AU380" s="6">
        <f>[1]Results!AX112</f>
        <v>156.59355400000001</v>
      </c>
      <c r="AV380" s="6">
        <f>[1]Results!AY112</f>
        <v>159.27890690000001</v>
      </c>
      <c r="AW380" s="6">
        <f>[1]Results!AZ112</f>
        <v>162.01159480000001</v>
      </c>
      <c r="AX380" s="6">
        <f>[1]Results!BA112</f>
        <v>164.7907611</v>
      </c>
      <c r="AY380" s="6">
        <f>[1]Results!BB112</f>
        <v>167.6083659</v>
      </c>
      <c r="AZ380" s="6">
        <f>[1]Results!BC112</f>
        <v>170.45590920000001</v>
      </c>
      <c r="BA380" s="6">
        <f>[1]Results!BD112</f>
        <v>173.32683470000001</v>
      </c>
      <c r="BB380" s="6">
        <f>[1]Results!BE112</f>
        <v>23.02165338</v>
      </c>
      <c r="BC380" s="6">
        <f>[1]Results!BF112</f>
        <v>23.098603359999998</v>
      </c>
      <c r="BD380" s="6">
        <f>[1]Results!BG112</f>
        <v>23.175166600000001</v>
      </c>
      <c r="BE380" s="6">
        <f>[1]Results!BH112</f>
        <v>23.251348539999999</v>
      </c>
      <c r="BF380" s="6">
        <f>[1]Results!BI112</f>
        <v>23.327155260000001</v>
      </c>
    </row>
    <row r="381" spans="1:58" x14ac:dyDescent="0.35">
      <c r="B381" t="s">
        <v>58</v>
      </c>
      <c r="C381" s="6">
        <f>[1]Results!F113</f>
        <v>68.80476281</v>
      </c>
      <c r="D381" s="6">
        <f>[1]Results!G113</f>
        <v>77.167332369999997</v>
      </c>
      <c r="E381" s="6">
        <f>[1]Results!H113</f>
        <v>86.062930530000003</v>
      </c>
      <c r="F381" s="6">
        <f>[1]Results!I113</f>
        <v>95.154023350000003</v>
      </c>
      <c r="G381" s="6">
        <f>[1]Results!J113</f>
        <v>104.87926899999999</v>
      </c>
      <c r="H381" s="6">
        <f>[1]Results!K113</f>
        <v>115.8549111</v>
      </c>
      <c r="I381" s="6">
        <f>[1]Results!L113</f>
        <v>123.87554950000001</v>
      </c>
      <c r="J381" s="6">
        <f>[1]Results!M113</f>
        <v>130.66967320000001</v>
      </c>
      <c r="K381" s="6">
        <f>[1]Results!N113</f>
        <v>136.90724130000001</v>
      </c>
      <c r="L381" s="6">
        <f>[1]Results!O113</f>
        <v>142.87874619999999</v>
      </c>
      <c r="M381" s="6">
        <f>[1]Results!P113</f>
        <v>149.7503117</v>
      </c>
      <c r="N381" s="6">
        <f>[1]Results!Q113</f>
        <v>155.5153186</v>
      </c>
      <c r="O381" s="6">
        <f>[1]Results!R113</f>
        <v>161.25078730000001</v>
      </c>
      <c r="P381" s="6">
        <f>[1]Results!S113</f>
        <v>166.9828522</v>
      </c>
      <c r="Q381" s="6">
        <f>[1]Results!T113</f>
        <v>172.7120276</v>
      </c>
      <c r="R381" s="6">
        <f>[1]Results!U113</f>
        <v>178.40844820000001</v>
      </c>
      <c r="S381" s="6">
        <f>[1]Results!V113</f>
        <v>184.05438810000001</v>
      </c>
      <c r="T381" s="6">
        <f>[1]Results!W113</f>
        <v>189.64195699999999</v>
      </c>
      <c r="U381" s="6">
        <f>[1]Results!X113</f>
        <v>195.16968790000001</v>
      </c>
      <c r="V381" s="6">
        <f>[1]Results!Y113</f>
        <v>200.63973630000001</v>
      </c>
      <c r="W381" s="6">
        <f>[1]Results!Z113</f>
        <v>205.36952769999999</v>
      </c>
      <c r="X381" s="6">
        <f>[1]Results!AA113</f>
        <v>210.73683919999999</v>
      </c>
      <c r="Y381" s="6">
        <f>[1]Results!AB113</f>
        <v>216.0615919</v>
      </c>
      <c r="Z381" s="6">
        <f>[1]Results!AC113</f>
        <v>221.34753459999999</v>
      </c>
      <c r="AA381" s="6">
        <f>[1]Results!AD113</f>
        <v>226.5977163</v>
      </c>
      <c r="AB381" s="6">
        <f>[1]Results!AE113</f>
        <v>229.94070550000001</v>
      </c>
      <c r="AC381" s="6">
        <f>[1]Results!AF113</f>
        <v>234.24730159999999</v>
      </c>
      <c r="AD381" s="6">
        <f>[1]Results!AG113</f>
        <v>238.52996479999999</v>
      </c>
      <c r="AE381" s="6">
        <f>[1]Results!AH113</f>
        <v>242.79333969999999</v>
      </c>
      <c r="AF381" s="6">
        <f>[1]Results!AI113</f>
        <v>247.04126120000001</v>
      </c>
      <c r="AG381" s="6">
        <f>[1]Results!AJ113</f>
        <v>251.2771276</v>
      </c>
      <c r="AH381" s="6">
        <f>[1]Results!AK113</f>
        <v>255.5042004</v>
      </c>
      <c r="AI381" s="6">
        <f>[1]Results!AL113</f>
        <v>259.7259138</v>
      </c>
      <c r="AJ381" s="6">
        <f>[1]Results!AM113</f>
        <v>263.9462613</v>
      </c>
      <c r="AK381" s="6">
        <f>[1]Results!AN113</f>
        <v>268.1703205</v>
      </c>
      <c r="AL381" s="6">
        <f>[1]Results!AO113</f>
        <v>272.40501330000001</v>
      </c>
      <c r="AM381" s="6">
        <f>[1]Results!AP113</f>
        <v>276.26089639999998</v>
      </c>
      <c r="AN381" s="6">
        <f>[1]Results!AQ113</f>
        <v>280.15592149999998</v>
      </c>
      <c r="AO381" s="6">
        <f>[1]Results!AR113</f>
        <v>283.636865</v>
      </c>
      <c r="AP381" s="6">
        <f>[1]Results!AS113</f>
        <v>286.72411419999997</v>
      </c>
      <c r="AQ381" s="6">
        <f>[1]Results!AT113</f>
        <v>289.76669340000001</v>
      </c>
      <c r="AR381" s="6">
        <f>[1]Results!AU113</f>
        <v>293.40424739999997</v>
      </c>
      <c r="AS381" s="6">
        <f>[1]Results!AV113</f>
        <v>297.96970379999999</v>
      </c>
      <c r="AT381" s="6">
        <f>[1]Results!AW113</f>
        <v>303.59847710000003</v>
      </c>
      <c r="AU381" s="6">
        <f>[1]Results!AX113</f>
        <v>310.03447240000003</v>
      </c>
      <c r="AV381" s="6">
        <f>[1]Results!AY113</f>
        <v>316.89266939999999</v>
      </c>
      <c r="AW381" s="6">
        <f>[1]Results!AZ113</f>
        <v>323.89568919999999</v>
      </c>
      <c r="AX381" s="6">
        <f>[1]Results!BA113</f>
        <v>330.82163530000003</v>
      </c>
      <c r="AY381" s="6">
        <f>[1]Results!BB113</f>
        <v>337.57341960000002</v>
      </c>
      <c r="AZ381" s="6">
        <f>[1]Results!BC113</f>
        <v>344.10990390000001</v>
      </c>
      <c r="BA381" s="6">
        <f>[1]Results!BD113</f>
        <v>350.4195206</v>
      </c>
      <c r="BB381" s="6">
        <f>[1]Results!BE113</f>
        <v>505.70694400000002</v>
      </c>
      <c r="BC381" s="6">
        <f>[1]Results!BF113</f>
        <v>512.00260160000005</v>
      </c>
      <c r="BD381" s="6">
        <f>[1]Results!BG113</f>
        <v>518.24737849999997</v>
      </c>
      <c r="BE381" s="6">
        <f>[1]Results!BH113</f>
        <v>524.44232790000001</v>
      </c>
      <c r="BF381" s="6">
        <f>[1]Results!BI113</f>
        <v>530.58864100000005</v>
      </c>
    </row>
    <row r="382" spans="1:58" x14ac:dyDescent="0.35">
      <c r="B382" t="s">
        <v>59</v>
      </c>
      <c r="C382" s="6">
        <f>[1]Results!F114</f>
        <v>408.28039699999999</v>
      </c>
      <c r="D382" s="6">
        <f>[1]Results!G114</f>
        <v>425.42588030000002</v>
      </c>
      <c r="E382" s="6">
        <f>[1]Results!H114</f>
        <v>444.23758850000002</v>
      </c>
      <c r="F382" s="6">
        <f>[1]Results!I114</f>
        <v>463.33273500000001</v>
      </c>
      <c r="G382" s="6">
        <f>[1]Results!J114</f>
        <v>483.26884669999998</v>
      </c>
      <c r="H382" s="6">
        <f>[1]Results!K114</f>
        <v>504.7456555</v>
      </c>
      <c r="I382" s="6">
        <f>[1]Results!L114</f>
        <v>522.5659296</v>
      </c>
      <c r="J382" s="6">
        <f>[1]Results!M114</f>
        <v>539.5354092</v>
      </c>
      <c r="K382" s="6">
        <f>[1]Results!N114</f>
        <v>556.21261630000004</v>
      </c>
      <c r="L382" s="6">
        <f>[1]Results!O114</f>
        <v>572.80595689999996</v>
      </c>
      <c r="M382" s="6">
        <f>[1]Results!P114</f>
        <v>592.31937660000006</v>
      </c>
      <c r="N382" s="6">
        <f>[1]Results!Q114</f>
        <v>608.99810030000003</v>
      </c>
      <c r="O382" s="6">
        <f>[1]Results!R114</f>
        <v>625.80070169999999</v>
      </c>
      <c r="P382" s="6">
        <f>[1]Results!S114</f>
        <v>642.76047170000004</v>
      </c>
      <c r="Q382" s="6">
        <f>[1]Results!T114</f>
        <v>659.84276050000005</v>
      </c>
      <c r="R382" s="6">
        <f>[1]Results!U114</f>
        <v>676.92005730000005</v>
      </c>
      <c r="S382" s="6">
        <f>[1]Results!V114</f>
        <v>693.91094880000003</v>
      </c>
      <c r="T382" s="6">
        <f>[1]Results!W114</f>
        <v>710.77070630000003</v>
      </c>
      <c r="U382" s="6">
        <f>[1]Results!X114</f>
        <v>727.47903659999997</v>
      </c>
      <c r="V382" s="6">
        <f>[1]Results!Y114</f>
        <v>744.030213</v>
      </c>
      <c r="W382" s="6">
        <f>[1]Results!Z114</f>
        <v>758.49839859999997</v>
      </c>
      <c r="X382" s="6">
        <f>[1]Results!AA114</f>
        <v>774.7437377</v>
      </c>
      <c r="Y382" s="6">
        <f>[1]Results!AB114</f>
        <v>790.85126149999996</v>
      </c>
      <c r="Z382" s="6">
        <f>[1]Results!AC114</f>
        <v>806.82740579999995</v>
      </c>
      <c r="AA382" s="6">
        <f>[1]Results!AD114</f>
        <v>822.6776443</v>
      </c>
      <c r="AB382" s="6">
        <f>[1]Results!AE114</f>
        <v>833.14355650000005</v>
      </c>
      <c r="AC382" s="6">
        <f>[1]Results!AF114</f>
        <v>846.27830440000002</v>
      </c>
      <c r="AD382" s="6">
        <f>[1]Results!AG114</f>
        <v>859.30303160000005</v>
      </c>
      <c r="AE382" s="6">
        <f>[1]Results!AH114</f>
        <v>872.22493380000003</v>
      </c>
      <c r="AF382" s="6">
        <f>[1]Results!AI114</f>
        <v>885.04922160000001</v>
      </c>
      <c r="AG382" s="6">
        <f>[1]Results!AJ114</f>
        <v>897.77992759999995</v>
      </c>
      <c r="AH382" s="6">
        <f>[1]Results!AK114</f>
        <v>910.42052020000006</v>
      </c>
      <c r="AI382" s="6">
        <f>[1]Results!AL114</f>
        <v>922.97444589999998</v>
      </c>
      <c r="AJ382" s="6">
        <f>[1]Results!AM114</f>
        <v>935.44569230000002</v>
      </c>
      <c r="AK382" s="6">
        <f>[1]Results!AN114</f>
        <v>947.83943710000005</v>
      </c>
      <c r="AL382" s="6">
        <f>[1]Results!AO114</f>
        <v>960.16287769999997</v>
      </c>
      <c r="AM382" s="6">
        <f>[1]Results!AP114</f>
        <v>971.30360510000003</v>
      </c>
      <c r="AN382" s="6">
        <f>[1]Results!AQ114</f>
        <v>982.40166399999998</v>
      </c>
      <c r="AO382" s="6">
        <f>[1]Results!AR114</f>
        <v>991.87768530000005</v>
      </c>
      <c r="AP382" s="6">
        <f>[1]Results!AS114</f>
        <v>999.65642690000004</v>
      </c>
      <c r="AQ382" s="6">
        <f>[1]Results!AT114</f>
        <v>1006.542068</v>
      </c>
      <c r="AR382" s="6">
        <f>[1]Results!AU114</f>
        <v>1013.509907</v>
      </c>
      <c r="AS382" s="6">
        <f>[1]Results!AV114</f>
        <v>1021.076558</v>
      </c>
      <c r="AT382" s="6">
        <f>[1]Results!AW114</f>
        <v>1029.4893380000001</v>
      </c>
      <c r="AU382" s="6">
        <f>[1]Results!AX114</f>
        <v>1038.5672219999999</v>
      </c>
      <c r="AV382" s="6">
        <f>[1]Results!AY114</f>
        <v>1047.9775810000001</v>
      </c>
      <c r="AW382" s="6">
        <f>[1]Results!AZ114</f>
        <v>1057.5365099999999</v>
      </c>
      <c r="AX382" s="6">
        <f>[1]Results!BA114</f>
        <v>1066.9860819999999</v>
      </c>
      <c r="AY382" s="6">
        <f>[1]Results!BB114</f>
        <v>1076.24227</v>
      </c>
      <c r="AZ382" s="6">
        <f>[1]Results!BC114</f>
        <v>1085.2712449999999</v>
      </c>
      <c r="BA382" s="6">
        <f>[1]Results!BD114</f>
        <v>1094.0653789999999</v>
      </c>
      <c r="BB382" s="6">
        <f>[1]Results!BE114</f>
        <v>1097.5222470000001</v>
      </c>
      <c r="BC382" s="6">
        <f>[1]Results!BF114</f>
        <v>1106.9728580000001</v>
      </c>
      <c r="BD382" s="6">
        <f>[1]Results!BG114</f>
        <v>1116.3591220000001</v>
      </c>
      <c r="BE382" s="6">
        <f>[1]Results!BH114</f>
        <v>1125.682438</v>
      </c>
      <c r="BF382" s="6">
        <f>[1]Results!BI114</f>
        <v>1134.9443100000001</v>
      </c>
    </row>
    <row r="383" spans="1:58" x14ac:dyDescent="0.35">
      <c r="B383" t="s">
        <v>60</v>
      </c>
      <c r="C383" s="6">
        <f>[1]Results!F115</f>
        <v>954.38155940000001</v>
      </c>
      <c r="D383" s="6">
        <f>[1]Results!G115</f>
        <v>947.73355909999998</v>
      </c>
      <c r="E383" s="6">
        <f>[1]Results!H115</f>
        <v>941.2283711</v>
      </c>
      <c r="F383" s="6">
        <f>[1]Results!I115</f>
        <v>934.42179599999997</v>
      </c>
      <c r="G383" s="6">
        <f>[1]Results!J115</f>
        <v>926.613923</v>
      </c>
      <c r="H383" s="6">
        <f>[1]Results!K115</f>
        <v>916.7632711</v>
      </c>
      <c r="I383" s="6">
        <f>[1]Results!L115</f>
        <v>909.83929139999998</v>
      </c>
      <c r="J383" s="6">
        <f>[1]Results!M115</f>
        <v>904.82341440000005</v>
      </c>
      <c r="K383" s="6">
        <f>[1]Results!N115</f>
        <v>900.81661789999998</v>
      </c>
      <c r="L383" s="6">
        <f>[1]Results!O115</f>
        <v>897.29041529999995</v>
      </c>
      <c r="M383" s="6">
        <f>[1]Results!P115</f>
        <v>893.93724150000003</v>
      </c>
      <c r="N383" s="6">
        <f>[1]Results!Q115</f>
        <v>890.56817960000001</v>
      </c>
      <c r="O383" s="6">
        <f>[1]Results!R115</f>
        <v>887.07247070000005</v>
      </c>
      <c r="P383" s="6">
        <f>[1]Results!S115</f>
        <v>883.39455250000003</v>
      </c>
      <c r="Q383" s="6">
        <f>[1]Results!T115</f>
        <v>879.55087639999999</v>
      </c>
      <c r="R383" s="6">
        <f>[1]Results!U115</f>
        <v>875.63410969999995</v>
      </c>
      <c r="S383" s="6">
        <f>[1]Results!V115</f>
        <v>871.69072659999995</v>
      </c>
      <c r="T383" s="6">
        <f>[1]Results!W115</f>
        <v>867.74371870000004</v>
      </c>
      <c r="U383" s="6">
        <f>[1]Results!X115</f>
        <v>863.80423559999997</v>
      </c>
      <c r="V383" s="6">
        <f>[1]Results!Y115</f>
        <v>859.8775521</v>
      </c>
      <c r="W383" s="6">
        <f>[1]Results!Z115</f>
        <v>855.96605980000004</v>
      </c>
      <c r="X383" s="6">
        <f>[1]Results!AA115</f>
        <v>852.0704806</v>
      </c>
      <c r="Y383" s="6">
        <f>[1]Results!AB115</f>
        <v>848.19141909999996</v>
      </c>
      <c r="Z383" s="6">
        <f>[1]Results!AC115</f>
        <v>844.32893769999998</v>
      </c>
      <c r="AA383" s="6">
        <f>[1]Results!AD115</f>
        <v>840.48298269999998</v>
      </c>
      <c r="AB383" s="6">
        <f>[1]Results!AE115</f>
        <v>836.65341279999996</v>
      </c>
      <c r="AC383" s="6">
        <f>[1]Results!AF115</f>
        <v>832.83924190000005</v>
      </c>
      <c r="AD383" s="6">
        <f>[1]Results!AG115</f>
        <v>829.04051460000005</v>
      </c>
      <c r="AE383" s="6">
        <f>[1]Results!AH115</f>
        <v>825.25687040000003</v>
      </c>
      <c r="AF383" s="6">
        <f>[1]Results!AI115</f>
        <v>821.48793460000002</v>
      </c>
      <c r="AG383" s="6">
        <f>[1]Results!AJ115</f>
        <v>817.73330780000003</v>
      </c>
      <c r="AH383" s="6">
        <f>[1]Results!AK115</f>
        <v>813.99254670000005</v>
      </c>
      <c r="AI383" s="6">
        <f>[1]Results!AL115</f>
        <v>810.26513609999995</v>
      </c>
      <c r="AJ383" s="6">
        <f>[1]Results!AM115</f>
        <v>806.55044280000004</v>
      </c>
      <c r="AK383" s="6">
        <f>[1]Results!AN115</f>
        <v>802.84763539999994</v>
      </c>
      <c r="AL383" s="6">
        <f>[1]Results!AO115</f>
        <v>799.15554020000002</v>
      </c>
      <c r="AM383" s="6">
        <f>[1]Results!AP115</f>
        <v>795.47228819999998</v>
      </c>
      <c r="AN383" s="6">
        <f>[1]Results!AQ115</f>
        <v>791.7942554</v>
      </c>
      <c r="AO383" s="6">
        <f>[1]Results!AR115</f>
        <v>788.11404700000003</v>
      </c>
      <c r="AP383" s="6">
        <f>[1]Results!AS115</f>
        <v>784.411877</v>
      </c>
      <c r="AQ383" s="6">
        <f>[1]Results!AT115</f>
        <v>780.60532309999996</v>
      </c>
      <c r="AR383" s="6">
        <f>[1]Results!AU115</f>
        <v>776.02279439999995</v>
      </c>
      <c r="AS383" s="6">
        <f>[1]Results!AV115</f>
        <v>769.69298920000006</v>
      </c>
      <c r="AT383" s="6">
        <f>[1]Results!AW115</f>
        <v>761.28186489999996</v>
      </c>
      <c r="AU383" s="6">
        <f>[1]Results!AX115</f>
        <v>751.25609280000003</v>
      </c>
      <c r="AV383" s="6">
        <f>[1]Results!AY115</f>
        <v>740.34198370000001</v>
      </c>
      <c r="AW383" s="6">
        <f>[1]Results!AZ115</f>
        <v>729.13852229999998</v>
      </c>
      <c r="AX383" s="6">
        <f>[1]Results!BA115</f>
        <v>718.02455210000005</v>
      </c>
      <c r="AY383" s="6">
        <f>[1]Results!BB115</f>
        <v>707.20177409999997</v>
      </c>
      <c r="AZ383" s="6">
        <f>[1]Results!BC115</f>
        <v>696.76091010000005</v>
      </c>
      <c r="BA383" s="6">
        <f>[1]Results!BD115</f>
        <v>686.73197579999999</v>
      </c>
      <c r="BB383" s="6">
        <f>[1]Results!BE115</f>
        <v>484.04968780000002</v>
      </c>
      <c r="BC383" s="6">
        <f>[1]Results!BF115</f>
        <v>477.39374570000001</v>
      </c>
      <c r="BD383" s="6">
        <f>[1]Results!BG115</f>
        <v>470.83057000000002</v>
      </c>
      <c r="BE383" s="6">
        <f>[1]Results!BH115</f>
        <v>464.35802790000002</v>
      </c>
      <c r="BF383" s="6">
        <f>[1]Results!BI115</f>
        <v>457.97382290000002</v>
      </c>
    </row>
    <row r="384" spans="1:58" x14ac:dyDescent="0.35">
      <c r="B384" t="s">
        <v>61</v>
      </c>
      <c r="C384" s="6">
        <f>[1]Results!F116</f>
        <v>878.79999729999997</v>
      </c>
      <c r="D384" s="6">
        <f>[1]Results!G116</f>
        <v>867.99168829999996</v>
      </c>
      <c r="E384" s="6">
        <f>[1]Results!H116</f>
        <v>857.32652840000003</v>
      </c>
      <c r="F384" s="6">
        <f>[1]Results!I116</f>
        <v>846.67891440000005</v>
      </c>
      <c r="G384" s="6">
        <f>[1]Results!J116</f>
        <v>835.88055569999995</v>
      </c>
      <c r="H384" s="6">
        <f>[1]Results!K116</f>
        <v>824.77851780000003</v>
      </c>
      <c r="I384" s="6">
        <f>[1]Results!L116</f>
        <v>813.27390969999999</v>
      </c>
      <c r="J384" s="6">
        <f>[1]Results!M116</f>
        <v>801.3549008</v>
      </c>
      <c r="K384" s="6">
        <f>[1]Results!N116</f>
        <v>789.14539549999995</v>
      </c>
      <c r="L384" s="6">
        <f>[1]Results!O116</f>
        <v>776.7734888</v>
      </c>
      <c r="M384" s="6">
        <f>[1]Results!P116</f>
        <v>764.32659490000003</v>
      </c>
      <c r="N384" s="6">
        <f>[1]Results!Q116</f>
        <v>751.8475062</v>
      </c>
      <c r="O384" s="6">
        <f>[1]Results!R116</f>
        <v>739.34799480000004</v>
      </c>
      <c r="P384" s="6">
        <f>[1]Results!S116</f>
        <v>726.83085089999997</v>
      </c>
      <c r="Q384" s="6">
        <f>[1]Results!T116</f>
        <v>714.32411479999996</v>
      </c>
      <c r="R384" s="6">
        <f>[1]Results!U116</f>
        <v>701.90383759999997</v>
      </c>
      <c r="S384" s="6">
        <f>[1]Results!V116</f>
        <v>689.63336709999999</v>
      </c>
      <c r="T384" s="6">
        <f>[1]Results!W116</f>
        <v>677.55190149999999</v>
      </c>
      <c r="U384" s="6">
        <f>[1]Results!X116</f>
        <v>665.67834619999996</v>
      </c>
      <c r="V384" s="6">
        <f>[1]Results!Y116</f>
        <v>654.01803910000001</v>
      </c>
      <c r="W384" s="6">
        <f>[1]Results!Z116</f>
        <v>642.56726289999995</v>
      </c>
      <c r="X384" s="6">
        <f>[1]Results!AA116</f>
        <v>631.31682420000004</v>
      </c>
      <c r="Y384" s="6">
        <f>[1]Results!AB116</f>
        <v>620.25834780000002</v>
      </c>
      <c r="Z384" s="6">
        <f>[1]Results!AC116</f>
        <v>609.38487090000001</v>
      </c>
      <c r="AA384" s="6">
        <f>[1]Results!AD116</f>
        <v>598.69058659999996</v>
      </c>
      <c r="AB384" s="6">
        <f>[1]Results!AE116</f>
        <v>588.16768039999999</v>
      </c>
      <c r="AC384" s="6">
        <f>[1]Results!AF116</f>
        <v>577.80377250000004</v>
      </c>
      <c r="AD384" s="6">
        <f>[1]Results!AG116</f>
        <v>567.589158</v>
      </c>
      <c r="AE384" s="6">
        <f>[1]Results!AH116</f>
        <v>557.5175534</v>
      </c>
      <c r="AF384" s="6">
        <f>[1]Results!AI116</f>
        <v>547.58542769999997</v>
      </c>
      <c r="AG384" s="6">
        <f>[1]Results!AJ116</f>
        <v>537.79111399999999</v>
      </c>
      <c r="AH384" s="6">
        <f>[1]Results!AK116</f>
        <v>528.13412989999995</v>
      </c>
      <c r="AI384" s="6">
        <f>[1]Results!AL116</f>
        <v>518.61463570000001</v>
      </c>
      <c r="AJ384" s="6">
        <f>[1]Results!AM116</f>
        <v>509.23298940000001</v>
      </c>
      <c r="AK384" s="6">
        <f>[1]Results!AN116</f>
        <v>499.98939739999997</v>
      </c>
      <c r="AL384" s="6">
        <f>[1]Results!AO116</f>
        <v>490.88367030000001</v>
      </c>
      <c r="AM384" s="6">
        <f>[1]Results!AP116</f>
        <v>481.91459550000002</v>
      </c>
      <c r="AN384" s="6">
        <f>[1]Results!AQ116</f>
        <v>473.0791926</v>
      </c>
      <c r="AO384" s="6">
        <f>[1]Results!AR116</f>
        <v>465.74037019999997</v>
      </c>
      <c r="AP384" s="6">
        <f>[1]Results!AS116</f>
        <v>460.12527019999999</v>
      </c>
      <c r="AQ384" s="6">
        <f>[1]Results!AT116</f>
        <v>455.75433459999999</v>
      </c>
      <c r="AR384" s="6">
        <f>[1]Results!AU116</f>
        <v>452.16890740000002</v>
      </c>
      <c r="AS384" s="6">
        <f>[1]Results!AV116</f>
        <v>449.06078609999997</v>
      </c>
      <c r="AT384" s="6">
        <f>[1]Results!AW116</f>
        <v>446.23763279999997</v>
      </c>
      <c r="AU384" s="6">
        <f>[1]Results!AX116</f>
        <v>443.58474239999998</v>
      </c>
      <c r="AV384" s="6">
        <f>[1]Results!AY116</f>
        <v>441.0354198</v>
      </c>
      <c r="AW384" s="6">
        <f>[1]Results!AZ116</f>
        <v>438.55136599999997</v>
      </c>
      <c r="AX384" s="6">
        <f>[1]Results!BA116</f>
        <v>436.1107179</v>
      </c>
      <c r="AY384" s="6">
        <f>[1]Results!BB116</f>
        <v>433.70100409999998</v>
      </c>
      <c r="AZ384" s="6">
        <f>[1]Results!BC116</f>
        <v>431.31511519999998</v>
      </c>
      <c r="BA384" s="6">
        <f>[1]Results!BD116</f>
        <v>428.94898769999998</v>
      </c>
      <c r="BB384" s="6">
        <f>[1]Results!BE116</f>
        <v>627.43126419999999</v>
      </c>
      <c r="BC384" s="6">
        <f>[1]Results!BF116</f>
        <v>623.80247299999996</v>
      </c>
      <c r="BD384" s="6">
        <f>[1]Results!BG116</f>
        <v>620.1914491</v>
      </c>
      <c r="BE384" s="6">
        <f>[1]Results!BH116</f>
        <v>616.59806479999997</v>
      </c>
      <c r="BF384" s="6">
        <f>[1]Results!BI116</f>
        <v>613.02212169999996</v>
      </c>
    </row>
    <row r="385" spans="1:58" x14ac:dyDescent="0.35">
      <c r="B385" t="s">
        <v>62</v>
      </c>
      <c r="C385" s="6">
        <f>[1]Results!F117</f>
        <v>139.85209269999999</v>
      </c>
      <c r="D385" s="6">
        <f>[1]Results!G117</f>
        <v>137.95558740000001</v>
      </c>
      <c r="E385" s="6">
        <f>[1]Results!H117</f>
        <v>136.08700809999999</v>
      </c>
      <c r="F385" s="6">
        <f>[1]Results!I117</f>
        <v>134.24968179999999</v>
      </c>
      <c r="G385" s="6">
        <f>[1]Results!J117</f>
        <v>132.4452435</v>
      </c>
      <c r="H385" s="6">
        <f>[1]Results!K117</f>
        <v>130.6731905</v>
      </c>
      <c r="I385" s="6">
        <f>[1]Results!L117</f>
        <v>128.9314918</v>
      </c>
      <c r="J385" s="6">
        <f>[1]Results!M117</f>
        <v>127.21751829999999</v>
      </c>
      <c r="K385" s="6">
        <f>[1]Results!N117</f>
        <v>125.52896699999999</v>
      </c>
      <c r="L385" s="6">
        <f>[1]Results!O117</f>
        <v>123.8641006</v>
      </c>
      <c r="M385" s="6">
        <f>[1]Results!P117</f>
        <v>122.22178510000001</v>
      </c>
      <c r="N385" s="6">
        <f>[1]Results!Q117</f>
        <v>120.6013514</v>
      </c>
      <c r="O385" s="6">
        <f>[1]Results!R117</f>
        <v>119.0022838</v>
      </c>
      <c r="P385" s="6">
        <f>[1]Results!S117</f>
        <v>117.4241936</v>
      </c>
      <c r="Q385" s="6">
        <f>[1]Results!T117</f>
        <v>115.8667741</v>
      </c>
      <c r="R385" s="6">
        <f>[1]Results!U117</f>
        <v>114.3297414</v>
      </c>
      <c r="S385" s="6">
        <f>[1]Results!V117</f>
        <v>112.8128002</v>
      </c>
      <c r="T385" s="6">
        <f>[1]Results!W117</f>
        <v>111.3156299</v>
      </c>
      <c r="U385" s="6">
        <f>[1]Results!X117</f>
        <v>109.83788749999999</v>
      </c>
      <c r="V385" s="6">
        <f>[1]Results!Y117</f>
        <v>108.3792203</v>
      </c>
      <c r="W385" s="6">
        <f>[1]Results!Z117</f>
        <v>106.93924699999999</v>
      </c>
      <c r="X385" s="6">
        <f>[1]Results!AA117</f>
        <v>105.51758390000001</v>
      </c>
      <c r="Y385" s="6">
        <f>[1]Results!AB117</f>
        <v>104.11393030000001</v>
      </c>
      <c r="Z385" s="6">
        <f>[1]Results!AC117</f>
        <v>102.72802799999999</v>
      </c>
      <c r="AA385" s="6">
        <f>[1]Results!AD117</f>
        <v>101.3596343</v>
      </c>
      <c r="AB385" s="6">
        <f>[1]Results!AE117</f>
        <v>100.0084444</v>
      </c>
      <c r="AC385" s="6">
        <f>[1]Results!AF117</f>
        <v>98.674095919999999</v>
      </c>
      <c r="AD385" s="6">
        <f>[1]Results!AG117</f>
        <v>97.356333120000002</v>
      </c>
      <c r="AE385" s="6">
        <f>[1]Results!AH117</f>
        <v>96.054975470000002</v>
      </c>
      <c r="AF385" s="6">
        <f>[1]Results!AI117</f>
        <v>94.76986891</v>
      </c>
      <c r="AG385" s="6">
        <f>[1]Results!AJ117</f>
        <v>93.500870460000002</v>
      </c>
      <c r="AH385" s="6">
        <f>[1]Results!AK117</f>
        <v>92.247841910000005</v>
      </c>
      <c r="AI385" s="6">
        <f>[1]Results!AL117</f>
        <v>91.010643819999999</v>
      </c>
      <c r="AJ385" s="6">
        <f>[1]Results!AM117</f>
        <v>89.789128739999995</v>
      </c>
      <c r="AK385" s="6">
        <f>[1]Results!AN117</f>
        <v>88.583135220000003</v>
      </c>
      <c r="AL385" s="6">
        <f>[1]Results!AO117</f>
        <v>87.392484109999998</v>
      </c>
      <c r="AM385" s="6">
        <f>[1]Results!AP117</f>
        <v>86.216964919999995</v>
      </c>
      <c r="AN385" s="6">
        <f>[1]Results!AQ117</f>
        <v>85.05633186</v>
      </c>
      <c r="AO385" s="6">
        <f>[1]Results!AR117</f>
        <v>83.910327420000002</v>
      </c>
      <c r="AP385" s="6">
        <f>[1]Results!AS117</f>
        <v>82.778824709999995</v>
      </c>
      <c r="AQ385" s="6">
        <f>[1]Results!AT117</f>
        <v>81.661712589999993</v>
      </c>
      <c r="AR385" s="6">
        <f>[1]Results!AU117</f>
        <v>80.558756000000002</v>
      </c>
      <c r="AS385" s="6">
        <f>[1]Results!AV117</f>
        <v>79.469460699999999</v>
      </c>
      <c r="AT385" s="6">
        <f>[1]Results!AW117</f>
        <v>78.393544259999999</v>
      </c>
      <c r="AU385" s="6">
        <f>[1]Results!AX117</f>
        <v>77.330968499999997</v>
      </c>
      <c r="AV385" s="6">
        <f>[1]Results!AY117</f>
        <v>76.281824499999999</v>
      </c>
      <c r="AW385" s="6">
        <f>[1]Results!AZ117</f>
        <v>75.246216290000007</v>
      </c>
      <c r="AX385" s="6">
        <f>[1]Results!BA117</f>
        <v>74.224191730000001</v>
      </c>
      <c r="AY385" s="6">
        <f>[1]Results!BB117</f>
        <v>73.215719219999997</v>
      </c>
      <c r="AZ385" s="6">
        <f>[1]Results!BC117</f>
        <v>72.220695309999996</v>
      </c>
      <c r="BA385" s="6">
        <f>[1]Results!BD117</f>
        <v>71.238965390000004</v>
      </c>
      <c r="BB385" s="6">
        <f>[1]Results!BE117</f>
        <v>71.569973329999996</v>
      </c>
      <c r="BC385" s="6">
        <f>[1]Results!BF117</f>
        <v>70.642954649999993</v>
      </c>
      <c r="BD385" s="6">
        <f>[1]Results!BG117</f>
        <v>69.727825420000002</v>
      </c>
      <c r="BE385" s="6">
        <f>[1]Results!BH117</f>
        <v>68.824426950000003</v>
      </c>
      <c r="BF385" s="6">
        <f>[1]Results!BI117</f>
        <v>67.932590059999995</v>
      </c>
    </row>
    <row r="386" spans="1:58" x14ac:dyDescent="0.35">
      <c r="B386" t="s">
        <v>63</v>
      </c>
      <c r="C386" s="6">
        <f>[1]Results!F118</f>
        <v>3.874567114</v>
      </c>
      <c r="D386" s="6">
        <f>[1]Results!G118</f>
        <v>3.7242530579999999</v>
      </c>
      <c r="E386" s="6">
        <f>[1]Results!H118</f>
        <v>3.5803475370000002</v>
      </c>
      <c r="F386" s="6">
        <f>[1]Results!I118</f>
        <v>3.442841262</v>
      </c>
      <c r="G386" s="6">
        <f>[1]Results!J118</f>
        <v>3.3116002280000001</v>
      </c>
      <c r="H386" s="6">
        <f>[1]Results!K118</f>
        <v>3.1863415850000001</v>
      </c>
      <c r="I386" s="6">
        <f>[1]Results!L118</f>
        <v>3.0666881849999998</v>
      </c>
      <c r="J386" s="6">
        <f>[1]Results!M118</f>
        <v>2.9522407089999998</v>
      </c>
      <c r="K386" s="6">
        <f>[1]Results!N118</f>
        <v>2.8426427159999998</v>
      </c>
      <c r="L386" s="6">
        <f>[1]Results!O118</f>
        <v>2.7375930880000001</v>
      </c>
      <c r="M386" s="6">
        <f>[1]Results!P118</f>
        <v>2.6368448070000001</v>
      </c>
      <c r="N386" s="6">
        <f>[1]Results!Q118</f>
        <v>2.5401923169999998</v>
      </c>
      <c r="O386" s="6">
        <f>[1]Results!R118</f>
        <v>2.4474481730000002</v>
      </c>
      <c r="P386" s="6">
        <f>[1]Results!S118</f>
        <v>2.3584408379999999</v>
      </c>
      <c r="Q386" s="6">
        <f>[1]Results!T118</f>
        <v>2.2730110859999999</v>
      </c>
      <c r="R386" s="6">
        <f>[1]Results!U118</f>
        <v>2.1910076360000001</v>
      </c>
      <c r="S386" s="6">
        <f>[1]Results!V118</f>
        <v>2.1122844750000001</v>
      </c>
      <c r="T386" s="6">
        <f>[1]Results!W118</f>
        <v>2.0366999610000001</v>
      </c>
      <c r="U386" s="6">
        <f>[1]Results!X118</f>
        <v>1.9641170320000001</v>
      </c>
      <c r="V386" s="6">
        <f>[1]Results!Y118</f>
        <v>1.8944038219999999</v>
      </c>
      <c r="W386" s="6">
        <f>[1]Results!Z118</f>
        <v>1.827432489</v>
      </c>
      <c r="X386" s="6">
        <f>[1]Results!AA118</f>
        <v>1.7630804440000001</v>
      </c>
      <c r="Y386" s="6">
        <f>[1]Results!AB118</f>
        <v>1.7012348310000001</v>
      </c>
      <c r="Z386" s="6">
        <f>[1]Results!AC118</f>
        <v>1.641789803</v>
      </c>
      <c r="AA386" s="6">
        <f>[1]Results!AD118</f>
        <v>1.5846448</v>
      </c>
      <c r="AB386" s="6">
        <f>[1]Results!AE118</f>
        <v>1.52970041</v>
      </c>
      <c r="AC386" s="6">
        <f>[1]Results!AF118</f>
        <v>1.4768584300000001</v>
      </c>
      <c r="AD386" s="6">
        <f>[1]Results!AG118</f>
        <v>1.4260300290000001</v>
      </c>
      <c r="AE386" s="6">
        <f>[1]Results!AH118</f>
        <v>1.377133637</v>
      </c>
      <c r="AF386" s="6">
        <f>[1]Results!AI118</f>
        <v>1.330092345</v>
      </c>
      <c r="AG386" s="6">
        <f>[1]Results!AJ118</f>
        <v>1.284832996</v>
      </c>
      <c r="AH386" s="6">
        <f>[1]Results!AK118</f>
        <v>1.241285752</v>
      </c>
      <c r="AI386" s="6">
        <f>[1]Results!AL118</f>
        <v>1.199383718</v>
      </c>
      <c r="AJ386" s="6">
        <f>[1]Results!AM118</f>
        <v>1.1590625590000001</v>
      </c>
      <c r="AK386" s="6">
        <f>[1]Results!AN118</f>
        <v>1.120260163</v>
      </c>
      <c r="AL386" s="6">
        <f>[1]Results!AO118</f>
        <v>1.0829164099999999</v>
      </c>
      <c r="AM386" s="6">
        <f>[1]Results!AP118</f>
        <v>1.0469725540000001</v>
      </c>
      <c r="AN386" s="6">
        <f>[1]Results!AQ118</f>
        <v>1.0123709780000001</v>
      </c>
      <c r="AO386" s="6">
        <f>[1]Results!AR118</f>
        <v>0.97905609090000001</v>
      </c>
      <c r="AP386" s="6">
        <f>[1]Results!AS118</f>
        <v>0.94697448549999996</v>
      </c>
      <c r="AQ386" s="6">
        <f>[1]Results!AT118</f>
        <v>0.91607486439999997</v>
      </c>
      <c r="AR386" s="6">
        <f>[1]Results!AU118</f>
        <v>0.88630532630000003</v>
      </c>
      <c r="AS386" s="6">
        <f>[1]Results!AV118</f>
        <v>0.85760837779999999</v>
      </c>
      <c r="AT386" s="6">
        <f>[1]Results!AW118</f>
        <v>0.82993687949999995</v>
      </c>
      <c r="AU386" s="6">
        <f>[1]Results!AX118</f>
        <v>0.80325428909999996</v>
      </c>
      <c r="AV386" s="6">
        <f>[1]Results!AY118</f>
        <v>0.77753014170000001</v>
      </c>
      <c r="AW386" s="6">
        <f>[1]Results!AZ118</f>
        <v>0.75273588280000003</v>
      </c>
      <c r="AX386" s="6">
        <f>[1]Results!BA118</f>
        <v>0.72884252439999997</v>
      </c>
      <c r="AY386" s="6">
        <f>[1]Results!BB118</f>
        <v>0.70581989310000004</v>
      </c>
      <c r="AZ386" s="6">
        <f>[1]Results!BC118</f>
        <v>0.68363687809999996</v>
      </c>
      <c r="BA386" s="6">
        <f>[1]Results!BD118</f>
        <v>0.66226205959999995</v>
      </c>
      <c r="BB386" s="6">
        <f>[1]Results!BE118</f>
        <v>0.67613615360000001</v>
      </c>
      <c r="BC386" s="6">
        <f>[1]Results!BF118</f>
        <v>0.65614706970000003</v>
      </c>
      <c r="BD386" s="6">
        <f>[1]Results!BG118</f>
        <v>0.6368516139</v>
      </c>
      <c r="BE386" s="6">
        <f>[1]Results!BH118</f>
        <v>0.61822360580000002</v>
      </c>
      <c r="BF386" s="6">
        <f>[1]Results!BI118</f>
        <v>0.6002375418</v>
      </c>
    </row>
    <row r="388" spans="1:58" x14ac:dyDescent="0.35">
      <c r="A388" s="12" t="s">
        <v>92</v>
      </c>
      <c r="B388" s="6" t="str">
        <f>[1]Emissions!A830</f>
        <v>ems_ci_co2_sagr_2</v>
      </c>
      <c r="C388" s="6">
        <f>[1]Emissions!B830</f>
        <v>14.30761519</v>
      </c>
      <c r="D388" s="6">
        <f>[1]Emissions!C830</f>
        <v>14.45985814</v>
      </c>
      <c r="E388" s="6">
        <f>[1]Emissions!D830</f>
        <v>14.60192705</v>
      </c>
      <c r="F388" s="6">
        <f>[1]Emissions!E830</f>
        <v>14.73958736</v>
      </c>
      <c r="G388" s="6">
        <f>[1]Emissions!F830</f>
        <v>14.8778066</v>
      </c>
      <c r="H388" s="6">
        <f>[1]Emissions!G830</f>
        <v>15.019421039999999</v>
      </c>
      <c r="I388" s="6">
        <f>[1]Emissions!H830</f>
        <v>15.15387018</v>
      </c>
      <c r="J388" s="6">
        <f>[1]Emissions!I830</f>
        <v>15.29087543</v>
      </c>
      <c r="K388" s="6">
        <f>[1]Emissions!J830</f>
        <v>15.432234709999999</v>
      </c>
      <c r="L388" s="6">
        <f>[1]Emissions!K830</f>
        <v>15.578343500000001</v>
      </c>
      <c r="M388" s="6">
        <f>[1]Emissions!L830</f>
        <v>15.7499447</v>
      </c>
      <c r="N388" s="6">
        <f>[1]Emissions!M830</f>
        <v>15.91084738</v>
      </c>
      <c r="O388" s="6">
        <f>[1]Emissions!N830</f>
        <v>16.073399590000001</v>
      </c>
      <c r="P388" s="6">
        <f>[1]Emissions!O830</f>
        <v>16.239238570000001</v>
      </c>
      <c r="Q388" s="6">
        <f>[1]Emissions!P830</f>
        <v>16.408465889999999</v>
      </c>
      <c r="R388" s="6">
        <f>[1]Emissions!Q830</f>
        <v>16.580869660000001</v>
      </c>
      <c r="S388" s="6">
        <f>[1]Emissions!R830</f>
        <v>16.75700776</v>
      </c>
      <c r="T388" s="6">
        <f>[1]Emissions!S830</f>
        <v>16.935916219999999</v>
      </c>
      <c r="U388" s="6">
        <f>[1]Emissions!T830</f>
        <v>17.117207570000001</v>
      </c>
      <c r="V388" s="6">
        <f>[1]Emissions!U830</f>
        <v>17.300603580000001</v>
      </c>
      <c r="W388" s="6">
        <f>[1]Emissions!V830</f>
        <v>17.471095940000001</v>
      </c>
      <c r="X388" s="6">
        <f>[1]Emissions!W830</f>
        <v>17.654781270000001</v>
      </c>
      <c r="Y388" s="6">
        <f>[1]Emissions!X830</f>
        <v>17.84208615</v>
      </c>
      <c r="Z388" s="6">
        <f>[1]Emissions!Y830</f>
        <v>18.03154266</v>
      </c>
      <c r="AA388" s="6">
        <f>[1]Emissions!Z830</f>
        <v>18.222851200000001</v>
      </c>
      <c r="AB388" s="6">
        <f>[1]Emissions!AA830</f>
        <v>18.37404325</v>
      </c>
      <c r="AC388" s="6">
        <f>[1]Emissions!AB830</f>
        <v>18.539473900000001</v>
      </c>
      <c r="AD388" s="6">
        <f>[1]Emissions!AC830</f>
        <v>18.707815669999999</v>
      </c>
      <c r="AE388" s="6">
        <f>[1]Emissions!AD830</f>
        <v>18.877823249999999</v>
      </c>
      <c r="AF388" s="6">
        <f>[1]Emissions!AE830</f>
        <v>19.04950616</v>
      </c>
      <c r="AG388" s="6">
        <f>[1]Emissions!AF830</f>
        <v>19.223062129999999</v>
      </c>
      <c r="AH388" s="6">
        <f>[1]Emissions!AG830</f>
        <v>19.398476200000001</v>
      </c>
      <c r="AI388" s="6">
        <f>[1]Emissions!AH830</f>
        <v>19.576183830000002</v>
      </c>
      <c r="AJ388" s="6">
        <f>[1]Emissions!AI830</f>
        <v>19.756449050000001</v>
      </c>
      <c r="AK388" s="6">
        <f>[1]Emissions!AJ830</f>
        <v>19.939493469999999</v>
      </c>
      <c r="AL388" s="6">
        <f>[1]Emissions!AK830</f>
        <v>20.125503869999999</v>
      </c>
      <c r="AM388" s="6">
        <f>[1]Emissions!AL830</f>
        <v>20.302519539999999</v>
      </c>
      <c r="AN388" s="6">
        <f>[1]Emissions!AM830</f>
        <v>20.479960309999999</v>
      </c>
      <c r="AO388" s="6">
        <f>[1]Emissions!AN830</f>
        <v>20.659394930000001</v>
      </c>
      <c r="AP388" s="6">
        <f>[1]Emissions!AO830</f>
        <v>20.841256349999998</v>
      </c>
      <c r="AQ388" s="6">
        <f>[1]Emissions!AP830</f>
        <v>21.025735539999999</v>
      </c>
      <c r="AR388" s="6">
        <f>[1]Emissions!AQ830</f>
        <v>21.21252878</v>
      </c>
      <c r="AS388" s="6">
        <f>[1]Emissions!AR830</f>
        <v>21.402000220000001</v>
      </c>
      <c r="AT388" s="6">
        <f>[1]Emissions!AS830</f>
        <v>21.594234830000001</v>
      </c>
      <c r="AU388" s="6">
        <f>[1]Emissions!AT830</f>
        <v>21.789273009999999</v>
      </c>
      <c r="AV388" s="6">
        <f>[1]Emissions!AU830</f>
        <v>21.987140910000001</v>
      </c>
      <c r="AW388" s="6">
        <f>[1]Emissions!AV830</f>
        <v>22.172108359999999</v>
      </c>
      <c r="AX388" s="6">
        <f>[1]Emissions!AW830</f>
        <v>22.353566019999999</v>
      </c>
      <c r="AY388" s="6">
        <f>[1]Emissions!AX830</f>
        <v>22.538008120000001</v>
      </c>
      <c r="AZ388" s="6">
        <f>[1]Emissions!AY830</f>
        <v>22.72876836</v>
      </c>
      <c r="BA388" s="6">
        <f>[1]Emissions!AZ830</f>
        <v>22.927284669999999</v>
      </c>
      <c r="BB388" s="6">
        <f>[1]Emissions!BA830</f>
        <v>32.314755179999999</v>
      </c>
      <c r="BC388" s="6">
        <f>[1]Emissions!BB830</f>
        <v>32.851295200000003</v>
      </c>
      <c r="BD388" s="6">
        <f>[1]Emissions!BC830</f>
        <v>33.39604851</v>
      </c>
      <c r="BE388" s="6">
        <f>[1]Emissions!BD830</f>
        <v>33.949292190000001</v>
      </c>
      <c r="BF388" s="6">
        <f>[1]Emissions!BE830</f>
        <v>34.511300030000001</v>
      </c>
    </row>
    <row r="389" spans="1:58" x14ac:dyDescent="0.35">
      <c r="A389" t="s">
        <v>39</v>
      </c>
      <c r="B389" s="6" t="str">
        <f>[1]Emissions!A832</f>
        <v>ems_ci_co2_sfor_2</v>
      </c>
      <c r="C389" s="6">
        <f>[1]Emissions!B832</f>
        <v>0.58345317220000004</v>
      </c>
      <c r="D389" s="6">
        <f>[1]Emissions!C832</f>
        <v>0.58614354729999996</v>
      </c>
      <c r="E389" s="6">
        <f>[1]Emissions!D832</f>
        <v>0.58397908470000004</v>
      </c>
      <c r="F389" s="6">
        <f>[1]Emissions!E832</f>
        <v>0.58247710850000001</v>
      </c>
      <c r="G389" s="6">
        <f>[1]Emissions!F832</f>
        <v>0.58222543559999995</v>
      </c>
      <c r="H389" s="6">
        <f>[1]Emissions!G832</f>
        <v>0.58310625910000002</v>
      </c>
      <c r="I389" s="6">
        <f>[1]Emissions!H832</f>
        <v>0.58468198839999996</v>
      </c>
      <c r="J389" s="6">
        <f>[1]Emissions!I832</f>
        <v>0.58678949430000005</v>
      </c>
      <c r="K389" s="6">
        <f>[1]Emissions!J832</f>
        <v>0.58931319169999996</v>
      </c>
      <c r="L389" s="6">
        <f>[1]Emissions!K832</f>
        <v>0.59217109410000002</v>
      </c>
      <c r="M389" s="6">
        <f>[1]Emissions!L832</f>
        <v>0.59571514410000004</v>
      </c>
      <c r="N389" s="6">
        <f>[1]Emissions!M832</f>
        <v>0.59949666739999996</v>
      </c>
      <c r="O389" s="6">
        <f>[1]Emissions!N832</f>
        <v>0.60341554040000001</v>
      </c>
      <c r="P389" s="6">
        <f>[1]Emissions!O832</f>
        <v>0.6074911127</v>
      </c>
      <c r="Q389" s="6">
        <f>[1]Emissions!P832</f>
        <v>0.6117342938</v>
      </c>
      <c r="R389" s="6">
        <f>[1]Emissions!Q832</f>
        <v>0.61614448420000001</v>
      </c>
      <c r="S389" s="6">
        <f>[1]Emissions!R832</f>
        <v>0.62094294979999998</v>
      </c>
      <c r="T389" s="6">
        <f>[1]Emissions!S832</f>
        <v>0.6259108686</v>
      </c>
      <c r="U389" s="6">
        <f>[1]Emissions!T832</f>
        <v>0.6310202519</v>
      </c>
      <c r="V389" s="6">
        <f>[1]Emissions!U832</f>
        <v>0.63626759290000001</v>
      </c>
      <c r="W389" s="6">
        <f>[1]Emissions!V832</f>
        <v>0.64135465560000005</v>
      </c>
      <c r="X389" s="6">
        <f>[1]Emissions!W832</f>
        <v>0.64672698009999996</v>
      </c>
      <c r="Y389" s="6">
        <f>[1]Emissions!X832</f>
        <v>0.65230711779999995</v>
      </c>
      <c r="Z389" s="6">
        <f>[1]Emissions!Y832</f>
        <v>0.65805630319999997</v>
      </c>
      <c r="AA389" s="6">
        <f>[1]Emissions!Z832</f>
        <v>0.66395832509999997</v>
      </c>
      <c r="AB389" s="6">
        <f>[1]Emissions!AA832</f>
        <v>0.66914783259999999</v>
      </c>
      <c r="AC389" s="6">
        <f>[1]Emissions!AB832</f>
        <v>0.67439559250000003</v>
      </c>
      <c r="AD389" s="6">
        <f>[1]Emissions!AC832</f>
        <v>0.6797860308</v>
      </c>
      <c r="AE389" s="6">
        <f>[1]Emissions!AD832</f>
        <v>0.68531165709999997</v>
      </c>
      <c r="AF389" s="6">
        <f>[1]Emissions!AE832</f>
        <v>0.69096553439999997</v>
      </c>
      <c r="AG389" s="6">
        <f>[1]Emissions!AF832</f>
        <v>0.69674644070000002</v>
      </c>
      <c r="AH389" s="6">
        <f>[1]Emissions!AG832</f>
        <v>0.70258830880000001</v>
      </c>
      <c r="AI389" s="6">
        <f>[1]Emissions!AH832</f>
        <v>0.70855875430000004</v>
      </c>
      <c r="AJ389" s="6">
        <f>[1]Emissions!AI832</f>
        <v>0.71466940850000005</v>
      </c>
      <c r="AK389" s="6">
        <f>[1]Emissions!AJ832</f>
        <v>0.72092508450000004</v>
      </c>
      <c r="AL389" s="6">
        <f>[1]Emissions!AK832</f>
        <v>0.72732978380000002</v>
      </c>
      <c r="AM389" s="6">
        <f>[1]Emissions!AL832</f>
        <v>0.73302697880000001</v>
      </c>
      <c r="AN389" s="6">
        <f>[1]Emissions!AM832</f>
        <v>0.73873220979999998</v>
      </c>
      <c r="AO389" s="6">
        <f>[1]Emissions!AN832</f>
        <v>0.74455599159999997</v>
      </c>
      <c r="AP389" s="6">
        <f>[1]Emissions!AO832</f>
        <v>0.75051543639999996</v>
      </c>
      <c r="AQ389" s="6">
        <f>[1]Emissions!AP832</f>
        <v>0.7566116571</v>
      </c>
      <c r="AR389" s="6">
        <f>[1]Emissions!AQ832</f>
        <v>0.76273244210000002</v>
      </c>
      <c r="AS389" s="6">
        <f>[1]Emissions!AR832</f>
        <v>0.76898101289999998</v>
      </c>
      <c r="AT389" s="6">
        <f>[1]Emissions!AS832</f>
        <v>0.7753693988</v>
      </c>
      <c r="AU389" s="6">
        <f>[1]Emissions!AT832</f>
        <v>0.78189911990000005</v>
      </c>
      <c r="AV389" s="6">
        <f>[1]Emissions!AU832</f>
        <v>0.78857122280000003</v>
      </c>
      <c r="AW389" s="6">
        <f>[1]Emissions!AV832</f>
        <v>0.79493735160000001</v>
      </c>
      <c r="AX389" s="6">
        <f>[1]Emissions!AW832</f>
        <v>0.80135635729999999</v>
      </c>
      <c r="AY389" s="6">
        <f>[1]Emissions!AX832</f>
        <v>0.8078913486</v>
      </c>
      <c r="AZ389" s="6">
        <f>[1]Emissions!AY832</f>
        <v>0.81457098809999995</v>
      </c>
      <c r="BA389" s="6">
        <f>[1]Emissions!AZ832</f>
        <v>0.82141462489999995</v>
      </c>
      <c r="BB389" s="6">
        <f>[1]Emissions!BA832</f>
        <v>0.66328333900000003</v>
      </c>
      <c r="BC389" s="6">
        <f>[1]Emissions!BB832</f>
        <v>0.66823135369999997</v>
      </c>
      <c r="BD389" s="6">
        <f>[1]Emissions!BC832</f>
        <v>0.67327790379999997</v>
      </c>
      <c r="BE389" s="6">
        <f>[1]Emissions!BD832</f>
        <v>0.67842593929999995</v>
      </c>
      <c r="BF389" s="6">
        <f>[1]Emissions!BE832</f>
        <v>0.68367935170000005</v>
      </c>
    </row>
    <row r="390" spans="1:58" x14ac:dyDescent="0.35">
      <c r="B390" s="6" t="str">
        <f>[1]Emissions!A834</f>
        <v>ems_ci_co2_sfoo_2</v>
      </c>
      <c r="C390" s="6">
        <f>[1]Emissions!B834</f>
        <v>8.7636047769999994</v>
      </c>
      <c r="D390" s="6">
        <f>[1]Emissions!C834</f>
        <v>8.8490252920000003</v>
      </c>
      <c r="E390" s="6">
        <f>[1]Emissions!D834</f>
        <v>8.9407590310000007</v>
      </c>
      <c r="F390" s="6">
        <f>[1]Emissions!E834</f>
        <v>9.0455423629999991</v>
      </c>
      <c r="G390" s="6">
        <f>[1]Emissions!F834</f>
        <v>9.1658339770000001</v>
      </c>
      <c r="H390" s="6">
        <f>[1]Emissions!G834</f>
        <v>9.3017974579999994</v>
      </c>
      <c r="I390" s="6">
        <f>[1]Emissions!H834</f>
        <v>9.44731934</v>
      </c>
      <c r="J390" s="6">
        <f>[1]Emissions!I834</f>
        <v>9.6026210130000003</v>
      </c>
      <c r="K390" s="6">
        <f>[1]Emissions!J834</f>
        <v>9.7665200930000005</v>
      </c>
      <c r="L390" s="6">
        <f>[1]Emissions!K834</f>
        <v>9.9376407320000002</v>
      </c>
      <c r="M390" s="6">
        <f>[1]Emissions!L834</f>
        <v>10.123612550000001</v>
      </c>
      <c r="N390" s="6">
        <f>[1]Emissions!M834</f>
        <v>10.31111847</v>
      </c>
      <c r="O390" s="6">
        <f>[1]Emissions!N834</f>
        <v>10.50130201</v>
      </c>
      <c r="P390" s="6">
        <f>[1]Emissions!O834</f>
        <v>10.693706600000001</v>
      </c>
      <c r="Q390" s="6">
        <f>[1]Emissions!P834</f>
        <v>10.887745580000001</v>
      </c>
      <c r="R390" s="6">
        <f>[1]Emissions!Q834</f>
        <v>11.082993</v>
      </c>
      <c r="S390" s="6">
        <f>[1]Emissions!R834</f>
        <v>11.279232260000001</v>
      </c>
      <c r="T390" s="6">
        <f>[1]Emissions!S834</f>
        <v>11.476343630000001</v>
      </c>
      <c r="U390" s="6">
        <f>[1]Emissions!T834</f>
        <v>11.67431019</v>
      </c>
      <c r="V390" s="6">
        <f>[1]Emissions!U834</f>
        <v>11.873188770000001</v>
      </c>
      <c r="W390" s="6">
        <f>[1]Emissions!V834</f>
        <v>12.06632048</v>
      </c>
      <c r="X390" s="6">
        <f>[1]Emissions!W834</f>
        <v>12.263132199999999</v>
      </c>
      <c r="Y390" s="6">
        <f>[1]Emissions!X834</f>
        <v>12.462201670000001</v>
      </c>
      <c r="Z390" s="6">
        <f>[1]Emissions!Y834</f>
        <v>12.663449079999999</v>
      </c>
      <c r="AA390" s="6">
        <f>[1]Emissions!Z834</f>
        <v>12.867009489999999</v>
      </c>
      <c r="AB390" s="6">
        <f>[1]Emissions!AA834</f>
        <v>13.05331908</v>
      </c>
      <c r="AC390" s="6">
        <f>[1]Emissions!AB834</f>
        <v>13.24011608</v>
      </c>
      <c r="AD390" s="6">
        <f>[1]Emissions!AC834</f>
        <v>13.426230179999999</v>
      </c>
      <c r="AE390" s="6">
        <f>[1]Emissions!AD834</f>
        <v>13.61221709</v>
      </c>
      <c r="AF390" s="6">
        <f>[1]Emissions!AE834</f>
        <v>13.79891025</v>
      </c>
      <c r="AG390" s="6">
        <f>[1]Emissions!AF834</f>
        <v>13.987063600000001</v>
      </c>
      <c r="AH390" s="6">
        <f>[1]Emissions!AG834</f>
        <v>14.17727037</v>
      </c>
      <c r="AI390" s="6">
        <f>[1]Emissions!AH834</f>
        <v>14.369986969999999</v>
      </c>
      <c r="AJ390" s="6">
        <f>[1]Emissions!AI834</f>
        <v>14.56554188</v>
      </c>
      <c r="AK390" s="6">
        <f>[1]Emissions!AJ834</f>
        <v>14.764161140000001</v>
      </c>
      <c r="AL390" s="6">
        <f>[1]Emissions!AK834</f>
        <v>14.96599307</v>
      </c>
      <c r="AM390" s="6">
        <f>[1]Emissions!AL834</f>
        <v>15.16624932</v>
      </c>
      <c r="AN390" s="6">
        <f>[1]Emissions!AM834</f>
        <v>15.36676613</v>
      </c>
      <c r="AO390" s="6">
        <f>[1]Emissions!AN834</f>
        <v>15.56824703</v>
      </c>
      <c r="AP390" s="6">
        <f>[1]Emissions!AO834</f>
        <v>15.771202990000001</v>
      </c>
      <c r="AQ390" s="6">
        <f>[1]Emissions!AP834</f>
        <v>15.97610504</v>
      </c>
      <c r="AR390" s="6">
        <f>[1]Emissions!AQ834</f>
        <v>16.183367270000002</v>
      </c>
      <c r="AS390" s="6">
        <f>[1]Emissions!AR834</f>
        <v>16.393362530000001</v>
      </c>
      <c r="AT390" s="6">
        <f>[1]Emissions!AS834</f>
        <v>16.606394389999998</v>
      </c>
      <c r="AU390" s="6">
        <f>[1]Emissions!AT834</f>
        <v>16.822698989999999</v>
      </c>
      <c r="AV390" s="6">
        <f>[1]Emissions!AU834</f>
        <v>17.042453299999998</v>
      </c>
      <c r="AW390" s="6">
        <f>[1]Emissions!AV834</f>
        <v>17.267162859999999</v>
      </c>
      <c r="AX390" s="6">
        <f>[1]Emissions!AW834</f>
        <v>17.497836110000001</v>
      </c>
      <c r="AY390" s="6">
        <f>[1]Emissions!AX834</f>
        <v>17.73490456</v>
      </c>
      <c r="AZ390" s="6">
        <f>[1]Emissions!AY834</f>
        <v>17.97824877</v>
      </c>
      <c r="BA390" s="6">
        <f>[1]Emissions!AZ834</f>
        <v>18.22746587</v>
      </c>
      <c r="BB390" s="6">
        <f>[1]Emissions!BA834</f>
        <v>19.880422360000001</v>
      </c>
      <c r="BC390" s="6">
        <f>[1]Emissions!BB834</f>
        <v>20.200756160000001</v>
      </c>
      <c r="BD390" s="6">
        <f>[1]Emissions!BC834</f>
        <v>20.52564692</v>
      </c>
      <c r="BE390" s="6">
        <f>[1]Emissions!BD834</f>
        <v>20.855267479999998</v>
      </c>
      <c r="BF390" s="6">
        <f>[1]Emissions!BE834</f>
        <v>21.189792629999999</v>
      </c>
    </row>
    <row r="391" spans="1:58" x14ac:dyDescent="0.35">
      <c r="B391" s="6" t="str">
        <f>[1]Emissions!A836</f>
        <v>ems_ci_co2_sveh_2</v>
      </c>
      <c r="C391" s="6">
        <f>[1]Emissions!B836</f>
        <v>1.132985801</v>
      </c>
      <c r="D391" s="6">
        <f>[1]Emissions!C836</f>
        <v>1.149095049</v>
      </c>
      <c r="E391" s="6">
        <f>[1]Emissions!D836</f>
        <v>1.167099592</v>
      </c>
      <c r="F391" s="6">
        <f>[1]Emissions!E836</f>
        <v>1.185693892</v>
      </c>
      <c r="G391" s="6">
        <f>[1]Emissions!F836</f>
        <v>1.2051376739999999</v>
      </c>
      <c r="H391" s="6">
        <f>[1]Emissions!G836</f>
        <v>1.2258033420000001</v>
      </c>
      <c r="I391" s="6">
        <f>[1]Emissions!H836</f>
        <v>1.2466542780000001</v>
      </c>
      <c r="J391" s="6">
        <f>[1]Emissions!I836</f>
        <v>1.268309382</v>
      </c>
      <c r="K391" s="6">
        <f>[1]Emissions!J836</f>
        <v>1.290741573</v>
      </c>
      <c r="L391" s="6">
        <f>[1]Emissions!K836</f>
        <v>1.3138459760000001</v>
      </c>
      <c r="M391" s="6">
        <f>[1]Emissions!L836</f>
        <v>1.3395656140000001</v>
      </c>
      <c r="N391" s="6">
        <f>[1]Emissions!M836</f>
        <v>1.364498166</v>
      </c>
      <c r="O391" s="6">
        <f>[1]Emissions!N836</f>
        <v>1.3895704040000001</v>
      </c>
      <c r="P391" s="6">
        <f>[1]Emissions!O836</f>
        <v>1.4148394660000001</v>
      </c>
      <c r="Q391" s="6">
        <f>[1]Emissions!P836</f>
        <v>1.4402581699999999</v>
      </c>
      <c r="R391" s="6">
        <f>[1]Emissions!Q836</f>
        <v>1.4657561429999999</v>
      </c>
      <c r="S391" s="6">
        <f>[1]Emissions!R836</f>
        <v>1.4912490359999999</v>
      </c>
      <c r="T391" s="6">
        <f>[1]Emissions!S836</f>
        <v>1.516644739</v>
      </c>
      <c r="U391" s="6">
        <f>[1]Emissions!T836</f>
        <v>1.541859936</v>
      </c>
      <c r="V391" s="6">
        <f>[1]Emissions!U836</f>
        <v>1.5668260899999999</v>
      </c>
      <c r="W391" s="6">
        <f>[1]Emissions!V836</f>
        <v>1.5899484189999999</v>
      </c>
      <c r="X391" s="6">
        <f>[1]Emissions!W836</f>
        <v>1.613726021</v>
      </c>
      <c r="Y391" s="6">
        <f>[1]Emissions!X836</f>
        <v>1.637377917</v>
      </c>
      <c r="Z391" s="6">
        <f>[1]Emissions!Y836</f>
        <v>1.660822271</v>
      </c>
      <c r="AA391" s="6">
        <f>[1]Emissions!Z836</f>
        <v>1.6840732540000001</v>
      </c>
      <c r="AB391" s="6">
        <f>[1]Emissions!AA836</f>
        <v>1.702724669</v>
      </c>
      <c r="AC391" s="6">
        <f>[1]Emissions!AB836</f>
        <v>1.7220240689999999</v>
      </c>
      <c r="AD391" s="6">
        <f>[1]Emissions!AC836</f>
        <v>1.7411231599999999</v>
      </c>
      <c r="AE391" s="6">
        <f>[1]Emissions!AD836</f>
        <v>1.760100921</v>
      </c>
      <c r="AF391" s="6">
        <f>[1]Emissions!AE836</f>
        <v>1.779128187</v>
      </c>
      <c r="AG391" s="6">
        <f>[1]Emissions!AF836</f>
        <v>1.798374425</v>
      </c>
      <c r="AH391" s="6">
        <f>[1]Emissions!AG836</f>
        <v>1.818003322</v>
      </c>
      <c r="AI391" s="6">
        <f>[1]Emissions!AH836</f>
        <v>1.838172838</v>
      </c>
      <c r="AJ391" s="6">
        <f>[1]Emissions!AI836</f>
        <v>1.8590272109999999</v>
      </c>
      <c r="AK391" s="6">
        <f>[1]Emissions!AJ836</f>
        <v>1.8806909300000001</v>
      </c>
      <c r="AL391" s="6">
        <f>[1]Emissions!AK836</f>
        <v>1.90326404</v>
      </c>
      <c r="AM391" s="6">
        <f>[1]Emissions!AL836</f>
        <v>1.9257640730000001</v>
      </c>
      <c r="AN391" s="6">
        <f>[1]Emissions!AM836</f>
        <v>1.9489017310000001</v>
      </c>
      <c r="AO391" s="6">
        <f>[1]Emissions!AN836</f>
        <v>1.972821728</v>
      </c>
      <c r="AP391" s="6">
        <f>[1]Emissions!AO836</f>
        <v>1.9975818380000001</v>
      </c>
      <c r="AQ391" s="6">
        <f>[1]Emissions!AP836</f>
        <v>2.0232132850000002</v>
      </c>
      <c r="AR391" s="6">
        <f>[1]Emissions!AQ836</f>
        <v>2.0497302739999999</v>
      </c>
      <c r="AS391" s="6">
        <f>[1]Emissions!AR836</f>
        <v>2.0771383380000001</v>
      </c>
      <c r="AT391" s="6">
        <f>[1]Emissions!AS836</f>
        <v>2.1054337909999998</v>
      </c>
      <c r="AU391" s="6">
        <f>[1]Emissions!AT836</f>
        <v>2.134606609</v>
      </c>
      <c r="AV391" s="6">
        <f>[1]Emissions!AU836</f>
        <v>2.1646414479999998</v>
      </c>
      <c r="AW391" s="6">
        <f>[1]Emissions!AV836</f>
        <v>2.1934234259999998</v>
      </c>
      <c r="AX391" s="6">
        <f>[1]Emissions!AW836</f>
        <v>2.2205645280000001</v>
      </c>
      <c r="AY391" s="6">
        <f>[1]Emissions!AX836</f>
        <v>2.2468060890000001</v>
      </c>
      <c r="AZ391" s="6">
        <f>[1]Emissions!AY836</f>
        <v>2.27314039</v>
      </c>
      <c r="BA391" s="6">
        <f>[1]Emissions!AZ836</f>
        <v>2.300378239</v>
      </c>
      <c r="BB391" s="6">
        <f>[1]Emissions!BA836</f>
        <v>2.502649833</v>
      </c>
      <c r="BC391" s="6">
        <f>[1]Emissions!BB836</f>
        <v>2.5424036750000001</v>
      </c>
      <c r="BD391" s="6">
        <f>[1]Emissions!BC836</f>
        <v>2.5831347830000002</v>
      </c>
      <c r="BE391" s="6">
        <f>[1]Emissions!BD836</f>
        <v>2.6249114059999998</v>
      </c>
      <c r="BF391" s="6">
        <f>[1]Emissions!BE836</f>
        <v>2.6677897210000001</v>
      </c>
    </row>
    <row r="392" spans="1:58" x14ac:dyDescent="0.35">
      <c r="B392" s="6" t="str">
        <f>[1]Emissions!A838</f>
        <v>ems_ci_co2_sgla_2</v>
      </c>
      <c r="C392" s="6">
        <f>[1]Emissions!B838</f>
        <v>7.8353994379999996</v>
      </c>
      <c r="D392" s="6">
        <f>[1]Emissions!C838</f>
        <v>7.9317425979999996</v>
      </c>
      <c r="E392" s="6">
        <f>[1]Emissions!D838</f>
        <v>8.0367934289999994</v>
      </c>
      <c r="F392" s="6">
        <f>[1]Emissions!E838</f>
        <v>8.1506449550000006</v>
      </c>
      <c r="G392" s="6">
        <f>[1]Emissions!F838</f>
        <v>8.2730547829999992</v>
      </c>
      <c r="H392" s="6">
        <f>[1]Emissions!G838</f>
        <v>8.4035246959999998</v>
      </c>
      <c r="I392" s="6">
        <f>[1]Emissions!H838</f>
        <v>8.537332352</v>
      </c>
      <c r="J392" s="6">
        <f>[1]Emissions!I838</f>
        <v>8.6756167210000008</v>
      </c>
      <c r="K392" s="6">
        <f>[1]Emissions!J838</f>
        <v>8.8184585999999996</v>
      </c>
      <c r="L392" s="6">
        <f>[1]Emissions!K838</f>
        <v>8.9657074780000006</v>
      </c>
      <c r="M392" s="6">
        <f>[1]Emissions!L838</f>
        <v>9.1243890390000004</v>
      </c>
      <c r="N392" s="6">
        <f>[1]Emissions!M838</f>
        <v>9.2839896639999999</v>
      </c>
      <c r="O392" s="6">
        <f>[1]Emissions!N838</f>
        <v>9.4463078429999996</v>
      </c>
      <c r="P392" s="6">
        <f>[1]Emissions!O838</f>
        <v>9.6116998529999993</v>
      </c>
      <c r="Q392" s="6">
        <f>[1]Emissions!P838</f>
        <v>9.7802018569999998</v>
      </c>
      <c r="R392" s="6">
        <f>[1]Emissions!Q838</f>
        <v>9.9517877989999999</v>
      </c>
      <c r="S392" s="6">
        <f>[1]Emissions!R838</f>
        <v>10.126432250000001</v>
      </c>
      <c r="T392" s="6">
        <f>[1]Emissions!S838</f>
        <v>10.304120129999999</v>
      </c>
      <c r="U392" s="6">
        <f>[1]Emissions!T838</f>
        <v>10.48485273</v>
      </c>
      <c r="V392" s="6">
        <f>[1]Emissions!U838</f>
        <v>10.66864013</v>
      </c>
      <c r="W392" s="6">
        <f>[1]Emissions!V838</f>
        <v>10.850070029999999</v>
      </c>
      <c r="X392" s="6">
        <f>[1]Emissions!W838</f>
        <v>11.036879280000001</v>
      </c>
      <c r="Y392" s="6">
        <f>[1]Emissions!X838</f>
        <v>11.22761811</v>
      </c>
      <c r="Z392" s="6">
        <f>[1]Emissions!Y838</f>
        <v>11.42192184</v>
      </c>
      <c r="AA392" s="6">
        <f>[1]Emissions!Z838</f>
        <v>11.61967175</v>
      </c>
      <c r="AB392" s="6">
        <f>[1]Emissions!AA838</f>
        <v>11.805027320000001</v>
      </c>
      <c r="AC392" s="6">
        <f>[1]Emissions!AB838</f>
        <v>11.99284198</v>
      </c>
      <c r="AD392" s="6">
        <f>[1]Emissions!AC838</f>
        <v>12.181894359999999</v>
      </c>
      <c r="AE392" s="6">
        <f>[1]Emissions!AD838</f>
        <v>12.37214691</v>
      </c>
      <c r="AF392" s="6">
        <f>[1]Emissions!AE838</f>
        <v>12.563786289999999</v>
      </c>
      <c r="AG392" s="6">
        <f>[1]Emissions!AF838</f>
        <v>12.75700885</v>
      </c>
      <c r="AH392" s="6">
        <f>[1]Emissions!AG838</f>
        <v>12.95196863</v>
      </c>
      <c r="AI392" s="6">
        <f>[1]Emissions!AH838</f>
        <v>13.14876602</v>
      </c>
      <c r="AJ392" s="6">
        <f>[1]Emissions!AI838</f>
        <v>13.347447499999999</v>
      </c>
      <c r="AK392" s="6">
        <f>[1]Emissions!AJ838</f>
        <v>13.54801494</v>
      </c>
      <c r="AL392" s="6">
        <f>[1]Emissions!AK838</f>
        <v>13.75043698</v>
      </c>
      <c r="AM392" s="6">
        <f>[1]Emissions!AL838</f>
        <v>13.950797590000001</v>
      </c>
      <c r="AN392" s="6">
        <f>[1]Emissions!AM838</f>
        <v>14.15060708</v>
      </c>
      <c r="AO392" s="6">
        <f>[1]Emissions!AN838</f>
        <v>14.35036289</v>
      </c>
      <c r="AP392" s="6">
        <f>[1]Emissions!AO838</f>
        <v>14.550316029999999</v>
      </c>
      <c r="AQ392" s="6">
        <f>[1]Emissions!AP838</f>
        <v>14.750646509999999</v>
      </c>
      <c r="AR392" s="6">
        <f>[1]Emissions!AQ838</f>
        <v>14.951504330000001</v>
      </c>
      <c r="AS392" s="6">
        <f>[1]Emissions!AR838</f>
        <v>15.153019759999999</v>
      </c>
      <c r="AT392" s="6">
        <f>[1]Emissions!AS838</f>
        <v>15.35530237</v>
      </c>
      <c r="AU392" s="6">
        <f>[1]Emissions!AT838</f>
        <v>15.55844445</v>
      </c>
      <c r="AV392" s="6">
        <f>[1]Emissions!AU838</f>
        <v>15.76252478</v>
      </c>
      <c r="AW392" s="6">
        <f>[1]Emissions!AV838</f>
        <v>15.96792057</v>
      </c>
      <c r="AX392" s="6">
        <f>[1]Emissions!AW838</f>
        <v>16.175003019999998</v>
      </c>
      <c r="AY392" s="6">
        <f>[1]Emissions!AX838</f>
        <v>16.384154519999999</v>
      </c>
      <c r="AZ392" s="6">
        <f>[1]Emissions!AY838</f>
        <v>16.595561750000002</v>
      </c>
      <c r="BA392" s="6">
        <f>[1]Emissions!AZ838</f>
        <v>16.80926448</v>
      </c>
      <c r="BB392" s="6">
        <f>[1]Emissions!BA838</f>
        <v>18.902690150000002</v>
      </c>
      <c r="BC392" s="6">
        <f>[1]Emissions!BB838</f>
        <v>19.241249150000002</v>
      </c>
      <c r="BD392" s="6">
        <f>[1]Emissions!BC838</f>
        <v>19.583814780000001</v>
      </c>
      <c r="BE392" s="6">
        <f>[1]Emissions!BD838</f>
        <v>19.930375250000001</v>
      </c>
      <c r="BF392" s="6">
        <f>[1]Emissions!BE838</f>
        <v>20.28092526</v>
      </c>
    </row>
    <row r="393" spans="1:58" x14ac:dyDescent="0.35">
      <c r="B393" s="6" t="str">
        <f>[1]Emissions!A840</f>
        <v>ems_ci_co2_spap_2</v>
      </c>
      <c r="C393" s="6">
        <f>[1]Emissions!B840</f>
        <v>2.5593516269999999</v>
      </c>
      <c r="D393" s="6">
        <f>[1]Emissions!C840</f>
        <v>2.5866934769999999</v>
      </c>
      <c r="E393" s="6">
        <f>[1]Emissions!D840</f>
        <v>2.617505913</v>
      </c>
      <c r="F393" s="6">
        <f>[1]Emissions!E840</f>
        <v>2.651945864</v>
      </c>
      <c r="G393" s="6">
        <f>[1]Emissions!F840</f>
        <v>2.6897167400000002</v>
      </c>
      <c r="H393" s="6">
        <f>[1]Emissions!G840</f>
        <v>2.7303597590000002</v>
      </c>
      <c r="I393" s="6">
        <f>[1]Emissions!H840</f>
        <v>2.771658789</v>
      </c>
      <c r="J393" s="6">
        <f>[1]Emissions!I840</f>
        <v>2.8142821410000001</v>
      </c>
      <c r="K393" s="6">
        <f>[1]Emissions!J840</f>
        <v>2.858179325</v>
      </c>
      <c r="L393" s="6">
        <f>[1]Emissions!K840</f>
        <v>2.9032059120000002</v>
      </c>
      <c r="M393" s="6">
        <f>[1]Emissions!L840</f>
        <v>2.952304201</v>
      </c>
      <c r="N393" s="6">
        <f>[1]Emissions!M840</f>
        <v>3.0004038820000001</v>
      </c>
      <c r="O393" s="6">
        <f>[1]Emissions!N840</f>
        <v>3.0488396099999999</v>
      </c>
      <c r="P393" s="6">
        <f>[1]Emissions!O840</f>
        <v>3.0978413499999999</v>
      </c>
      <c r="Q393" s="6">
        <f>[1]Emissions!P840</f>
        <v>3.1474362999999999</v>
      </c>
      <c r="R393" s="6">
        <f>[1]Emissions!Q840</f>
        <v>3.197625897</v>
      </c>
      <c r="S393" s="6">
        <f>[1]Emissions!R840</f>
        <v>3.248404292</v>
      </c>
      <c r="T393" s="6">
        <f>[1]Emissions!S840</f>
        <v>3.2997836089999999</v>
      </c>
      <c r="U393" s="6">
        <f>[1]Emissions!T840</f>
        <v>3.3517863999999999</v>
      </c>
      <c r="V393" s="6">
        <f>[1]Emissions!U840</f>
        <v>3.4044388859999999</v>
      </c>
      <c r="W393" s="6">
        <f>[1]Emissions!V840</f>
        <v>3.4554763639999999</v>
      </c>
      <c r="X393" s="6">
        <f>[1]Emissions!W840</f>
        <v>3.5086257879999998</v>
      </c>
      <c r="Y393" s="6">
        <f>[1]Emissions!X840</f>
        <v>3.5628629119999999</v>
      </c>
      <c r="Z393" s="6">
        <f>[1]Emissions!Y840</f>
        <v>3.6180024350000002</v>
      </c>
      <c r="AA393" s="6">
        <f>[1]Emissions!Z840</f>
        <v>3.6740202019999999</v>
      </c>
      <c r="AB393" s="6">
        <f>[1]Emissions!AA840</f>
        <v>3.72428267</v>
      </c>
      <c r="AC393" s="6">
        <f>[1]Emissions!AB840</f>
        <v>3.7763669310000001</v>
      </c>
      <c r="AD393" s="6">
        <f>[1]Emissions!AC840</f>
        <v>3.8291421649999999</v>
      </c>
      <c r="AE393" s="6">
        <f>[1]Emissions!AD840</f>
        <v>3.8824920010000001</v>
      </c>
      <c r="AF393" s="6">
        <f>[1]Emissions!AE840</f>
        <v>3.9364889509999998</v>
      </c>
      <c r="AG393" s="6">
        <f>[1]Emissions!AF840</f>
        <v>3.9912246929999999</v>
      </c>
      <c r="AH393" s="6">
        <f>[1]Emissions!AG840</f>
        <v>4.0467792579999999</v>
      </c>
      <c r="AI393" s="6">
        <f>[1]Emissions!AH840</f>
        <v>4.103207684</v>
      </c>
      <c r="AJ393" s="6">
        <f>[1]Emissions!AI840</f>
        <v>4.1605438279999998</v>
      </c>
      <c r="AK393" s="6">
        <f>[1]Emissions!AJ840</f>
        <v>4.2188058570000004</v>
      </c>
      <c r="AL393" s="6">
        <f>[1]Emissions!AK840</f>
        <v>4.2780011670000002</v>
      </c>
      <c r="AM393" s="6">
        <f>[1]Emissions!AL840</f>
        <v>4.3365593340000004</v>
      </c>
      <c r="AN393" s="6">
        <f>[1]Emissions!AM840</f>
        <v>4.3954604249999996</v>
      </c>
      <c r="AO393" s="6">
        <f>[1]Emissions!AN840</f>
        <v>4.4549396610000001</v>
      </c>
      <c r="AP393" s="6">
        <f>[1]Emissions!AO840</f>
        <v>4.5150842459999998</v>
      </c>
      <c r="AQ393" s="6">
        <f>[1]Emissions!AP840</f>
        <v>4.5759518669999997</v>
      </c>
      <c r="AR393" s="6">
        <f>[1]Emissions!AQ840</f>
        <v>4.6375992760000004</v>
      </c>
      <c r="AS393" s="6">
        <f>[1]Emissions!AR840</f>
        <v>4.7000699770000001</v>
      </c>
      <c r="AT393" s="6">
        <f>[1]Emissions!AS840</f>
        <v>4.7633961740000004</v>
      </c>
      <c r="AU393" s="6">
        <f>[1]Emissions!AT840</f>
        <v>4.8276008279999996</v>
      </c>
      <c r="AV393" s="6">
        <f>[1]Emissions!AU840</f>
        <v>4.8926995169999996</v>
      </c>
      <c r="AW393" s="6">
        <f>[1]Emissions!AV840</f>
        <v>4.9589492460000004</v>
      </c>
      <c r="AX393" s="6">
        <f>[1]Emissions!AW840</f>
        <v>5.0263689889999998</v>
      </c>
      <c r="AY393" s="6">
        <f>[1]Emissions!AX840</f>
        <v>5.0949765899999999</v>
      </c>
      <c r="AZ393" s="6">
        <f>[1]Emissions!AY840</f>
        <v>5.1647576810000002</v>
      </c>
      <c r="BA393" s="6">
        <f>[1]Emissions!AZ840</f>
        <v>5.2356883910000001</v>
      </c>
      <c r="BB393" s="6">
        <f>[1]Emissions!BA840</f>
        <v>5.7686918350000003</v>
      </c>
      <c r="BC393" s="6">
        <f>[1]Emissions!BB840</f>
        <v>5.8662594649999997</v>
      </c>
      <c r="BD393" s="6">
        <f>[1]Emissions!BC840</f>
        <v>5.9654531390000001</v>
      </c>
      <c r="BE393" s="6">
        <f>[1]Emissions!BD840</f>
        <v>6.0663068249999998</v>
      </c>
      <c r="BF393" s="6">
        <f>[1]Emissions!BE840</f>
        <v>6.1688547480000002</v>
      </c>
    </row>
    <row r="394" spans="1:58" x14ac:dyDescent="0.35">
      <c r="B394" s="6" t="str">
        <f>[1]Emissions!A842</f>
        <v>ems_ci_co2_sche_2</v>
      </c>
      <c r="C394" s="6">
        <f>[1]Emissions!B842</f>
        <v>13.6465134</v>
      </c>
      <c r="D394" s="6">
        <f>[1]Emissions!C842</f>
        <v>13.816650510000001</v>
      </c>
      <c r="E394" s="6">
        <f>[1]Emissions!D842</f>
        <v>14.005348509999999</v>
      </c>
      <c r="F394" s="6">
        <f>[1]Emissions!E842</f>
        <v>14.20821984</v>
      </c>
      <c r="G394" s="6">
        <f>[1]Emissions!F842</f>
        <v>14.423390299999999</v>
      </c>
      <c r="H394" s="6">
        <f>[1]Emissions!G842</f>
        <v>14.649208590000001</v>
      </c>
      <c r="I394" s="6">
        <f>[1]Emissions!H842</f>
        <v>14.873266770000001</v>
      </c>
      <c r="J394" s="6">
        <f>[1]Emissions!I842</f>
        <v>15.102385740000001</v>
      </c>
      <c r="K394" s="6">
        <f>[1]Emissions!J842</f>
        <v>15.336972879999999</v>
      </c>
      <c r="L394" s="6">
        <f>[1]Emissions!K842</f>
        <v>15.5765995</v>
      </c>
      <c r="M394" s="6">
        <f>[1]Emissions!L842</f>
        <v>15.839906129999999</v>
      </c>
      <c r="N394" s="6">
        <f>[1]Emissions!M842</f>
        <v>16.093086759999998</v>
      </c>
      <c r="O394" s="6">
        <f>[1]Emissions!N842</f>
        <v>16.34770786</v>
      </c>
      <c r="P394" s="6">
        <f>[1]Emissions!O842</f>
        <v>16.605442780000001</v>
      </c>
      <c r="Q394" s="6">
        <f>[1]Emissions!P842</f>
        <v>16.866498780000001</v>
      </c>
      <c r="R394" s="6">
        <f>[1]Emissions!Q842</f>
        <v>17.130910140000001</v>
      </c>
      <c r="S394" s="6">
        <f>[1]Emissions!R842</f>
        <v>17.39876525</v>
      </c>
      <c r="T394" s="6">
        <f>[1]Emissions!S842</f>
        <v>17.67013949</v>
      </c>
      <c r="U394" s="6">
        <f>[1]Emissions!T842</f>
        <v>17.945154840000001</v>
      </c>
      <c r="V394" s="6">
        <f>[1]Emissions!U842</f>
        <v>18.223956600000001</v>
      </c>
      <c r="W394" s="6">
        <f>[1]Emissions!V842</f>
        <v>18.49246917</v>
      </c>
      <c r="X394" s="6">
        <f>[1]Emissions!W842</f>
        <v>18.775847679999998</v>
      </c>
      <c r="Y394" s="6">
        <f>[1]Emissions!X842</f>
        <v>19.065434459999999</v>
      </c>
      <c r="Z394" s="6">
        <f>[1]Emissions!Y842</f>
        <v>19.360028060000001</v>
      </c>
      <c r="AA394" s="6">
        <f>[1]Emissions!Z842</f>
        <v>19.659563639999998</v>
      </c>
      <c r="AB394" s="6">
        <f>[1]Emissions!AA842</f>
        <v>19.922913650000002</v>
      </c>
      <c r="AC394" s="6">
        <f>[1]Emissions!AB842</f>
        <v>20.202970220000001</v>
      </c>
      <c r="AD394" s="6">
        <f>[1]Emissions!AC842</f>
        <v>20.488827969999999</v>
      </c>
      <c r="AE394" s="6">
        <f>[1]Emissions!AD842</f>
        <v>20.779230380000001</v>
      </c>
      <c r="AF394" s="6">
        <f>[1]Emissions!AE842</f>
        <v>21.074357580000001</v>
      </c>
      <c r="AG394" s="6">
        <f>[1]Emissions!AF842</f>
        <v>21.374551010000001</v>
      </c>
      <c r="AH394" s="6">
        <f>[1]Emissions!AG842</f>
        <v>21.68009142</v>
      </c>
      <c r="AI394" s="6">
        <f>[1]Emissions!AH842</f>
        <v>21.99119022</v>
      </c>
      <c r="AJ394" s="6">
        <f>[1]Emissions!AI842</f>
        <v>22.307973489999998</v>
      </c>
      <c r="AK394" s="6">
        <f>[1]Emissions!AJ842</f>
        <v>22.630499919999998</v>
      </c>
      <c r="AL394" s="6">
        <f>[1]Emissions!AK842</f>
        <v>22.958778649999999</v>
      </c>
      <c r="AM394" s="6">
        <f>[1]Emissions!AL842</f>
        <v>23.282637430000001</v>
      </c>
      <c r="AN394" s="6">
        <f>[1]Emissions!AM842</f>
        <v>23.609568070000002</v>
      </c>
      <c r="AO394" s="6">
        <f>[1]Emissions!AN842</f>
        <v>23.940867950000001</v>
      </c>
      <c r="AP394" s="6">
        <f>[1]Emissions!AO842</f>
        <v>24.276873519999999</v>
      </c>
      <c r="AQ394" s="6">
        <f>[1]Emissions!AP842</f>
        <v>24.61776394</v>
      </c>
      <c r="AR394" s="6">
        <f>[1]Emissions!AQ842</f>
        <v>24.963663010000001</v>
      </c>
      <c r="AS394" s="6">
        <f>[1]Emissions!AR842</f>
        <v>25.314689850000001</v>
      </c>
      <c r="AT394" s="6">
        <f>[1]Emissions!AS842</f>
        <v>25.67092457</v>
      </c>
      <c r="AU394" s="6">
        <f>[1]Emissions!AT842</f>
        <v>26.032414559999999</v>
      </c>
      <c r="AV394" s="6">
        <f>[1]Emissions!AU842</f>
        <v>26.39918072</v>
      </c>
      <c r="AW394" s="6">
        <f>[1]Emissions!AV842</f>
        <v>26.771950660000002</v>
      </c>
      <c r="AX394" s="6">
        <f>[1]Emissions!AW842</f>
        <v>27.15079858</v>
      </c>
      <c r="AY394" s="6">
        <f>[1]Emissions!AX842</f>
        <v>27.536145470000001</v>
      </c>
      <c r="AZ394" s="6">
        <f>[1]Emissions!AY842</f>
        <v>27.928208510000001</v>
      </c>
      <c r="BA394" s="6">
        <f>[1]Emissions!AZ842</f>
        <v>28.3270518</v>
      </c>
      <c r="BB394" s="6">
        <f>[1]Emissions!BA842</f>
        <v>30.561713749999999</v>
      </c>
      <c r="BC394" s="6">
        <f>[1]Emissions!BB842</f>
        <v>31.087305239999999</v>
      </c>
      <c r="BD394" s="6">
        <f>[1]Emissions!BC842</f>
        <v>31.622493739999999</v>
      </c>
      <c r="BE394" s="6">
        <f>[1]Emissions!BD842</f>
        <v>32.167449670000003</v>
      </c>
      <c r="BF394" s="6">
        <f>[1]Emissions!BE842</f>
        <v>32.722338440000001</v>
      </c>
    </row>
    <row r="395" spans="1:58" x14ac:dyDescent="0.35">
      <c r="B395" s="6" t="str">
        <f>[1]Emissions!A844</f>
        <v>ems_ci_co2_spla_2</v>
      </c>
      <c r="C395" s="6">
        <f>[1]Emissions!B844</f>
        <v>1.5081394319999999</v>
      </c>
      <c r="D395" s="6">
        <f>[1]Emissions!C844</f>
        <v>1.526364716</v>
      </c>
      <c r="E395" s="6">
        <f>[1]Emissions!D844</f>
        <v>1.54649215</v>
      </c>
      <c r="F395" s="6">
        <f>[1]Emissions!E844</f>
        <v>1.5682508509999999</v>
      </c>
      <c r="G395" s="6">
        <f>[1]Emissions!F844</f>
        <v>1.591532183</v>
      </c>
      <c r="H395" s="6">
        <f>[1]Emissions!G844</f>
        <v>1.616221015</v>
      </c>
      <c r="I395" s="6">
        <f>[1]Emissions!H844</f>
        <v>1.641092596</v>
      </c>
      <c r="J395" s="6">
        <f>[1]Emissions!I844</f>
        <v>1.6667068949999999</v>
      </c>
      <c r="K395" s="6">
        <f>[1]Emissions!J844</f>
        <v>1.6930905789999999</v>
      </c>
      <c r="L395" s="6">
        <f>[1]Emissions!K844</f>
        <v>1.720182366</v>
      </c>
      <c r="M395" s="6">
        <f>[1]Emissions!L844</f>
        <v>1.7498206810000001</v>
      </c>
      <c r="N395" s="6">
        <f>[1]Emissions!M844</f>
        <v>1.7787945119999999</v>
      </c>
      <c r="O395" s="6">
        <f>[1]Emissions!N844</f>
        <v>1.808026082</v>
      </c>
      <c r="P395" s="6">
        <f>[1]Emissions!O844</f>
        <v>1.837667387</v>
      </c>
      <c r="Q395" s="6">
        <f>[1]Emissions!P844</f>
        <v>1.867730876</v>
      </c>
      <c r="R395" s="6">
        <f>[1]Emissions!Q844</f>
        <v>1.8982081719999999</v>
      </c>
      <c r="S395" s="6">
        <f>[1]Emissions!R844</f>
        <v>1.929091871</v>
      </c>
      <c r="T395" s="6">
        <f>[1]Emissions!S844</f>
        <v>1.9603778160000001</v>
      </c>
      <c r="U395" s="6">
        <f>[1]Emissions!T844</f>
        <v>1.992067112</v>
      </c>
      <c r="V395" s="6">
        <f>[1]Emissions!U844</f>
        <v>2.0241648149999998</v>
      </c>
      <c r="W395" s="6">
        <f>[1]Emissions!V844</f>
        <v>2.0552538079999998</v>
      </c>
      <c r="X395" s="6">
        <f>[1]Emissions!W844</f>
        <v>2.0877068489999999</v>
      </c>
      <c r="Y395" s="6">
        <f>[1]Emissions!X844</f>
        <v>2.1208143339999999</v>
      </c>
      <c r="Z395" s="6">
        <f>[1]Emissions!Y844</f>
        <v>2.1544525509999999</v>
      </c>
      <c r="AA395" s="6">
        <f>[1]Emissions!Z844</f>
        <v>2.1886083759999999</v>
      </c>
      <c r="AB395" s="6">
        <f>[1]Emissions!AA844</f>
        <v>2.2191571419999998</v>
      </c>
      <c r="AC395" s="6">
        <f>[1]Emissions!AB844</f>
        <v>2.250993169</v>
      </c>
      <c r="AD395" s="6">
        <f>[1]Emissions!AC844</f>
        <v>2.283299966</v>
      </c>
      <c r="AE395" s="6">
        <f>[1]Emissions!AD844</f>
        <v>2.3159789549999998</v>
      </c>
      <c r="AF395" s="6">
        <f>[1]Emissions!AE844</f>
        <v>2.3490625139999999</v>
      </c>
      <c r="AG395" s="6">
        <f>[1]Emissions!AF844</f>
        <v>2.3826009830000001</v>
      </c>
      <c r="AH395" s="6">
        <f>[1]Emissions!AG844</f>
        <v>2.4166400810000002</v>
      </c>
      <c r="AI395" s="6">
        <f>[1]Emissions!AH844</f>
        <v>2.4512163330000001</v>
      </c>
      <c r="AJ395" s="6">
        <f>[1]Emissions!AI844</f>
        <v>2.4863557790000002</v>
      </c>
      <c r="AK395" s="6">
        <f>[1]Emissions!AJ844</f>
        <v>2.5220749570000001</v>
      </c>
      <c r="AL395" s="6">
        <f>[1]Emissions!AK844</f>
        <v>2.5583824420000001</v>
      </c>
      <c r="AM395" s="6">
        <f>[1]Emissions!AL844</f>
        <v>2.5942736449999999</v>
      </c>
      <c r="AN395" s="6">
        <f>[1]Emissions!AM844</f>
        <v>2.6303983620000002</v>
      </c>
      <c r="AO395" s="6">
        <f>[1]Emissions!AN844</f>
        <v>2.6668990379999999</v>
      </c>
      <c r="AP395" s="6">
        <f>[1]Emissions!AO844</f>
        <v>2.7038204060000002</v>
      </c>
      <c r="AQ395" s="6">
        <f>[1]Emissions!AP844</f>
        <v>2.7411872609999999</v>
      </c>
      <c r="AR395" s="6">
        <f>[1]Emissions!AQ844</f>
        <v>2.7790188429999998</v>
      </c>
      <c r="AS395" s="6">
        <f>[1]Emissions!AR844</f>
        <v>2.8173314509999998</v>
      </c>
      <c r="AT395" s="6">
        <f>[1]Emissions!AS844</f>
        <v>2.8561374019999999</v>
      </c>
      <c r="AU395" s="6">
        <f>[1]Emissions!AT844</f>
        <v>2.8954453199999999</v>
      </c>
      <c r="AV395" s="6">
        <f>[1]Emissions!AU844</f>
        <v>2.935260628</v>
      </c>
      <c r="AW395" s="6">
        <f>[1]Emissions!AV844</f>
        <v>2.9755207299999999</v>
      </c>
      <c r="AX395" s="6">
        <f>[1]Emissions!AW844</f>
        <v>3.0162135669999999</v>
      </c>
      <c r="AY395" s="6">
        <f>[1]Emissions!AX844</f>
        <v>3.0574390469999999</v>
      </c>
      <c r="AZ395" s="6">
        <f>[1]Emissions!AY844</f>
        <v>3.099296002</v>
      </c>
      <c r="BA395" s="6">
        <f>[1]Emissions!AZ844</f>
        <v>3.1418526290000002</v>
      </c>
      <c r="BB395" s="6">
        <f>[1]Emissions!BA844</f>
        <v>3.4308599389999999</v>
      </c>
      <c r="BC395" s="6">
        <f>[1]Emissions!BB844</f>
        <v>3.489882326</v>
      </c>
      <c r="BD395" s="6">
        <f>[1]Emissions!BC844</f>
        <v>3.5498856779999999</v>
      </c>
      <c r="BE395" s="6">
        <f>[1]Emissions!BD844</f>
        <v>3.6108895250000002</v>
      </c>
      <c r="BF395" s="6">
        <f>[1]Emissions!BE844</f>
        <v>3.6729123210000001</v>
      </c>
    </row>
    <row r="396" spans="1:58" x14ac:dyDescent="0.35">
      <c r="B396" s="6" t="str">
        <f>[1]Emissions!A846</f>
        <v>ems_ci_co2_smet_2</v>
      </c>
      <c r="C396" s="6">
        <f>[1]Emissions!B846</f>
        <v>19.75651856</v>
      </c>
      <c r="D396" s="6">
        <f>[1]Emissions!C846</f>
        <v>20.002461360000002</v>
      </c>
      <c r="E396" s="6">
        <f>[1]Emissions!D846</f>
        <v>20.27709462</v>
      </c>
      <c r="F396" s="6">
        <f>[1]Emissions!E846</f>
        <v>20.57210109</v>
      </c>
      <c r="G396" s="6">
        <f>[1]Emissions!F846</f>
        <v>20.883216269999998</v>
      </c>
      <c r="H396" s="6">
        <f>[1]Emissions!G846</f>
        <v>21.20835258</v>
      </c>
      <c r="I396" s="6">
        <f>[1]Emissions!H846</f>
        <v>21.532706170000001</v>
      </c>
      <c r="J396" s="6">
        <f>[1]Emissions!I846</f>
        <v>21.864512940000001</v>
      </c>
      <c r="K396" s="6">
        <f>[1]Emissions!J846</f>
        <v>22.205222190000001</v>
      </c>
      <c r="L396" s="6">
        <f>[1]Emissions!K846</f>
        <v>22.554805049999999</v>
      </c>
      <c r="M396" s="6">
        <f>[1]Emissions!L846</f>
        <v>22.936817640000001</v>
      </c>
      <c r="N396" s="6">
        <f>[1]Emissions!M846</f>
        <v>23.310893480000001</v>
      </c>
      <c r="O396" s="6">
        <f>[1]Emissions!N846</f>
        <v>23.688907749999998</v>
      </c>
      <c r="P396" s="6">
        <f>[1]Emissions!O846</f>
        <v>24.073197260000001</v>
      </c>
      <c r="Q396" s="6">
        <f>[1]Emissions!P846</f>
        <v>24.46413471</v>
      </c>
      <c r="R396" s="6">
        <f>[1]Emissions!Q846</f>
        <v>24.861739830000001</v>
      </c>
      <c r="S396" s="6">
        <f>[1]Emissions!R846</f>
        <v>25.266022889999999</v>
      </c>
      <c r="T396" s="6">
        <f>[1]Emissions!S846</f>
        <v>25.677030720000001</v>
      </c>
      <c r="U396" s="6">
        <f>[1]Emissions!T846</f>
        <v>26.094855389999999</v>
      </c>
      <c r="V396" s="6">
        <f>[1]Emissions!U846</f>
        <v>26.519616849999998</v>
      </c>
      <c r="W396" s="6">
        <f>[1]Emissions!V846</f>
        <v>26.93356876</v>
      </c>
      <c r="X396" s="6">
        <f>[1]Emissions!W846</f>
        <v>27.366692270000001</v>
      </c>
      <c r="Y396" s="6">
        <f>[1]Emissions!X846</f>
        <v>27.81000577</v>
      </c>
      <c r="Z396" s="6">
        <f>[1]Emissions!Y846</f>
        <v>28.261688899999999</v>
      </c>
      <c r="AA396" s="6">
        <f>[1]Emissions!Z846</f>
        <v>28.721426709999999</v>
      </c>
      <c r="AB396" s="6">
        <f>[1]Emissions!AA846</f>
        <v>29.13732984</v>
      </c>
      <c r="AC396" s="6">
        <f>[1]Emissions!AB846</f>
        <v>29.571289879999998</v>
      </c>
      <c r="AD396" s="6">
        <f>[1]Emissions!AC846</f>
        <v>30.013050839999998</v>
      </c>
      <c r="AE396" s="6">
        <f>[1]Emissions!AD846</f>
        <v>30.460798230000002</v>
      </c>
      <c r="AF396" s="6">
        <f>[1]Emissions!AE846</f>
        <v>30.9144638</v>
      </c>
      <c r="AG396" s="6">
        <f>[1]Emissions!AF846</f>
        <v>31.374293189999999</v>
      </c>
      <c r="AH396" s="6">
        <f>[1]Emissions!AG846</f>
        <v>31.840529270000001</v>
      </c>
      <c r="AI396" s="6">
        <f>[1]Emissions!AH846</f>
        <v>32.313340779999997</v>
      </c>
      <c r="AJ396" s="6">
        <f>[1]Emissions!AI846</f>
        <v>32.792806720000002</v>
      </c>
      <c r="AK396" s="6">
        <f>[1]Emissions!AJ846</f>
        <v>33.278927539999998</v>
      </c>
      <c r="AL396" s="6">
        <f>[1]Emissions!AK846</f>
        <v>33.771644469999998</v>
      </c>
      <c r="AM396" s="6">
        <f>[1]Emissions!AL846</f>
        <v>34.258151810000001</v>
      </c>
      <c r="AN396" s="6">
        <f>[1]Emissions!AM846</f>
        <v>34.746634239999999</v>
      </c>
      <c r="AO396" s="6">
        <f>[1]Emissions!AN846</f>
        <v>35.23893949</v>
      </c>
      <c r="AP396" s="6">
        <f>[1]Emissions!AO846</f>
        <v>35.735582059999999</v>
      </c>
      <c r="AQ396" s="6">
        <f>[1]Emissions!AP846</f>
        <v>36.236797299999999</v>
      </c>
      <c r="AR396" s="6">
        <f>[1]Emissions!AQ846</f>
        <v>36.742753299999997</v>
      </c>
      <c r="AS396" s="6">
        <f>[1]Emissions!AR846</f>
        <v>37.253597429999999</v>
      </c>
      <c r="AT396" s="6">
        <f>[1]Emissions!AS846</f>
        <v>37.769454719999999</v>
      </c>
      <c r="AU396" s="6">
        <f>[1]Emissions!AT846</f>
        <v>38.290428110000001</v>
      </c>
      <c r="AV396" s="6">
        <f>[1]Emissions!AU846</f>
        <v>38.816600770000001</v>
      </c>
      <c r="AW396" s="6">
        <f>[1]Emissions!AV846</f>
        <v>39.349814170000002</v>
      </c>
      <c r="AX396" s="6">
        <f>[1]Emissions!AW846</f>
        <v>39.890378980000001</v>
      </c>
      <c r="AY396" s="6">
        <f>[1]Emissions!AX846</f>
        <v>40.438709840000001</v>
      </c>
      <c r="AZ396" s="6">
        <f>[1]Emissions!AY846</f>
        <v>40.994854889999999</v>
      </c>
      <c r="BA396" s="6">
        <f>[1]Emissions!AZ846</f>
        <v>41.558649019999997</v>
      </c>
      <c r="BB396" s="6">
        <f>[1]Emissions!BA846</f>
        <v>45.68449012</v>
      </c>
      <c r="BC396" s="6">
        <f>[1]Emissions!BB846</f>
        <v>46.492077760000001</v>
      </c>
      <c r="BD396" s="6">
        <f>[1]Emissions!BC846</f>
        <v>47.312222509999998</v>
      </c>
      <c r="BE396" s="6">
        <f>[1]Emissions!BD846</f>
        <v>48.1450423</v>
      </c>
      <c r="BF396" s="6">
        <f>[1]Emissions!BE846</f>
        <v>48.99065882</v>
      </c>
    </row>
    <row r="397" spans="1:58" x14ac:dyDescent="0.35">
      <c r="B397" s="6" t="str">
        <f>[1]Emissions!A848</f>
        <v>ems_ci_co2_sigo_2</v>
      </c>
      <c r="C397" s="6">
        <f>[1]Emissions!B848</f>
        <v>1.230205456</v>
      </c>
      <c r="D397" s="6">
        <f>[1]Emissions!C848</f>
        <v>1.2474289409999999</v>
      </c>
      <c r="E397" s="6">
        <f>[1]Emissions!D848</f>
        <v>1.2659765249999999</v>
      </c>
      <c r="F397" s="6">
        <f>[1]Emissions!E848</f>
        <v>1.285304805</v>
      </c>
      <c r="G397" s="6">
        <f>[1]Emissions!F848</f>
        <v>1.305501657</v>
      </c>
      <c r="H397" s="6">
        <f>[1]Emissions!G848</f>
        <v>1.326608113</v>
      </c>
      <c r="I397" s="6">
        <f>[1]Emissions!H848</f>
        <v>1.347505621</v>
      </c>
      <c r="J397" s="6">
        <f>[1]Emissions!I848</f>
        <v>1.368936154</v>
      </c>
      <c r="K397" s="6">
        <f>[1]Emissions!J848</f>
        <v>1.3909358839999999</v>
      </c>
      <c r="L397" s="6">
        <f>[1]Emissions!K848</f>
        <v>1.4134627909999999</v>
      </c>
      <c r="M397" s="6">
        <f>[1]Emissions!L848</f>
        <v>1.438360884</v>
      </c>
      <c r="N397" s="6">
        <f>[1]Emissions!M848</f>
        <v>1.46225487</v>
      </c>
      <c r="O397" s="6">
        <f>[1]Emissions!N848</f>
        <v>1.48637131</v>
      </c>
      <c r="P397" s="6">
        <f>[1]Emissions!O848</f>
        <v>1.5108543240000001</v>
      </c>
      <c r="Q397" s="6">
        <f>[1]Emissions!P848</f>
        <v>1.5357103759999999</v>
      </c>
      <c r="R397" s="6">
        <f>[1]Emissions!Q848</f>
        <v>1.5609271810000001</v>
      </c>
      <c r="S397" s="6">
        <f>[1]Emissions!R848</f>
        <v>1.5864899610000001</v>
      </c>
      <c r="T397" s="6">
        <f>[1]Emissions!S848</f>
        <v>1.612383643</v>
      </c>
      <c r="U397" s="6">
        <f>[1]Emissions!T848</f>
        <v>1.6385960239999999</v>
      </c>
      <c r="V397" s="6">
        <f>[1]Emissions!U848</f>
        <v>1.665118248</v>
      </c>
      <c r="W397" s="6">
        <f>[1]Emissions!V848</f>
        <v>1.6905329170000001</v>
      </c>
      <c r="X397" s="6">
        <f>[1]Emissions!W848</f>
        <v>1.717348181</v>
      </c>
      <c r="Y397" s="6">
        <f>[1]Emissions!X848</f>
        <v>1.7446301399999999</v>
      </c>
      <c r="Z397" s="6">
        <f>[1]Emissions!Y848</f>
        <v>1.772265684</v>
      </c>
      <c r="AA397" s="6">
        <f>[1]Emissions!Z848</f>
        <v>1.8002492779999999</v>
      </c>
      <c r="AB397" s="6">
        <f>[1]Emissions!AA848</f>
        <v>1.824497035</v>
      </c>
      <c r="AC397" s="6">
        <f>[1]Emissions!AB848</f>
        <v>1.850355199</v>
      </c>
      <c r="AD397" s="6">
        <f>[1]Emissions!AC848</f>
        <v>1.8766092000000001</v>
      </c>
      <c r="AE397" s="6">
        <f>[1]Emissions!AD848</f>
        <v>1.903146169</v>
      </c>
      <c r="AF397" s="6">
        <f>[1]Emissions!AE848</f>
        <v>1.9299925790000001</v>
      </c>
      <c r="AG397" s="6">
        <f>[1]Emissions!AF848</f>
        <v>1.9571920629999999</v>
      </c>
      <c r="AH397" s="6">
        <f>[1]Emissions!AG848</f>
        <v>1.984788615</v>
      </c>
      <c r="AI397" s="6">
        <f>[1]Emissions!AH848</f>
        <v>2.0128235110000001</v>
      </c>
      <c r="AJ397" s="6">
        <f>[1]Emissions!AI848</f>
        <v>2.0413328370000001</v>
      </c>
      <c r="AK397" s="6">
        <f>[1]Emissions!AJ848</f>
        <v>2.0703463819999999</v>
      </c>
      <c r="AL397" s="6">
        <f>[1]Emissions!AK848</f>
        <v>2.0998871170000002</v>
      </c>
      <c r="AM397" s="6">
        <f>[1]Emissions!AL848</f>
        <v>2.12897296</v>
      </c>
      <c r="AN397" s="6">
        <f>[1]Emissions!AM848</f>
        <v>2.1583748680000001</v>
      </c>
      <c r="AO397" s="6">
        <f>[1]Emissions!AN848</f>
        <v>2.1882051570000001</v>
      </c>
      <c r="AP397" s="6">
        <f>[1]Emissions!AO848</f>
        <v>2.2184891520000001</v>
      </c>
      <c r="AQ397" s="6">
        <f>[1]Emissions!AP848</f>
        <v>2.2492390289999999</v>
      </c>
      <c r="AR397" s="6">
        <f>[1]Emissions!AQ848</f>
        <v>2.2804633349999999</v>
      </c>
      <c r="AS397" s="6">
        <f>[1]Emissions!AR848</f>
        <v>2.312169414</v>
      </c>
      <c r="AT397" s="6">
        <f>[1]Emissions!AS848</f>
        <v>2.3443625840000002</v>
      </c>
      <c r="AU397" s="6">
        <f>[1]Emissions!AT848</f>
        <v>2.3770463519999998</v>
      </c>
      <c r="AV397" s="6">
        <f>[1]Emissions!AU848</f>
        <v>2.4102224880000001</v>
      </c>
      <c r="AW397" s="6">
        <f>[1]Emissions!AV848</f>
        <v>2.4435260209999998</v>
      </c>
      <c r="AX397" s="6">
        <f>[1]Emissions!AW848</f>
        <v>2.4768414939999999</v>
      </c>
      <c r="AY397" s="6">
        <f>[1]Emissions!AX848</f>
        <v>2.5103370159999998</v>
      </c>
      <c r="AZ397" s="6">
        <f>[1]Emissions!AY848</f>
        <v>2.5442311279999998</v>
      </c>
      <c r="BA397" s="6">
        <f>[1]Emissions!AZ848</f>
        <v>2.5786998240000001</v>
      </c>
      <c r="BB397" s="6">
        <f>[1]Emissions!BA848</f>
        <v>2.8515174139999999</v>
      </c>
      <c r="BC397" s="6">
        <f>[1]Emissions!BB848</f>
        <v>2.9011489689999999</v>
      </c>
      <c r="BD397" s="6">
        <f>[1]Emissions!BC848</f>
        <v>2.9516550380000002</v>
      </c>
      <c r="BE397" s="6">
        <f>[1]Emissions!BD848</f>
        <v>3.0030616079999999</v>
      </c>
      <c r="BF397" s="6">
        <f>[1]Emissions!BE848</f>
        <v>3.0553923369999998</v>
      </c>
    </row>
    <row r="398" spans="1:58" x14ac:dyDescent="0.35">
      <c r="B398" s="6" t="str">
        <f>[1]Emissions!A850</f>
        <v>ems_ci_co2_scgo_2</v>
      </c>
      <c r="C398" s="6">
        <f>[1]Emissions!B850</f>
        <v>2.2932251429999999</v>
      </c>
      <c r="D398" s="6">
        <f>[1]Emissions!C850</f>
        <v>2.3136879320000001</v>
      </c>
      <c r="E398" s="6">
        <f>[1]Emissions!D850</f>
        <v>2.3374843840000001</v>
      </c>
      <c r="F398" s="6">
        <f>[1]Emissions!E850</f>
        <v>2.3652719069999999</v>
      </c>
      <c r="G398" s="6">
        <f>[1]Emissions!F850</f>
        <v>2.3968143610000001</v>
      </c>
      <c r="H398" s="6">
        <f>[1]Emissions!G850</f>
        <v>2.4315998350000001</v>
      </c>
      <c r="I398" s="6">
        <f>[1]Emissions!H850</f>
        <v>2.4676027839999999</v>
      </c>
      <c r="J398" s="6">
        <f>[1]Emissions!I850</f>
        <v>2.505096601</v>
      </c>
      <c r="K398" s="6">
        <f>[1]Emissions!J850</f>
        <v>2.5439471280000001</v>
      </c>
      <c r="L398" s="6">
        <f>[1]Emissions!K850</f>
        <v>2.583991374</v>
      </c>
      <c r="M398" s="6">
        <f>[1]Emissions!L850</f>
        <v>2.6276790839999999</v>
      </c>
      <c r="N398" s="6">
        <f>[1]Emissions!M850</f>
        <v>2.6709856749999998</v>
      </c>
      <c r="O398" s="6">
        <f>[1]Emissions!N850</f>
        <v>2.7147442239999999</v>
      </c>
      <c r="P398" s="6">
        <f>[1]Emissions!O850</f>
        <v>2.759118022</v>
      </c>
      <c r="Q398" s="6">
        <f>[1]Emissions!P850</f>
        <v>2.804120749</v>
      </c>
      <c r="R398" s="6">
        <f>[1]Emissions!Q850</f>
        <v>2.8497338399999999</v>
      </c>
      <c r="S398" s="6">
        <f>[1]Emissions!R850</f>
        <v>2.8959107369999999</v>
      </c>
      <c r="T398" s="6">
        <f>[1]Emissions!S850</f>
        <v>2.942620089</v>
      </c>
      <c r="U398" s="6">
        <f>[1]Emissions!T850</f>
        <v>2.9898453589999998</v>
      </c>
      <c r="V398" s="6">
        <f>[1]Emissions!U850</f>
        <v>3.0375772840000002</v>
      </c>
      <c r="W398" s="6">
        <f>[1]Emissions!V850</f>
        <v>3.0838881460000001</v>
      </c>
      <c r="X398" s="6">
        <f>[1]Emissions!W850</f>
        <v>3.1316944950000001</v>
      </c>
      <c r="Y398" s="6">
        <f>[1]Emissions!X850</f>
        <v>3.1803217620000002</v>
      </c>
      <c r="Z398" s="6">
        <f>[1]Emissions!Y850</f>
        <v>3.2296149779999999</v>
      </c>
      <c r="AA398" s="6">
        <f>[1]Emissions!Z850</f>
        <v>3.2795398439999999</v>
      </c>
      <c r="AB398" s="6">
        <f>[1]Emissions!AA850</f>
        <v>3.3245306280000002</v>
      </c>
      <c r="AC398" s="6">
        <f>[1]Emissions!AB850</f>
        <v>3.370400461</v>
      </c>
      <c r="AD398" s="6">
        <f>[1]Emissions!AC850</f>
        <v>3.4165382700000002</v>
      </c>
      <c r="AE398" s="6">
        <f>[1]Emissions!AD850</f>
        <v>3.4629112900000001</v>
      </c>
      <c r="AF398" s="6">
        <f>[1]Emissions!AE850</f>
        <v>3.5096084489999999</v>
      </c>
      <c r="AG398" s="6">
        <f>[1]Emissions!AF850</f>
        <v>3.5567330739999998</v>
      </c>
      <c r="AH398" s="6">
        <f>[1]Emissions!AG850</f>
        <v>3.6043864189999999</v>
      </c>
      <c r="AI398" s="6">
        <f>[1]Emissions!AH850</f>
        <v>3.652649281</v>
      </c>
      <c r="AJ398" s="6">
        <f>[1]Emissions!AI850</f>
        <v>3.701581934</v>
      </c>
      <c r="AK398" s="6">
        <f>[1]Emissions!AJ850</f>
        <v>3.7512275719999999</v>
      </c>
      <c r="AL398" s="6">
        <f>[1]Emissions!AK850</f>
        <v>3.8016151520000001</v>
      </c>
      <c r="AM398" s="6">
        <f>[1]Emissions!AL850</f>
        <v>3.851492259</v>
      </c>
      <c r="AN398" s="6">
        <f>[1]Emissions!AM850</f>
        <v>3.9015673560000002</v>
      </c>
      <c r="AO398" s="6">
        <f>[1]Emissions!AN850</f>
        <v>3.952037893</v>
      </c>
      <c r="AP398" s="6">
        <f>[1]Emissions!AO850</f>
        <v>4.002977628</v>
      </c>
      <c r="AQ398" s="6">
        <f>[1]Emissions!AP850</f>
        <v>4.0544313949999999</v>
      </c>
      <c r="AR398" s="6">
        <f>[1]Emissions!AQ850</f>
        <v>4.1064496769999996</v>
      </c>
      <c r="AS398" s="6">
        <f>[1]Emissions!AR850</f>
        <v>4.1590699359999999</v>
      </c>
      <c r="AT398" s="6">
        <f>[1]Emissions!AS850</f>
        <v>4.2123181250000004</v>
      </c>
      <c r="AU398" s="6">
        <f>[1]Emissions!AT850</f>
        <v>4.2662127879999998</v>
      </c>
      <c r="AV398" s="6">
        <f>[1]Emissions!AU850</f>
        <v>4.3207670360000003</v>
      </c>
      <c r="AW398" s="6">
        <f>[1]Emissions!AV850</f>
        <v>4.3755826019999997</v>
      </c>
      <c r="AX398" s="6">
        <f>[1]Emissions!AW850</f>
        <v>4.430643334</v>
      </c>
      <c r="AY398" s="6">
        <f>[1]Emissions!AX850</f>
        <v>4.4862012330000001</v>
      </c>
      <c r="AZ398" s="6">
        <f>[1]Emissions!AY850</f>
        <v>4.5425253589999999</v>
      </c>
      <c r="BA398" s="6">
        <f>[1]Emissions!AZ850</f>
        <v>4.5998131190000002</v>
      </c>
      <c r="BB398" s="6">
        <f>[1]Emissions!BA850</f>
        <v>5.2745794760000004</v>
      </c>
      <c r="BC398" s="6">
        <f>[1]Emissions!BB850</f>
        <v>5.3645123290000001</v>
      </c>
      <c r="BD398" s="6">
        <f>[1]Emissions!BC850</f>
        <v>5.4558339399999998</v>
      </c>
      <c r="BE398" s="6">
        <f>[1]Emissions!BD850</f>
        <v>5.5485816579999998</v>
      </c>
      <c r="BF398" s="6">
        <f>[1]Emissions!BE850</f>
        <v>5.642790593</v>
      </c>
    </row>
    <row r="399" spans="1:58" x14ac:dyDescent="0.35">
      <c r="B399" s="6" t="str">
        <f>[1]Emissions!A852</f>
        <v>ems_ci_co2_scon_2</v>
      </c>
      <c r="C399" s="6">
        <f>[1]Emissions!B852</f>
        <v>7.7509087120000002</v>
      </c>
      <c r="D399" s="6">
        <f>[1]Emissions!C852</f>
        <v>7.8247108870000002</v>
      </c>
      <c r="E399" s="6">
        <f>[1]Emissions!D852</f>
        <v>7.8967036200000003</v>
      </c>
      <c r="F399" s="6">
        <f>[1]Emissions!E852</f>
        <v>7.9766911809999996</v>
      </c>
      <c r="G399" s="6">
        <f>[1]Emissions!F852</f>
        <v>8.0711047909999998</v>
      </c>
      <c r="H399" s="6">
        <f>[1]Emissions!G852</f>
        <v>8.1827220240000003</v>
      </c>
      <c r="I399" s="6">
        <f>[1]Emissions!H852</f>
        <v>8.3084031159999991</v>
      </c>
      <c r="J399" s="6">
        <f>[1]Emissions!I852</f>
        <v>8.4470305339999996</v>
      </c>
      <c r="K399" s="6">
        <f>[1]Emissions!J852</f>
        <v>8.597773836</v>
      </c>
      <c r="L399" s="6">
        <f>[1]Emissions!K852</f>
        <v>8.759975098</v>
      </c>
      <c r="M399" s="6">
        <f>[1]Emissions!L852</f>
        <v>8.9392611389999992</v>
      </c>
      <c r="N399" s="6">
        <f>[1]Emissions!M852</f>
        <v>9.1297073910000002</v>
      </c>
      <c r="O399" s="6">
        <f>[1]Emissions!N852</f>
        <v>9.3298724859999993</v>
      </c>
      <c r="P399" s="6">
        <f>[1]Emissions!O852</f>
        <v>9.5391355119999997</v>
      </c>
      <c r="Q399" s="6">
        <f>[1]Emissions!P852</f>
        <v>9.7569673669999997</v>
      </c>
      <c r="R399" s="6">
        <f>[1]Emissions!Q852</f>
        <v>9.9827391129999992</v>
      </c>
      <c r="S399" s="6">
        <f>[1]Emissions!R852</f>
        <v>10.21569285</v>
      </c>
      <c r="T399" s="6">
        <f>[1]Emissions!S852</f>
        <v>10.45496355</v>
      </c>
      <c r="U399" s="6">
        <f>[1]Emissions!T852</f>
        <v>10.69965302</v>
      </c>
      <c r="V399" s="6">
        <f>[1]Emissions!U852</f>
        <v>10.94886354</v>
      </c>
      <c r="W399" s="6">
        <f>[1]Emissions!V852</f>
        <v>11.19690726</v>
      </c>
      <c r="X399" s="6">
        <f>[1]Emissions!W852</f>
        <v>11.447166810000001</v>
      </c>
      <c r="Y399" s="6">
        <f>[1]Emissions!X852</f>
        <v>11.69971301</v>
      </c>
      <c r="Z399" s="6">
        <f>[1]Emissions!Y852</f>
        <v>11.95403619</v>
      </c>
      <c r="AA399" s="6">
        <f>[1]Emissions!Z852</f>
        <v>12.20956217</v>
      </c>
      <c r="AB399" s="6">
        <f>[1]Emissions!AA852</f>
        <v>12.451508560000001</v>
      </c>
      <c r="AC399" s="6">
        <f>[1]Emissions!AB852</f>
        <v>12.68507911</v>
      </c>
      <c r="AD399" s="6">
        <f>[1]Emissions!AC852</f>
        <v>12.91147243</v>
      </c>
      <c r="AE399" s="6">
        <f>[1]Emissions!AD852</f>
        <v>13.13117888</v>
      </c>
      <c r="AF399" s="6">
        <f>[1]Emissions!AE852</f>
        <v>13.34454713</v>
      </c>
      <c r="AG399" s="6">
        <f>[1]Emissions!AF852</f>
        <v>13.551950890000001</v>
      </c>
      <c r="AH399" s="6">
        <f>[1]Emissions!AG852</f>
        <v>13.75384753</v>
      </c>
      <c r="AI399" s="6">
        <f>[1]Emissions!AH852</f>
        <v>13.950780440000001</v>
      </c>
      <c r="AJ399" s="6">
        <f>[1]Emissions!AI852</f>
        <v>14.143327530000001</v>
      </c>
      <c r="AK399" s="6">
        <f>[1]Emissions!AJ852</f>
        <v>14.332054619999999</v>
      </c>
      <c r="AL399" s="6">
        <f>[1]Emissions!AK852</f>
        <v>14.51747533</v>
      </c>
      <c r="AM399" s="6">
        <f>[1]Emissions!AL852</f>
        <v>14.696504089999999</v>
      </c>
      <c r="AN399" s="6">
        <f>[1]Emissions!AM852</f>
        <v>14.86900786</v>
      </c>
      <c r="AO399" s="6">
        <f>[1]Emissions!AN852</f>
        <v>15.03534339</v>
      </c>
      <c r="AP399" s="6">
        <f>[1]Emissions!AO852</f>
        <v>15.19593111</v>
      </c>
      <c r="AQ399" s="6">
        <f>[1]Emissions!AP852</f>
        <v>15.35117127</v>
      </c>
      <c r="AR399" s="6">
        <f>[1]Emissions!AQ852</f>
        <v>15.501432080000001</v>
      </c>
      <c r="AS399" s="6">
        <f>[1]Emissions!AR852</f>
        <v>15.64708123</v>
      </c>
      <c r="AT399" s="6">
        <f>[1]Emissions!AS852</f>
        <v>15.788479819999999</v>
      </c>
      <c r="AU399" s="6">
        <f>[1]Emissions!AT852</f>
        <v>15.925992239999999</v>
      </c>
      <c r="AV399" s="6">
        <f>[1]Emissions!AU852</f>
        <v>16.059986510000002</v>
      </c>
      <c r="AW399" s="6">
        <f>[1]Emissions!AV852</f>
        <v>16.179726339999998</v>
      </c>
      <c r="AX399" s="6">
        <f>[1]Emissions!AW852</f>
        <v>16.283828110000002</v>
      </c>
      <c r="AY399" s="6">
        <f>[1]Emissions!AX852</f>
        <v>16.376431149999998</v>
      </c>
      <c r="AZ399" s="6">
        <f>[1]Emissions!AY852</f>
        <v>16.462923450000002</v>
      </c>
      <c r="BA399" s="6">
        <f>[1]Emissions!AZ852</f>
        <v>16.547803859999998</v>
      </c>
      <c r="BB399" s="6">
        <f>[1]Emissions!BA852</f>
        <v>23.246582029999999</v>
      </c>
      <c r="BC399" s="6">
        <f>[1]Emissions!BB852</f>
        <v>23.652213870000001</v>
      </c>
      <c r="BD399" s="6">
        <f>[1]Emissions!BC852</f>
        <v>24.054386350000001</v>
      </c>
      <c r="BE399" s="6">
        <f>[1]Emissions!BD852</f>
        <v>24.453275439999999</v>
      </c>
      <c r="BF399" s="6">
        <f>[1]Emissions!BE852</f>
        <v>24.84906221</v>
      </c>
    </row>
    <row r="400" spans="1:58" x14ac:dyDescent="0.35">
      <c r="B400" s="6" t="str">
        <f>[1]Emissions!A854</f>
        <v>ems_ci_co2_srai_2</v>
      </c>
      <c r="C400" s="6">
        <f>[1]Emissions!B854</f>
        <v>1.738130263</v>
      </c>
      <c r="D400" s="6">
        <f>[1]Emissions!C854</f>
        <v>1.757615122</v>
      </c>
      <c r="E400" s="6">
        <f>[1]Emissions!D854</f>
        <v>1.778030351</v>
      </c>
      <c r="F400" s="6">
        <f>[1]Emissions!E854</f>
        <v>1.799797511</v>
      </c>
      <c r="G400" s="6">
        <f>[1]Emissions!F854</f>
        <v>1.823021212</v>
      </c>
      <c r="H400" s="6">
        <f>[1]Emissions!G854</f>
        <v>1.847637266</v>
      </c>
      <c r="I400" s="6">
        <f>[1]Emissions!H854</f>
        <v>1.872529876</v>
      </c>
      <c r="J400" s="6">
        <f>[1]Emissions!I854</f>
        <v>1.898096096</v>
      </c>
      <c r="K400" s="6">
        <f>[1]Emissions!J854</f>
        <v>1.924359009</v>
      </c>
      <c r="L400" s="6">
        <f>[1]Emissions!K854</f>
        <v>1.9512637479999999</v>
      </c>
      <c r="M400" s="6">
        <f>[1]Emissions!L854</f>
        <v>1.9804692290000001</v>
      </c>
      <c r="N400" s="6">
        <f>[1]Emissions!M854</f>
        <v>2.0092267540000002</v>
      </c>
      <c r="O400" s="6">
        <f>[1]Emissions!N854</f>
        <v>2.038162094</v>
      </c>
      <c r="P400" s="6">
        <f>[1]Emissions!O854</f>
        <v>2.0673951499999998</v>
      </c>
      <c r="Q400" s="6">
        <f>[1]Emissions!P854</f>
        <v>2.0969391430000002</v>
      </c>
      <c r="R400" s="6">
        <f>[1]Emissions!Q854</f>
        <v>2.126793755</v>
      </c>
      <c r="S400" s="6">
        <f>[1]Emissions!R854</f>
        <v>2.1569598920000002</v>
      </c>
      <c r="T400" s="6">
        <f>[1]Emissions!S854</f>
        <v>2.187449822</v>
      </c>
      <c r="U400" s="6">
        <f>[1]Emissions!T854</f>
        <v>2.2182766379999999</v>
      </c>
      <c r="V400" s="6">
        <f>[1]Emissions!U854</f>
        <v>2.2494546139999998</v>
      </c>
      <c r="W400" s="6">
        <f>[1]Emissions!V854</f>
        <v>2.279717056</v>
      </c>
      <c r="X400" s="6">
        <f>[1]Emissions!W854</f>
        <v>2.3110818110000002</v>
      </c>
      <c r="Y400" s="6">
        <f>[1]Emissions!X854</f>
        <v>2.3430626050000001</v>
      </c>
      <c r="Z400" s="6">
        <f>[1]Emissions!Y854</f>
        <v>2.3755570760000002</v>
      </c>
      <c r="AA400" s="6">
        <f>[1]Emissions!Z854</f>
        <v>2.40854846</v>
      </c>
      <c r="AB400" s="6">
        <f>[1]Emissions!AA854</f>
        <v>2.4383301930000001</v>
      </c>
      <c r="AC400" s="6">
        <f>[1]Emissions!AB854</f>
        <v>2.4689410270000001</v>
      </c>
      <c r="AD400" s="6">
        <f>[1]Emissions!AC854</f>
        <v>2.4999000320000002</v>
      </c>
      <c r="AE400" s="6">
        <f>[1]Emissions!AD854</f>
        <v>2.5311669320000001</v>
      </c>
      <c r="AF400" s="6">
        <f>[1]Emissions!AE854</f>
        <v>2.5627947870000001</v>
      </c>
      <c r="AG400" s="6">
        <f>[1]Emissions!AF854</f>
        <v>2.594843376</v>
      </c>
      <c r="AH400" s="6">
        <f>[1]Emissions!AG854</f>
        <v>2.6273610280000002</v>
      </c>
      <c r="AI400" s="6">
        <f>[1]Emissions!AH854</f>
        <v>2.66037955</v>
      </c>
      <c r="AJ400" s="6">
        <f>[1]Emissions!AI854</f>
        <v>2.6939191029999998</v>
      </c>
      <c r="AK400" s="6">
        <f>[1]Emissions!AJ854</f>
        <v>2.7279906779999998</v>
      </c>
      <c r="AL400" s="6">
        <f>[1]Emissions!AK854</f>
        <v>2.7625989720000002</v>
      </c>
      <c r="AM400" s="6">
        <f>[1]Emissions!AL854</f>
        <v>2.7968551640000001</v>
      </c>
      <c r="AN400" s="6">
        <f>[1]Emissions!AM854</f>
        <v>2.8312484119999999</v>
      </c>
      <c r="AO400" s="6">
        <f>[1]Emissions!AN854</f>
        <v>2.8659268390000001</v>
      </c>
      <c r="AP400" s="6">
        <f>[1]Emissions!AO854</f>
        <v>2.9009592560000002</v>
      </c>
      <c r="AQ400" s="6">
        <f>[1]Emissions!AP854</f>
        <v>2.9363939669999999</v>
      </c>
      <c r="AR400" s="6">
        <f>[1]Emissions!AQ854</f>
        <v>2.9722714020000001</v>
      </c>
      <c r="AS400" s="6">
        <f>[1]Emissions!AR854</f>
        <v>3.0086207620000001</v>
      </c>
      <c r="AT400" s="6">
        <f>[1]Emissions!AS854</f>
        <v>3.0454648190000002</v>
      </c>
      <c r="AU400" s="6">
        <f>[1]Emissions!AT854</f>
        <v>3.0828196480000001</v>
      </c>
      <c r="AV400" s="6">
        <f>[1]Emissions!AU854</f>
        <v>3.120695773</v>
      </c>
      <c r="AW400" s="6">
        <f>[1]Emissions!AV854</f>
        <v>3.159267507</v>
      </c>
      <c r="AX400" s="6">
        <f>[1]Emissions!AW854</f>
        <v>3.1985211059999998</v>
      </c>
      <c r="AY400" s="6">
        <f>[1]Emissions!AX854</f>
        <v>3.2384449160000002</v>
      </c>
      <c r="AZ400" s="6">
        <f>[1]Emissions!AY854</f>
        <v>3.2790207859999998</v>
      </c>
      <c r="BA400" s="6">
        <f>[1]Emissions!AZ854</f>
        <v>3.3202344020000001</v>
      </c>
      <c r="BB400" s="6">
        <f>[1]Emissions!BA854</f>
        <v>3.575424505</v>
      </c>
      <c r="BC400" s="6">
        <f>[1]Emissions!BB854</f>
        <v>3.6299902319999999</v>
      </c>
      <c r="BD400" s="6">
        <f>[1]Emissions!BC854</f>
        <v>3.6854330360000001</v>
      </c>
      <c r="BE400" s="6">
        <f>[1]Emissions!BD854</f>
        <v>3.7417713899999998</v>
      </c>
      <c r="BF400" s="6">
        <f>[1]Emissions!BE854</f>
        <v>3.7990240829999999</v>
      </c>
    </row>
    <row r="401" spans="2:58" x14ac:dyDescent="0.35">
      <c r="B401" s="6" t="str">
        <f>[1]Emissions!A856</f>
        <v>ems_ci_co2_sroa_2</v>
      </c>
      <c r="C401" s="6">
        <f>[1]Emissions!B856</f>
        <v>17.352897380000002</v>
      </c>
      <c r="D401" s="6">
        <f>[1]Emissions!C856</f>
        <v>17.5480372</v>
      </c>
      <c r="E401" s="6">
        <f>[1]Emissions!D856</f>
        <v>17.752672499999999</v>
      </c>
      <c r="F401" s="6">
        <f>[1]Emissions!E856</f>
        <v>17.970805989999999</v>
      </c>
      <c r="G401" s="6">
        <f>[1]Emissions!F856</f>
        <v>18.20334536</v>
      </c>
      <c r="H401" s="6">
        <f>[1]Emissions!G856</f>
        <v>18.449593350000001</v>
      </c>
      <c r="I401" s="6">
        <f>[1]Emissions!H856</f>
        <v>18.698425319999998</v>
      </c>
      <c r="J401" s="6">
        <f>[1]Emissions!I856</f>
        <v>18.95384099</v>
      </c>
      <c r="K401" s="6">
        <f>[1]Emissions!J856</f>
        <v>19.216102419999999</v>
      </c>
      <c r="L401" s="6">
        <f>[1]Emissions!K856</f>
        <v>19.484685219999999</v>
      </c>
      <c r="M401" s="6">
        <f>[1]Emissions!L856</f>
        <v>19.776139959999998</v>
      </c>
      <c r="N401" s="6">
        <f>[1]Emissions!M856</f>
        <v>20.063043879999999</v>
      </c>
      <c r="O401" s="6">
        <f>[1]Emissions!N856</f>
        <v>20.351671289999999</v>
      </c>
      <c r="P401" s="6">
        <f>[1]Emissions!O856</f>
        <v>20.64323529</v>
      </c>
      <c r="Q401" s="6">
        <f>[1]Emissions!P856</f>
        <v>20.937879219999999</v>
      </c>
      <c r="R401" s="6">
        <f>[1]Emissions!Q856</f>
        <v>21.235610900000001</v>
      </c>
      <c r="S401" s="6">
        <f>[1]Emissions!R856</f>
        <v>21.536451320000001</v>
      </c>
      <c r="T401" s="6">
        <f>[1]Emissions!S856</f>
        <v>21.840535930000001</v>
      </c>
      <c r="U401" s="6">
        <f>[1]Emissions!T856</f>
        <v>22.148007799999998</v>
      </c>
      <c r="V401" s="6">
        <f>[1]Emissions!U856</f>
        <v>22.45902062</v>
      </c>
      <c r="W401" s="6">
        <f>[1]Emissions!V856</f>
        <v>22.760958970000001</v>
      </c>
      <c r="X401" s="6">
        <f>[1]Emissions!W856</f>
        <v>23.073968910000001</v>
      </c>
      <c r="Y401" s="6">
        <f>[1]Emissions!X856</f>
        <v>23.393189150000001</v>
      </c>
      <c r="Z401" s="6">
        <f>[1]Emissions!Y856</f>
        <v>23.717595500000002</v>
      </c>
      <c r="AA401" s="6">
        <f>[1]Emissions!Z856</f>
        <v>24.047020239999998</v>
      </c>
      <c r="AB401" s="6">
        <f>[1]Emissions!AA856</f>
        <v>24.344517799999998</v>
      </c>
      <c r="AC401" s="6">
        <f>[1]Emissions!AB856</f>
        <v>24.650416589999999</v>
      </c>
      <c r="AD401" s="6">
        <f>[1]Emissions!AC856</f>
        <v>24.959897009999999</v>
      </c>
      <c r="AE401" s="6">
        <f>[1]Emissions!AD856</f>
        <v>25.27253966</v>
      </c>
      <c r="AF401" s="6">
        <f>[1]Emissions!AE856</f>
        <v>25.588859750000001</v>
      </c>
      <c r="AG401" s="6">
        <f>[1]Emissions!AF856</f>
        <v>25.909440650000001</v>
      </c>
      <c r="AH401" s="6">
        <f>[1]Emissions!AG856</f>
        <v>26.23475114</v>
      </c>
      <c r="AI401" s="6">
        <f>[1]Emissions!AH856</f>
        <v>26.56509449</v>
      </c>
      <c r="AJ401" s="6">
        <f>[1]Emissions!AI856</f>
        <v>26.900657939999999</v>
      </c>
      <c r="AK401" s="6">
        <f>[1]Emissions!AJ856</f>
        <v>27.241538219999999</v>
      </c>
      <c r="AL401" s="6">
        <f>[1]Emissions!AK856</f>
        <v>27.587771029999999</v>
      </c>
      <c r="AM401" s="6">
        <f>[1]Emissions!AL856</f>
        <v>27.930486949999999</v>
      </c>
      <c r="AN401" s="6">
        <f>[1]Emissions!AM856</f>
        <v>28.274574099999999</v>
      </c>
      <c r="AO401" s="6">
        <f>[1]Emissions!AN856</f>
        <v>28.621510600000001</v>
      </c>
      <c r="AP401" s="6">
        <f>[1]Emissions!AO856</f>
        <v>28.97198075</v>
      </c>
      <c r="AQ401" s="6">
        <f>[1]Emissions!AP856</f>
        <v>29.32646415</v>
      </c>
      <c r="AR401" s="6">
        <f>[1]Emissions!AQ856</f>
        <v>29.68536245</v>
      </c>
      <c r="AS401" s="6">
        <f>[1]Emissions!AR856</f>
        <v>30.048965419999998</v>
      </c>
      <c r="AT401" s="6">
        <f>[1]Emissions!AS856</f>
        <v>30.417499100000001</v>
      </c>
      <c r="AU401" s="6">
        <f>[1]Emissions!AT856</f>
        <v>30.791122940000001</v>
      </c>
      <c r="AV401" s="6">
        <f>[1]Emissions!AU856</f>
        <v>31.169941179999999</v>
      </c>
      <c r="AW401" s="6">
        <f>[1]Emissions!AV856</f>
        <v>31.555930799999999</v>
      </c>
      <c r="AX401" s="6">
        <f>[1]Emissions!AW856</f>
        <v>31.948999449999999</v>
      </c>
      <c r="AY401" s="6">
        <f>[1]Emissions!AX856</f>
        <v>32.348958000000003</v>
      </c>
      <c r="AZ401" s="6">
        <f>[1]Emissions!AY856</f>
        <v>32.755521590000001</v>
      </c>
      <c r="BA401" s="6">
        <f>[1]Emissions!AZ856</f>
        <v>33.168459370000001</v>
      </c>
      <c r="BB401" s="6">
        <f>[1]Emissions!BA856</f>
        <v>35.672975299999997</v>
      </c>
      <c r="BC401" s="6">
        <f>[1]Emissions!BB856</f>
        <v>36.217518470000002</v>
      </c>
      <c r="BD401" s="6">
        <f>[1]Emissions!BC856</f>
        <v>36.770833889999999</v>
      </c>
      <c r="BE401" s="6">
        <f>[1]Emissions!BD856</f>
        <v>37.33310058</v>
      </c>
      <c r="BF401" s="6">
        <f>[1]Emissions!BE856</f>
        <v>37.904501580000002</v>
      </c>
    </row>
    <row r="402" spans="2:58" x14ac:dyDescent="0.35">
      <c r="B402" s="6" t="str">
        <f>[1]Emissions!A858</f>
        <v>ems_ci_co2_swat_2</v>
      </c>
      <c r="C402" s="6">
        <f>[1]Emissions!B858</f>
        <v>3.8410137450000001</v>
      </c>
      <c r="D402" s="6">
        <f>[1]Emissions!C858</f>
        <v>3.9001353139999999</v>
      </c>
      <c r="E402" s="6">
        <f>[1]Emissions!D858</f>
        <v>3.9647111079999999</v>
      </c>
      <c r="F402" s="6">
        <f>[1]Emissions!E858</f>
        <v>4.0313428440000001</v>
      </c>
      <c r="G402" s="6">
        <f>[1]Emissions!F858</f>
        <v>4.0995566099999996</v>
      </c>
      <c r="H402" s="6">
        <f>[1]Emissions!G858</f>
        <v>4.1691206440000004</v>
      </c>
      <c r="I402" s="6">
        <f>[1]Emissions!H858</f>
        <v>4.236165765</v>
      </c>
      <c r="J402" s="6">
        <f>[1]Emissions!I858</f>
        <v>4.3037409750000002</v>
      </c>
      <c r="K402" s="6">
        <f>[1]Emissions!J858</f>
        <v>4.3721364539999996</v>
      </c>
      <c r="L402" s="6">
        <f>[1]Emissions!K858</f>
        <v>4.4413622290000001</v>
      </c>
      <c r="M402" s="6">
        <f>[1]Emissions!L858</f>
        <v>4.5178182690000002</v>
      </c>
      <c r="N402" s="6">
        <f>[1]Emissions!M858</f>
        <v>4.5894238129999998</v>
      </c>
      <c r="O402" s="6">
        <f>[1]Emissions!N858</f>
        <v>4.6612345150000003</v>
      </c>
      <c r="P402" s="6">
        <f>[1]Emissions!O858</f>
        <v>4.7338822809999996</v>
      </c>
      <c r="Q402" s="6">
        <f>[1]Emissions!P858</f>
        <v>4.8074768419999998</v>
      </c>
      <c r="R402" s="6">
        <f>[1]Emissions!Q858</f>
        <v>4.8820641739999999</v>
      </c>
      <c r="S402" s="6">
        <f>[1]Emissions!R858</f>
        <v>4.9576825089999996</v>
      </c>
      <c r="T402" s="6">
        <f>[1]Emissions!S858</f>
        <v>5.0343704520000001</v>
      </c>
      <c r="U402" s="6">
        <f>[1]Emissions!T858</f>
        <v>5.1121694739999999</v>
      </c>
      <c r="V402" s="6">
        <f>[1]Emissions!U858</f>
        <v>5.191124071</v>
      </c>
      <c r="W402" s="6">
        <f>[1]Emissions!V858</f>
        <v>5.2665101940000003</v>
      </c>
      <c r="X402" s="6">
        <f>[1]Emissions!W858</f>
        <v>5.3474109439999999</v>
      </c>
      <c r="Y402" s="6">
        <f>[1]Emissions!X858</f>
        <v>5.4301264690000002</v>
      </c>
      <c r="Z402" s="6">
        <f>[1]Emissions!Y858</f>
        <v>5.5142662649999998</v>
      </c>
      <c r="AA402" s="6">
        <f>[1]Emissions!Z858</f>
        <v>5.599829809</v>
      </c>
      <c r="AB402" s="6">
        <f>[1]Emissions!AA858</f>
        <v>5.673035262</v>
      </c>
      <c r="AC402" s="6">
        <f>[1]Emissions!AB858</f>
        <v>5.7535394699999998</v>
      </c>
      <c r="AD402" s="6">
        <f>[1]Emissions!AC858</f>
        <v>5.8362946759999996</v>
      </c>
      <c r="AE402" s="6">
        <f>[1]Emissions!AD858</f>
        <v>5.9207538340000001</v>
      </c>
      <c r="AF402" s="6">
        <f>[1]Emissions!AE858</f>
        <v>6.006891574</v>
      </c>
      <c r="AG402" s="6">
        <f>[1]Emissions!AF858</f>
        <v>6.0947389970000003</v>
      </c>
      <c r="AH402" s="6">
        <f>[1]Emissions!AG858</f>
        <v>6.1843278499999998</v>
      </c>
      <c r="AI402" s="6">
        <f>[1]Emissions!AH858</f>
        <v>6.275682583</v>
      </c>
      <c r="AJ402" s="6">
        <f>[1]Emissions!AI858</f>
        <v>6.3688182879999999</v>
      </c>
      <c r="AK402" s="6">
        <f>[1]Emissions!AJ858</f>
        <v>6.4637406689999999</v>
      </c>
      <c r="AL402" s="6">
        <f>[1]Emissions!AK858</f>
        <v>6.56044699</v>
      </c>
      <c r="AM402" s="6">
        <f>[1]Emissions!AL858</f>
        <v>6.655542778</v>
      </c>
      <c r="AN402" s="6">
        <f>[1]Emissions!AM858</f>
        <v>6.751988077</v>
      </c>
      <c r="AO402" s="6">
        <f>[1]Emissions!AN858</f>
        <v>6.8501202650000002</v>
      </c>
      <c r="AP402" s="6">
        <f>[1]Emissions!AO858</f>
        <v>6.9499663580000002</v>
      </c>
      <c r="AQ402" s="6">
        <f>[1]Emissions!AP858</f>
        <v>7.051515663</v>
      </c>
      <c r="AR402" s="6">
        <f>[1]Emissions!AQ858</f>
        <v>7.1547524410000003</v>
      </c>
      <c r="AS402" s="6">
        <f>[1]Emissions!AR858</f>
        <v>7.2596604239999998</v>
      </c>
      <c r="AT402" s="6">
        <f>[1]Emissions!AS858</f>
        <v>7.3662229229999996</v>
      </c>
      <c r="AU402" s="6">
        <f>[1]Emissions!AT858</f>
        <v>7.4744230219999999</v>
      </c>
      <c r="AV402" s="6">
        <f>[1]Emissions!AU858</f>
        <v>7.5842437409999999</v>
      </c>
      <c r="AW402" s="6">
        <f>[1]Emissions!AV858</f>
        <v>7.6958423810000003</v>
      </c>
      <c r="AX402" s="6">
        <f>[1]Emissions!AW858</f>
        <v>7.8090814699999997</v>
      </c>
      <c r="AY402" s="6">
        <f>[1]Emissions!AX858</f>
        <v>7.9241407089999996</v>
      </c>
      <c r="AZ402" s="6">
        <f>[1]Emissions!AY858</f>
        <v>8.041177266</v>
      </c>
      <c r="BA402" s="6">
        <f>[1]Emissions!AZ858</f>
        <v>8.1602722009999997</v>
      </c>
      <c r="BB402" s="6">
        <f>[1]Emissions!BA858</f>
        <v>8.6662657089999993</v>
      </c>
      <c r="BC402" s="6">
        <f>[1]Emissions!BB858</f>
        <v>8.818578381</v>
      </c>
      <c r="BD402" s="6">
        <f>[1]Emissions!BC858</f>
        <v>8.9739205159999997</v>
      </c>
      <c r="BE402" s="6">
        <f>[1]Emissions!BD858</f>
        <v>9.1323441750000001</v>
      </c>
      <c r="BF402" s="6">
        <f>[1]Emissions!BE858</f>
        <v>9.2938972399999997</v>
      </c>
    </row>
    <row r="403" spans="2:58" x14ac:dyDescent="0.35">
      <c r="B403" s="6" t="str">
        <f>[1]Emissions!A860</f>
        <v>ems_ci_co2_sair_2</v>
      </c>
      <c r="C403" s="6">
        <f>[1]Emissions!B860</f>
        <v>19.300906860000001</v>
      </c>
      <c r="D403" s="6">
        <f>[1]Emissions!C860</f>
        <v>19.59662307</v>
      </c>
      <c r="E403" s="6">
        <f>[1]Emissions!D860</f>
        <v>19.931658089999999</v>
      </c>
      <c r="F403" s="6">
        <f>[1]Emissions!E860</f>
        <v>20.288756930000002</v>
      </c>
      <c r="G403" s="6">
        <f>[1]Emissions!F860</f>
        <v>20.66293748</v>
      </c>
      <c r="H403" s="6">
        <f>[1]Emissions!G860</f>
        <v>21.052422329999999</v>
      </c>
      <c r="I403" s="6">
        <f>[1]Emissions!H860</f>
        <v>21.44060151</v>
      </c>
      <c r="J403" s="6">
        <f>[1]Emissions!I860</f>
        <v>21.835661170000002</v>
      </c>
      <c r="K403" s="6">
        <f>[1]Emissions!J860</f>
        <v>22.238692799999999</v>
      </c>
      <c r="L403" s="6">
        <f>[1]Emissions!K860</f>
        <v>22.64962367</v>
      </c>
      <c r="M403" s="6">
        <f>[1]Emissions!L860</f>
        <v>23.095709190000001</v>
      </c>
      <c r="N403" s="6">
        <f>[1]Emissions!M860</f>
        <v>23.53272947</v>
      </c>
      <c r="O403" s="6">
        <f>[1]Emissions!N860</f>
        <v>23.9729022</v>
      </c>
      <c r="P403" s="6">
        <f>[1]Emissions!O860</f>
        <v>24.418057470000001</v>
      </c>
      <c r="Q403" s="6">
        <f>[1]Emissions!P860</f>
        <v>24.868565969999999</v>
      </c>
      <c r="R403" s="6">
        <f>[1]Emissions!Q860</f>
        <v>25.324683749999998</v>
      </c>
      <c r="S403" s="6">
        <f>[1]Emissions!R860</f>
        <v>25.78672568</v>
      </c>
      <c r="T403" s="6">
        <f>[1]Emissions!S860</f>
        <v>26.25506438</v>
      </c>
      <c r="U403" s="6">
        <f>[1]Emissions!T860</f>
        <v>26.730083579999999</v>
      </c>
      <c r="V403" s="6">
        <f>[1]Emissions!U860</f>
        <v>27.212153140000002</v>
      </c>
      <c r="W403" s="6">
        <f>[1]Emissions!V860</f>
        <v>27.680603869999999</v>
      </c>
      <c r="X403" s="6">
        <f>[1]Emissions!W860</f>
        <v>28.169078290000002</v>
      </c>
      <c r="Y403" s="6">
        <f>[1]Emissions!X860</f>
        <v>28.668639219999999</v>
      </c>
      <c r="Z403" s="6">
        <f>[1]Emissions!Y860</f>
        <v>29.178099889999999</v>
      </c>
      <c r="AA403" s="6">
        <f>[1]Emissions!Z860</f>
        <v>29.697390420000001</v>
      </c>
      <c r="AB403" s="6">
        <f>[1]Emissions!AA860</f>
        <v>30.165040789999999</v>
      </c>
      <c r="AC403" s="6">
        <f>[1]Emissions!AB860</f>
        <v>30.649066510000001</v>
      </c>
      <c r="AD403" s="6">
        <f>[1]Emissions!AC860</f>
        <v>31.13936473</v>
      </c>
      <c r="AE403" s="6">
        <f>[1]Emissions!AD860</f>
        <v>31.635860900000001</v>
      </c>
      <c r="AF403" s="6">
        <f>[1]Emissions!AE860</f>
        <v>32.139800280000003</v>
      </c>
      <c r="AG403" s="6">
        <f>[1]Emissions!AF860</f>
        <v>32.652377080000001</v>
      </c>
      <c r="AH403" s="6">
        <f>[1]Emissions!AG860</f>
        <v>33.174512489999998</v>
      </c>
      <c r="AI403" s="6">
        <f>[1]Emissions!AH860</f>
        <v>33.706849429999998</v>
      </c>
      <c r="AJ403" s="6">
        <f>[1]Emissions!AI860</f>
        <v>34.249808889999997</v>
      </c>
      <c r="AK403" s="6">
        <f>[1]Emissions!AJ860</f>
        <v>34.803651649999999</v>
      </c>
      <c r="AL403" s="6">
        <f>[1]Emissions!AK860</f>
        <v>35.368533569999997</v>
      </c>
      <c r="AM403" s="6">
        <f>[1]Emissions!AL860</f>
        <v>35.929276530000003</v>
      </c>
      <c r="AN403" s="6">
        <f>[1]Emissions!AM860</f>
        <v>36.494486170000002</v>
      </c>
      <c r="AO403" s="6">
        <f>[1]Emissions!AN860</f>
        <v>37.066381300000003</v>
      </c>
      <c r="AP403" s="6">
        <f>[1]Emissions!AO860</f>
        <v>37.646176439999998</v>
      </c>
      <c r="AQ403" s="6">
        <f>[1]Emissions!AP860</f>
        <v>38.234856319999999</v>
      </c>
      <c r="AR403" s="6">
        <f>[1]Emissions!AQ860</f>
        <v>38.833262730000001</v>
      </c>
      <c r="AS403" s="6">
        <f>[1]Emissions!AR860</f>
        <v>39.442079020000001</v>
      </c>
      <c r="AT403" s="6">
        <f>[1]Emissions!AS860</f>
        <v>40.061835270000003</v>
      </c>
      <c r="AU403" s="6">
        <f>[1]Emissions!AT860</f>
        <v>40.692923129999997</v>
      </c>
      <c r="AV403" s="6">
        <f>[1]Emissions!AU860</f>
        <v>41.335621699999997</v>
      </c>
      <c r="AW403" s="6">
        <f>[1]Emissions!AV860</f>
        <v>41.992412430000002</v>
      </c>
      <c r="AX403" s="6">
        <f>[1]Emissions!AW860</f>
        <v>42.662752779999998</v>
      </c>
      <c r="AY403" s="6">
        <f>[1]Emissions!AX860</f>
        <v>43.346171390000002</v>
      </c>
      <c r="AZ403" s="6">
        <f>[1]Emissions!AY860</f>
        <v>44.042304489999999</v>
      </c>
      <c r="BA403" s="6">
        <f>[1]Emissions!AZ860</f>
        <v>44.751076509999997</v>
      </c>
      <c r="BB403" s="6">
        <f>[1]Emissions!BA860</f>
        <v>48.979044649999999</v>
      </c>
      <c r="BC403" s="6">
        <f>[1]Emissions!BB860</f>
        <v>49.925197480000001</v>
      </c>
      <c r="BD403" s="6">
        <f>[1]Emissions!BC860</f>
        <v>50.890454120000001</v>
      </c>
      <c r="BE403" s="6">
        <f>[1]Emissions!BD860</f>
        <v>51.87530229</v>
      </c>
      <c r="BF403" s="6">
        <f>[1]Emissions!BE860</f>
        <v>52.880249550000002</v>
      </c>
    </row>
    <row r="404" spans="2:58" x14ac:dyDescent="0.35">
      <c r="B404" s="6" t="str">
        <f>[1]Emissions!A862</f>
        <v>ems_ci_co2_spri_2</v>
      </c>
      <c r="C404" s="6">
        <f>[1]Emissions!B862</f>
        <v>31.2939455</v>
      </c>
      <c r="D404" s="6">
        <f>[1]Emissions!C862</f>
        <v>31.650625099999999</v>
      </c>
      <c r="E404" s="6">
        <f>[1]Emissions!D862</f>
        <v>32.032599400000002</v>
      </c>
      <c r="F404" s="6">
        <f>[1]Emissions!E862</f>
        <v>32.449137649999997</v>
      </c>
      <c r="G404" s="6">
        <f>[1]Emissions!F862</f>
        <v>32.904097839999999</v>
      </c>
      <c r="H404" s="6">
        <f>[1]Emissions!G862</f>
        <v>33.39729706</v>
      </c>
      <c r="I404" s="6">
        <f>[1]Emissions!H862</f>
        <v>33.907300720000002</v>
      </c>
      <c r="J404" s="6">
        <f>[1]Emissions!I862</f>
        <v>34.438181</v>
      </c>
      <c r="K404" s="6">
        <f>[1]Emissions!J862</f>
        <v>34.98921756</v>
      </c>
      <c r="L404" s="6">
        <f>[1]Emissions!K862</f>
        <v>35.558696820000002</v>
      </c>
      <c r="M404" s="6">
        <f>[1]Emissions!L862</f>
        <v>36.177989850000003</v>
      </c>
      <c r="N404" s="6">
        <f>[1]Emissions!M862</f>
        <v>36.798964259999998</v>
      </c>
      <c r="O404" s="6">
        <f>[1]Emissions!N862</f>
        <v>37.428510500000002</v>
      </c>
      <c r="P404" s="6">
        <f>[1]Emissions!O862</f>
        <v>38.067662249999998</v>
      </c>
      <c r="Q404" s="6">
        <f>[1]Emissions!P862</f>
        <v>38.71610124</v>
      </c>
      <c r="R404" s="6">
        <f>[1]Emissions!Q862</f>
        <v>39.373335529999999</v>
      </c>
      <c r="S404" s="6">
        <f>[1]Emissions!R862</f>
        <v>40.038874360000001</v>
      </c>
      <c r="T404" s="6">
        <f>[1]Emissions!S862</f>
        <v>40.712366299999999</v>
      </c>
      <c r="U404" s="6">
        <f>[1]Emissions!T862</f>
        <v>41.393500760000002</v>
      </c>
      <c r="V404" s="6">
        <f>[1]Emissions!U862</f>
        <v>42.08200987</v>
      </c>
      <c r="W404" s="6">
        <f>[1]Emissions!V862</f>
        <v>42.752811029999997</v>
      </c>
      <c r="X404" s="6">
        <f>[1]Emissions!W862</f>
        <v>43.440672120000002</v>
      </c>
      <c r="Y404" s="6">
        <f>[1]Emissions!X862</f>
        <v>44.139378739999998</v>
      </c>
      <c r="Z404" s="6">
        <f>[1]Emissions!Y862</f>
        <v>44.847278189999997</v>
      </c>
      <c r="AA404" s="6">
        <f>[1]Emissions!Z862</f>
        <v>45.563871169999999</v>
      </c>
      <c r="AB404" s="6">
        <f>[1]Emissions!AA862</f>
        <v>46.216756789999998</v>
      </c>
      <c r="AC404" s="6">
        <f>[1]Emissions!AB862</f>
        <v>46.872983349999998</v>
      </c>
      <c r="AD404" s="6">
        <f>[1]Emissions!AC862</f>
        <v>47.528308619999997</v>
      </c>
      <c r="AE404" s="6">
        <f>[1]Emissions!AD862</f>
        <v>48.183476380000002</v>
      </c>
      <c r="AF404" s="6">
        <f>[1]Emissions!AE862</f>
        <v>48.840369680000002</v>
      </c>
      <c r="AG404" s="6">
        <f>[1]Emissions!AF862</f>
        <v>49.500858180000002</v>
      </c>
      <c r="AH404" s="6">
        <f>[1]Emissions!AG862</f>
        <v>50.16655634</v>
      </c>
      <c r="AI404" s="6">
        <f>[1]Emissions!AH862</f>
        <v>50.838764759999997</v>
      </c>
      <c r="AJ404" s="6">
        <f>[1]Emissions!AI862</f>
        <v>51.51852701</v>
      </c>
      <c r="AK404" s="6">
        <f>[1]Emissions!AJ862</f>
        <v>52.206666560000002</v>
      </c>
      <c r="AL404" s="6">
        <f>[1]Emissions!AK862</f>
        <v>52.903826530000003</v>
      </c>
      <c r="AM404" s="6">
        <f>[1]Emissions!AL862</f>
        <v>53.593142960000002</v>
      </c>
      <c r="AN404" s="6">
        <f>[1]Emissions!AM862</f>
        <v>54.281846899999998</v>
      </c>
      <c r="AO404" s="6">
        <f>[1]Emissions!AN862</f>
        <v>54.97291311</v>
      </c>
      <c r="AP404" s="6">
        <f>[1]Emissions!AO862</f>
        <v>55.668180739999997</v>
      </c>
      <c r="AQ404" s="6">
        <f>[1]Emissions!AP862</f>
        <v>56.369129010000002</v>
      </c>
      <c r="AR404" s="6">
        <f>[1]Emissions!AQ862</f>
        <v>57.077039069999998</v>
      </c>
      <c r="AS404" s="6">
        <f>[1]Emissions!AR862</f>
        <v>57.792951729999999</v>
      </c>
      <c r="AT404" s="6">
        <f>[1]Emissions!AS862</f>
        <v>58.51771711</v>
      </c>
      <c r="AU404" s="6">
        <f>[1]Emissions!AT862</f>
        <v>59.252008340000003</v>
      </c>
      <c r="AV404" s="6">
        <f>[1]Emissions!AU862</f>
        <v>59.996349690000002</v>
      </c>
      <c r="AW404" s="6">
        <f>[1]Emissions!AV862</f>
        <v>60.745495300000002</v>
      </c>
      <c r="AX404" s="6">
        <f>[1]Emissions!AW862</f>
        <v>61.497598760000002</v>
      </c>
      <c r="AY404" s="6">
        <f>[1]Emissions!AX862</f>
        <v>62.25471469</v>
      </c>
      <c r="AZ404" s="6">
        <f>[1]Emissions!AY862</f>
        <v>63.019928620000002</v>
      </c>
      <c r="BA404" s="6">
        <f>[1]Emissions!AZ862</f>
        <v>63.796021930000002</v>
      </c>
      <c r="BB404" s="6">
        <f>[1]Emissions!BA862</f>
        <v>72.575607649999995</v>
      </c>
      <c r="BC404" s="6">
        <f>[1]Emissions!BB862</f>
        <v>73.768639559999997</v>
      </c>
      <c r="BD404" s="6">
        <f>[1]Emissions!BC862</f>
        <v>74.977568120000001</v>
      </c>
      <c r="BE404" s="6">
        <f>[1]Emissions!BD862</f>
        <v>76.2029991</v>
      </c>
      <c r="BF404" s="6">
        <f>[1]Emissions!BE862</f>
        <v>77.445539460000006</v>
      </c>
    </row>
    <row r="405" spans="2:58" x14ac:dyDescent="0.35">
      <c r="B405" s="6" t="str">
        <f>[1]Emissions!A864</f>
        <v>ems_ci_co2_spub_2</v>
      </c>
      <c r="C405" s="6">
        <f>[1]Emissions!B864</f>
        <v>14.34624283</v>
      </c>
      <c r="D405" s="6">
        <f>[1]Emissions!C864</f>
        <v>14.544666339999999</v>
      </c>
      <c r="E405" s="6">
        <f>[1]Emissions!D864</f>
        <v>14.75654778</v>
      </c>
      <c r="F405" s="6">
        <f>[1]Emissions!E864</f>
        <v>14.975361489999999</v>
      </c>
      <c r="G405" s="6">
        <f>[1]Emissions!F864</f>
        <v>15.202245209999999</v>
      </c>
      <c r="H405" s="6">
        <f>[1]Emissions!G864</f>
        <v>15.438119650000001</v>
      </c>
      <c r="I405" s="6">
        <f>[1]Emissions!H864</f>
        <v>15.67051247</v>
      </c>
      <c r="J405" s="6">
        <f>[1]Emissions!I864</f>
        <v>15.9087598</v>
      </c>
      <c r="K405" s="6">
        <f>[1]Emissions!J864</f>
        <v>16.15366775</v>
      </c>
      <c r="L405" s="6">
        <f>[1]Emissions!K864</f>
        <v>16.404999629999999</v>
      </c>
      <c r="M405" s="6">
        <f>[1]Emissions!L864</f>
        <v>16.684475150000001</v>
      </c>
      <c r="N405" s="6">
        <f>[1]Emissions!M864</f>
        <v>16.952730710000001</v>
      </c>
      <c r="O405" s="6">
        <f>[1]Emissions!N864</f>
        <v>17.224337599999998</v>
      </c>
      <c r="P405" s="6">
        <f>[1]Emissions!O864</f>
        <v>17.500919</v>
      </c>
      <c r="Q405" s="6">
        <f>[1]Emissions!P864</f>
        <v>17.782500070000001</v>
      </c>
      <c r="R405" s="6">
        <f>[1]Emissions!Q864</f>
        <v>18.068923590000001</v>
      </c>
      <c r="S405" s="6">
        <f>[1]Emissions!R864</f>
        <v>18.360011459999999</v>
      </c>
      <c r="T405" s="6">
        <f>[1]Emissions!S864</f>
        <v>18.655588609999999</v>
      </c>
      <c r="U405" s="6">
        <f>[1]Emissions!T864</f>
        <v>18.955491089999999</v>
      </c>
      <c r="V405" s="6">
        <f>[1]Emissions!U864</f>
        <v>19.259565940000002</v>
      </c>
      <c r="W405" s="6">
        <f>[1]Emissions!V864</f>
        <v>19.551186120000001</v>
      </c>
      <c r="X405" s="6">
        <f>[1]Emissions!W864</f>
        <v>19.85948415</v>
      </c>
      <c r="Y405" s="6">
        <f>[1]Emissions!X864</f>
        <v>20.17329376</v>
      </c>
      <c r="Z405" s="6">
        <f>[1]Emissions!Y864</f>
        <v>20.491191229999998</v>
      </c>
      <c r="AA405" s="6">
        <f>[1]Emissions!Z864</f>
        <v>20.812978810000001</v>
      </c>
      <c r="AB405" s="6">
        <f>[1]Emissions!AA864</f>
        <v>21.090791320000001</v>
      </c>
      <c r="AC405" s="6">
        <f>[1]Emissions!AB864</f>
        <v>21.38677131</v>
      </c>
      <c r="AD405" s="6">
        <f>[1]Emissions!AC864</f>
        <v>21.686113519999999</v>
      </c>
      <c r="AE405" s="6">
        <f>[1]Emissions!AD864</f>
        <v>21.987233870000001</v>
      </c>
      <c r="AF405" s="6">
        <f>[1]Emissions!AE864</f>
        <v>22.29022505</v>
      </c>
      <c r="AG405" s="6">
        <f>[1]Emissions!AF864</f>
        <v>22.59538504</v>
      </c>
      <c r="AH405" s="6">
        <f>[1]Emissions!AG864</f>
        <v>22.90303041</v>
      </c>
      <c r="AI405" s="6">
        <f>[1]Emissions!AH864</f>
        <v>23.21347106</v>
      </c>
      <c r="AJ405" s="6">
        <f>[1]Emissions!AI864</f>
        <v>23.52700317</v>
      </c>
      <c r="AK405" s="6">
        <f>[1]Emissions!AJ864</f>
        <v>23.843905920000001</v>
      </c>
      <c r="AL405" s="6">
        <f>[1]Emissions!AK864</f>
        <v>24.164437750000001</v>
      </c>
      <c r="AM405" s="6">
        <f>[1]Emissions!AL864</f>
        <v>24.47725934</v>
      </c>
      <c r="AN405" s="6">
        <f>[1]Emissions!AM864</f>
        <v>24.791429539999999</v>
      </c>
      <c r="AO405" s="6">
        <f>[1]Emissions!AN864</f>
        <v>25.108280409999999</v>
      </c>
      <c r="AP405" s="6">
        <f>[1]Emissions!AO864</f>
        <v>25.428187999999999</v>
      </c>
      <c r="AQ405" s="6">
        <f>[1]Emissions!AP864</f>
        <v>25.751414449999999</v>
      </c>
      <c r="AR405" s="6">
        <f>[1]Emissions!AQ864</f>
        <v>26.078203930000001</v>
      </c>
      <c r="AS405" s="6">
        <f>[1]Emissions!AR864</f>
        <v>26.408785999999999</v>
      </c>
      <c r="AT405" s="6">
        <f>[1]Emissions!AS864</f>
        <v>26.743370630000001</v>
      </c>
      <c r="AU405" s="6">
        <f>[1]Emissions!AT864</f>
        <v>27.082150110000001</v>
      </c>
      <c r="AV405" s="6">
        <f>[1]Emissions!AU864</f>
        <v>27.425300790000001</v>
      </c>
      <c r="AW405" s="6">
        <f>[1]Emissions!AV864</f>
        <v>27.770943290000002</v>
      </c>
      <c r="AX405" s="6">
        <f>[1]Emissions!AW864</f>
        <v>28.11761031</v>
      </c>
      <c r="AY405" s="6">
        <f>[1]Emissions!AX864</f>
        <v>28.465992400000001</v>
      </c>
      <c r="AZ405" s="6">
        <f>[1]Emissions!AY864</f>
        <v>28.817332740000001</v>
      </c>
      <c r="BA405" s="6">
        <f>[1]Emissions!AZ864</f>
        <v>29.172796850000001</v>
      </c>
      <c r="BB405" s="6">
        <f>[1]Emissions!BA864</f>
        <v>33.704159480000001</v>
      </c>
      <c r="BC405" s="6">
        <f>[1]Emissions!BB864</f>
        <v>34.277441899999999</v>
      </c>
      <c r="BD405" s="6">
        <f>[1]Emissions!BC864</f>
        <v>34.858916180000001</v>
      </c>
      <c r="BE405" s="6">
        <f>[1]Emissions!BD864</f>
        <v>35.448836919999998</v>
      </c>
      <c r="BF405" s="6">
        <f>[1]Emissions!BE864</f>
        <v>36.047462230000001</v>
      </c>
    </row>
    <row r="406" spans="2:58" x14ac:dyDescent="0.35">
      <c r="B406" s="6" t="str">
        <f>[1]Emissions!A866</f>
        <v>ems_ci_co2_smin_2</v>
      </c>
      <c r="C406" s="6">
        <f>[1]Emissions!B866</f>
        <v>1.052430408</v>
      </c>
      <c r="D406" s="6">
        <f>[1]Emissions!C866</f>
        <v>1.0639500820000001</v>
      </c>
      <c r="E406" s="6">
        <f>[1]Emissions!D866</f>
        <v>1.07657867</v>
      </c>
      <c r="F406" s="6">
        <f>[1]Emissions!E866</f>
        <v>1.0905849430000001</v>
      </c>
      <c r="G406" s="6">
        <f>[1]Emissions!F866</f>
        <v>1.105898973</v>
      </c>
      <c r="H406" s="6">
        <f>[1]Emissions!G866</f>
        <v>1.1223589890000001</v>
      </c>
      <c r="I406" s="6">
        <f>[1]Emissions!H866</f>
        <v>1.1391594300000001</v>
      </c>
      <c r="J406" s="6">
        <f>[1]Emissions!I866</f>
        <v>1.15648314</v>
      </c>
      <c r="K406" s="6">
        <f>[1]Emissions!J866</f>
        <v>1.174326832</v>
      </c>
      <c r="L406" s="6">
        <f>[1]Emissions!K866</f>
        <v>1.1926434370000001</v>
      </c>
      <c r="M406" s="6">
        <f>[1]Emissions!L866</f>
        <v>1.2124955319999999</v>
      </c>
      <c r="N406" s="6">
        <f>[1]Emissions!M866</f>
        <v>1.232136382</v>
      </c>
      <c r="O406" s="6">
        <f>[1]Emissions!N866</f>
        <v>1.2519146480000001</v>
      </c>
      <c r="P406" s="6">
        <f>[1]Emissions!O866</f>
        <v>1.2719274789999999</v>
      </c>
      <c r="Q406" s="6">
        <f>[1]Emissions!P866</f>
        <v>1.2921941530000001</v>
      </c>
      <c r="R406" s="6">
        <f>[1]Emissions!Q866</f>
        <v>1.312718931</v>
      </c>
      <c r="S406" s="6">
        <f>[1]Emissions!R866</f>
        <v>1.333507687</v>
      </c>
      <c r="T406" s="6">
        <f>[1]Emissions!S866</f>
        <v>1.3545683390000001</v>
      </c>
      <c r="U406" s="6">
        <f>[1]Emissions!T866</f>
        <v>1.375911581</v>
      </c>
      <c r="V406" s="6">
        <f>[1]Emissions!U866</f>
        <v>1.39754968</v>
      </c>
      <c r="W406" s="6">
        <f>[1]Emissions!V866</f>
        <v>1.418665893</v>
      </c>
      <c r="X406" s="6">
        <f>[1]Emissions!W866</f>
        <v>1.4405490519999999</v>
      </c>
      <c r="Y406" s="6">
        <f>[1]Emissions!X866</f>
        <v>1.462929688</v>
      </c>
      <c r="Z406" s="6">
        <f>[1]Emissions!Y866</f>
        <v>1.4857312300000001</v>
      </c>
      <c r="AA406" s="6">
        <f>[1]Emissions!Z866</f>
        <v>1.508939147</v>
      </c>
      <c r="AB406" s="6">
        <f>[1]Emissions!AA866</f>
        <v>1.5301483819999999</v>
      </c>
      <c r="AC406" s="6">
        <f>[1]Emissions!AB866</f>
        <v>1.5519145400000001</v>
      </c>
      <c r="AD406" s="6">
        <f>[1]Emissions!AC866</f>
        <v>1.5740214640000001</v>
      </c>
      <c r="AE406" s="6">
        <f>[1]Emissions!AD866</f>
        <v>1.5964328160000001</v>
      </c>
      <c r="AF406" s="6">
        <f>[1]Emissions!AE866</f>
        <v>1.6191734520000001</v>
      </c>
      <c r="AG406" s="6">
        <f>[1]Emissions!AF866</f>
        <v>1.642276603</v>
      </c>
      <c r="AH406" s="6">
        <f>[1]Emissions!AG866</f>
        <v>1.6657687720000001</v>
      </c>
      <c r="AI406" s="6">
        <f>[1]Emissions!AH866</f>
        <v>1.6896674119999999</v>
      </c>
      <c r="AJ406" s="6">
        <f>[1]Emissions!AI866</f>
        <v>1.7139812619999999</v>
      </c>
      <c r="AK406" s="6">
        <f>[1]Emissions!AJ866</f>
        <v>1.7387121990000001</v>
      </c>
      <c r="AL406" s="6">
        <f>[1]Emissions!AK866</f>
        <v>1.763857265</v>
      </c>
      <c r="AM406" s="6">
        <f>[1]Emissions!AL866</f>
        <v>1.7888205260000001</v>
      </c>
      <c r="AN406" s="6">
        <f>[1]Emissions!AM866</f>
        <v>1.8139035569999999</v>
      </c>
      <c r="AO406" s="6">
        <f>[1]Emissions!AN866</f>
        <v>1.839211846</v>
      </c>
      <c r="AP406" s="6">
        <f>[1]Emissions!AO866</f>
        <v>1.8647897259999999</v>
      </c>
      <c r="AQ406" s="6">
        <f>[1]Emissions!AP866</f>
        <v>1.89066398</v>
      </c>
      <c r="AR406" s="6">
        <f>[1]Emissions!AQ866</f>
        <v>1.916854018</v>
      </c>
      <c r="AS406" s="6">
        <f>[1]Emissions!AR866</f>
        <v>1.9433748399999999</v>
      </c>
      <c r="AT406" s="6">
        <f>[1]Emissions!AS866</f>
        <v>1.970236944</v>
      </c>
      <c r="AU406" s="6">
        <f>[1]Emissions!AT866</f>
        <v>1.9974468649999999</v>
      </c>
      <c r="AV406" s="6">
        <f>[1]Emissions!AU866</f>
        <v>2.025007961</v>
      </c>
      <c r="AW406" s="6">
        <f>[1]Emissions!AV866</f>
        <v>2.0530201730000002</v>
      </c>
      <c r="AX406" s="6">
        <f>[1]Emissions!AW866</f>
        <v>2.081525965</v>
      </c>
      <c r="AY406" s="6">
        <f>[1]Emissions!AX866</f>
        <v>2.1105496979999998</v>
      </c>
      <c r="AZ406" s="6">
        <f>[1]Emissions!AY866</f>
        <v>2.1400886790000002</v>
      </c>
      <c r="BA406" s="6">
        <f>[1]Emissions!AZ866</f>
        <v>2.1701275230000001</v>
      </c>
      <c r="BB406" s="6">
        <f>[1]Emissions!BA866</f>
        <v>2.3194195799999999</v>
      </c>
      <c r="BC406" s="6">
        <f>[1]Emissions!BB866</f>
        <v>2.3587256729999999</v>
      </c>
      <c r="BD406" s="6">
        <f>[1]Emissions!BC866</f>
        <v>2.398702202</v>
      </c>
      <c r="BE406" s="6">
        <f>[1]Emissions!BD866</f>
        <v>2.4393586269999998</v>
      </c>
      <c r="BF406" s="6">
        <f>[1]Emissions!BE866</f>
        <v>2.4807043590000002</v>
      </c>
    </row>
    <row r="407" spans="2:58" x14ac:dyDescent="0.35">
      <c r="B407" s="6" t="str">
        <f>[1]Emissions!A868</f>
        <v>ems_ci_co2_soil_2</v>
      </c>
      <c r="C407" s="6">
        <f>[1]Emissions!B868</f>
        <v>16.656238569999999</v>
      </c>
      <c r="D407" s="6">
        <f>[1]Emissions!C868</f>
        <v>16.795920880000001</v>
      </c>
      <c r="E407" s="6">
        <f>[1]Emissions!D868</f>
        <v>16.92117202</v>
      </c>
      <c r="F407" s="6">
        <f>[1]Emissions!E868</f>
        <v>17.058183029999999</v>
      </c>
      <c r="G407" s="6">
        <f>[1]Emissions!F868</f>
        <v>17.215569550000001</v>
      </c>
      <c r="H407" s="6">
        <f>[1]Emissions!G868</f>
        <v>17.393262310000001</v>
      </c>
      <c r="I407" s="6">
        <f>[1]Emissions!H868</f>
        <v>17.579225109999999</v>
      </c>
      <c r="J407" s="6">
        <f>[1]Emissions!I868</f>
        <v>17.775735600000001</v>
      </c>
      <c r="K407" s="6">
        <f>[1]Emissions!J868</f>
        <v>17.981401420000001</v>
      </c>
      <c r="L407" s="6">
        <f>[1]Emissions!K868</f>
        <v>18.194516530000001</v>
      </c>
      <c r="M407" s="6">
        <f>[1]Emissions!L868</f>
        <v>18.429534279999999</v>
      </c>
      <c r="N407" s="6">
        <f>[1]Emissions!M868</f>
        <v>18.659744289999999</v>
      </c>
      <c r="O407" s="6">
        <f>[1]Emissions!N868</f>
        <v>18.891875840000001</v>
      </c>
      <c r="P407" s="6">
        <f>[1]Emissions!O868</f>
        <v>19.127221729999999</v>
      </c>
      <c r="Q407" s="6">
        <f>[1]Emissions!P868</f>
        <v>19.365864859999999</v>
      </c>
      <c r="R407" s="6">
        <f>[1]Emissions!Q868</f>
        <v>19.607703709999999</v>
      </c>
      <c r="S407" s="6">
        <f>[1]Emissions!R868</f>
        <v>19.85271165</v>
      </c>
      <c r="T407" s="6">
        <f>[1]Emissions!S868</f>
        <v>20.10081959</v>
      </c>
      <c r="U407" s="6">
        <f>[1]Emissions!T868</f>
        <v>20.3520088</v>
      </c>
      <c r="V407" s="6">
        <f>[1]Emissions!U868</f>
        <v>20.606292249999999</v>
      </c>
      <c r="W407" s="6">
        <f>[1]Emissions!V868</f>
        <v>20.852013240000002</v>
      </c>
      <c r="X407" s="6">
        <f>[1]Emissions!W868</f>
        <v>21.108366329999999</v>
      </c>
      <c r="Y407" s="6">
        <f>[1]Emissions!X868</f>
        <v>21.369897259999998</v>
      </c>
      <c r="Z407" s="6">
        <f>[1]Emissions!Y868</f>
        <v>21.635375440000001</v>
      </c>
      <c r="AA407" s="6">
        <f>[1]Emissions!Z868</f>
        <v>21.90457146</v>
      </c>
      <c r="AB407" s="6">
        <f>[1]Emissions!AA868</f>
        <v>22.143727510000002</v>
      </c>
      <c r="AC407" s="6">
        <f>[1]Emissions!AB868</f>
        <v>22.392134209999998</v>
      </c>
      <c r="AD407" s="6">
        <f>[1]Emissions!AC868</f>
        <v>22.643934900000001</v>
      </c>
      <c r="AE407" s="6">
        <f>[1]Emissions!AD868</f>
        <v>22.898075590000001</v>
      </c>
      <c r="AF407" s="6">
        <f>[1]Emissions!AE868</f>
        <v>23.154665000000001</v>
      </c>
      <c r="AG407" s="6">
        <f>[1]Emissions!AF868</f>
        <v>23.414014900000002</v>
      </c>
      <c r="AH407" s="6">
        <f>[1]Emissions!AG868</f>
        <v>23.676408129999999</v>
      </c>
      <c r="AI407" s="6">
        <f>[1]Emissions!AH868</f>
        <v>23.942096930000002</v>
      </c>
      <c r="AJ407" s="6">
        <f>[1]Emissions!AI868</f>
        <v>24.211271050000001</v>
      </c>
      <c r="AK407" s="6">
        <f>[1]Emissions!AJ868</f>
        <v>24.484067710000001</v>
      </c>
      <c r="AL407" s="6">
        <f>[1]Emissions!AK868</f>
        <v>24.760583400000002</v>
      </c>
      <c r="AM407" s="6">
        <f>[1]Emissions!AL868</f>
        <v>25.032587719999999</v>
      </c>
      <c r="AN407" s="6">
        <f>[1]Emissions!AM868</f>
        <v>25.305353749999998</v>
      </c>
      <c r="AO407" s="6">
        <f>[1]Emissions!AN868</f>
        <v>25.580285230000001</v>
      </c>
      <c r="AP407" s="6">
        <f>[1]Emissions!AO868</f>
        <v>25.85787719</v>
      </c>
      <c r="AQ407" s="6">
        <f>[1]Emissions!AP868</f>
        <v>26.138418569999999</v>
      </c>
      <c r="AR407" s="6">
        <f>[1]Emissions!AQ868</f>
        <v>26.422108120000001</v>
      </c>
      <c r="AS407" s="6">
        <f>[1]Emissions!AR868</f>
        <v>26.709145549999999</v>
      </c>
      <c r="AT407" s="6">
        <f>[1]Emissions!AS868</f>
        <v>26.999689239999999</v>
      </c>
      <c r="AU407" s="6">
        <f>[1]Emissions!AT868</f>
        <v>27.293861769999999</v>
      </c>
      <c r="AV407" s="6">
        <f>[1]Emissions!AU868</f>
        <v>27.591755639999999</v>
      </c>
      <c r="AW407" s="6">
        <f>[1]Emissions!AV868</f>
        <v>27.89303117</v>
      </c>
      <c r="AX407" s="6">
        <f>[1]Emissions!AW868</f>
        <v>28.197667429999999</v>
      </c>
      <c r="AY407" s="6">
        <f>[1]Emissions!AX868</f>
        <v>28.506175649999999</v>
      </c>
      <c r="AZ407" s="6">
        <f>[1]Emissions!AY868</f>
        <v>28.818983329999998</v>
      </c>
      <c r="BA407" s="6">
        <f>[1]Emissions!AZ868</f>
        <v>29.136356639999999</v>
      </c>
      <c r="BB407" s="6">
        <f>[1]Emissions!BA868</f>
        <v>31.883603999999998</v>
      </c>
      <c r="BC407" s="6">
        <f>[1]Emissions!BB868</f>
        <v>32.347674509999997</v>
      </c>
      <c r="BD407" s="6">
        <f>[1]Emissions!BC868</f>
        <v>32.819326539999999</v>
      </c>
      <c r="BE407" s="6">
        <f>[1]Emissions!BD868</f>
        <v>33.298744659999997</v>
      </c>
      <c r="BF407" s="6">
        <f>[1]Emissions!BE868</f>
        <v>33.786124770000001</v>
      </c>
    </row>
    <row r="408" spans="2:58" x14ac:dyDescent="0.35">
      <c r="B408" s="6" t="str">
        <f>[1]Emissions!A870</f>
        <v>ems_ci_co2_sbfu_2</v>
      </c>
      <c r="C408" s="6">
        <f>[1]Emissions!B870</f>
        <v>3.879302247</v>
      </c>
      <c r="D408" s="6">
        <f>[1]Emissions!C870</f>
        <v>3.90361176</v>
      </c>
      <c r="E408" s="6">
        <f>[1]Emissions!D870</f>
        <v>3.9231163210000002</v>
      </c>
      <c r="F408" s="6">
        <f>[1]Emissions!E870</f>
        <v>3.9466675219999998</v>
      </c>
      <c r="G408" s="6">
        <f>[1]Emissions!F870</f>
        <v>3.9767905510000001</v>
      </c>
      <c r="H408" s="6">
        <f>[1]Emissions!G870</f>
        <v>4.013179472</v>
      </c>
      <c r="I408" s="6">
        <f>[1]Emissions!H870</f>
        <v>4.0528672270000001</v>
      </c>
      <c r="J408" s="6">
        <f>[1]Emissions!I870</f>
        <v>4.095834526</v>
      </c>
      <c r="K408" s="6">
        <f>[1]Emissions!J870</f>
        <v>4.1413965089999998</v>
      </c>
      <c r="L408" s="6">
        <f>[1]Emissions!K870</f>
        <v>4.1889486509999996</v>
      </c>
      <c r="M408" s="6">
        <f>[1]Emissions!L870</f>
        <v>4.2412607519999996</v>
      </c>
      <c r="N408" s="6">
        <f>[1]Emissions!M870</f>
        <v>4.2928203869999999</v>
      </c>
      <c r="O408" s="6">
        <f>[1]Emissions!N870</f>
        <v>4.3449961879999996</v>
      </c>
      <c r="P408" s="6">
        <f>[1]Emissions!O870</f>
        <v>4.3979403650000002</v>
      </c>
      <c r="Q408" s="6">
        <f>[1]Emissions!P870</f>
        <v>4.451607782</v>
      </c>
      <c r="R408" s="6">
        <f>[1]Emissions!Q870</f>
        <v>4.5059435890000001</v>
      </c>
      <c r="S408" s="6">
        <f>[1]Emissions!R870</f>
        <v>4.5609185449999998</v>
      </c>
      <c r="T408" s="6">
        <f>[1]Emissions!S870</f>
        <v>4.6165044139999996</v>
      </c>
      <c r="U408" s="6">
        <f>[1]Emissions!T870</f>
        <v>4.6726874399999998</v>
      </c>
      <c r="V408" s="6">
        <f>[1]Emissions!U870</f>
        <v>4.7294615809999998</v>
      </c>
      <c r="W408" s="6">
        <f>[1]Emissions!V870</f>
        <v>4.7844470550000002</v>
      </c>
      <c r="X408" s="6">
        <f>[1]Emissions!W870</f>
        <v>4.8415323529999998</v>
      </c>
      <c r="Y408" s="6">
        <f>[1]Emissions!X870</f>
        <v>4.8995474239999997</v>
      </c>
      <c r="Z408" s="6">
        <f>[1]Emissions!Y870</f>
        <v>4.9582815199999999</v>
      </c>
      <c r="AA408" s="6">
        <f>[1]Emissions!Z870</f>
        <v>5.0177035669999999</v>
      </c>
      <c r="AB408" s="6">
        <f>[1]Emissions!AA870</f>
        <v>5.0709426860000004</v>
      </c>
      <c r="AC408" s="6">
        <f>[1]Emissions!AB870</f>
        <v>5.125980083</v>
      </c>
      <c r="AD408" s="6">
        <f>[1]Emissions!AC870</f>
        <v>5.1814570030000002</v>
      </c>
      <c r="AE408" s="6">
        <f>[1]Emissions!AD870</f>
        <v>5.2372041039999999</v>
      </c>
      <c r="AF408" s="6">
        <f>[1]Emissions!AE870</f>
        <v>5.2932787599999997</v>
      </c>
      <c r="AG408" s="6">
        <f>[1]Emissions!AF870</f>
        <v>5.3497697960000004</v>
      </c>
      <c r="AH408" s="6">
        <f>[1]Emissions!AG870</f>
        <v>5.4067556830000001</v>
      </c>
      <c r="AI408" s="6">
        <f>[1]Emissions!AH870</f>
        <v>5.4643041779999999</v>
      </c>
      <c r="AJ408" s="6">
        <f>[1]Emissions!AI870</f>
        <v>5.5224672010000004</v>
      </c>
      <c r="AK408" s="6">
        <f>[1]Emissions!AJ870</f>
        <v>5.5812839439999999</v>
      </c>
      <c r="AL408" s="6">
        <f>[1]Emissions!AK870</f>
        <v>5.6407838950000002</v>
      </c>
      <c r="AM408" s="6">
        <f>[1]Emissions!AL870</f>
        <v>5.6993062510000003</v>
      </c>
      <c r="AN408" s="6">
        <f>[1]Emissions!AM870</f>
        <v>5.7579320450000004</v>
      </c>
      <c r="AO408" s="6">
        <f>[1]Emissions!AN870</f>
        <v>5.8169111979999997</v>
      </c>
      <c r="AP408" s="6">
        <f>[1]Emissions!AO870</f>
        <v>5.8763382279999998</v>
      </c>
      <c r="AQ408" s="6">
        <f>[1]Emissions!AP870</f>
        <v>5.9362795720000001</v>
      </c>
      <c r="AR408" s="6">
        <f>[1]Emissions!AQ870</f>
        <v>5.9967893820000002</v>
      </c>
      <c r="AS408" s="6">
        <f>[1]Emissions!AR870</f>
        <v>6.057921468</v>
      </c>
      <c r="AT408" s="6">
        <f>[1]Emissions!AS870</f>
        <v>6.1197196439999999</v>
      </c>
      <c r="AU408" s="6">
        <f>[1]Emissions!AT870</f>
        <v>6.1822187409999998</v>
      </c>
      <c r="AV408" s="6">
        <f>[1]Emissions!AU870</f>
        <v>6.245445696</v>
      </c>
      <c r="AW408" s="6">
        <f>[1]Emissions!AV870</f>
        <v>6.3093128060000003</v>
      </c>
      <c r="AX408" s="6">
        <f>[1]Emissions!AW870</f>
        <v>6.3738015509999997</v>
      </c>
      <c r="AY408" s="6">
        <f>[1]Emissions!AX870</f>
        <v>6.4390088360000002</v>
      </c>
      <c r="AZ408" s="6">
        <f>[1]Emissions!AY870</f>
        <v>6.5050160210000003</v>
      </c>
      <c r="BA408" s="6">
        <f>[1]Emissions!AZ870</f>
        <v>6.5718744320000004</v>
      </c>
      <c r="BB408" s="6">
        <f>[1]Emissions!BA870</f>
        <v>7.2498662630000004</v>
      </c>
      <c r="BC408" s="6">
        <f>[1]Emissions!BB870</f>
        <v>7.3506676459999998</v>
      </c>
      <c r="BD408" s="6">
        <f>[1]Emissions!BC870</f>
        <v>7.4530505619999996</v>
      </c>
      <c r="BE408" s="6">
        <f>[1]Emissions!BD870</f>
        <v>7.5570639120000003</v>
      </c>
      <c r="BF408" s="6">
        <f>[1]Emissions!BE870</f>
        <v>7.662759103</v>
      </c>
    </row>
    <row r="409" spans="2:58" x14ac:dyDescent="0.35">
      <c r="B409" s="6" t="str">
        <f>[1]Emissions!A872</f>
        <v>ems_ci_co2_seoi_2</v>
      </c>
      <c r="C409" s="6">
        <f>[1]Emissions!B872</f>
        <v>3.0516363819999999</v>
      </c>
      <c r="D409" s="6">
        <f>[1]Emissions!C872</f>
        <v>3.0790726689999999</v>
      </c>
      <c r="E409" s="6">
        <f>[1]Emissions!D872</f>
        <v>3.1009701930000002</v>
      </c>
      <c r="F409" s="6">
        <f>[1]Emissions!E872</f>
        <v>3.121877735</v>
      </c>
      <c r="G409" s="6">
        <f>[1]Emissions!F872</f>
        <v>3.1441706709999999</v>
      </c>
      <c r="H409" s="6">
        <f>[1]Emissions!G872</f>
        <v>3.1686568030000002</v>
      </c>
      <c r="I409" s="6">
        <f>[1]Emissions!H872</f>
        <v>3.1939012309999999</v>
      </c>
      <c r="J409" s="6">
        <f>[1]Emissions!I872</f>
        <v>3.2203005650000001</v>
      </c>
      <c r="K409" s="6">
        <f>[1]Emissions!J872</f>
        <v>3.2478011389999999</v>
      </c>
      <c r="L409" s="6">
        <f>[1]Emissions!K872</f>
        <v>3.2762351019999998</v>
      </c>
      <c r="M409" s="6">
        <f>[1]Emissions!L872</f>
        <v>3.3079664709999999</v>
      </c>
      <c r="N409" s="6">
        <f>[1]Emissions!M872</f>
        <v>3.3390983420000002</v>
      </c>
      <c r="O409" s="6">
        <f>[1]Emissions!N872</f>
        <v>3.3702776760000002</v>
      </c>
      <c r="P409" s="6">
        <f>[1]Emissions!O872</f>
        <v>3.401781701</v>
      </c>
      <c r="Q409" s="6">
        <f>[1]Emissions!P872</f>
        <v>3.433694188</v>
      </c>
      <c r="R409" s="6">
        <f>[1]Emissions!Q872</f>
        <v>3.466039807</v>
      </c>
      <c r="S409" s="6">
        <f>[1]Emissions!R872</f>
        <v>3.4988443419999999</v>
      </c>
      <c r="T409" s="6">
        <f>[1]Emissions!S872</f>
        <v>3.5321132589999999</v>
      </c>
      <c r="U409" s="6">
        <f>[1]Emissions!T872</f>
        <v>3.5658549430000002</v>
      </c>
      <c r="V409" s="6">
        <f>[1]Emissions!U872</f>
        <v>3.6000840169999999</v>
      </c>
      <c r="W409" s="6">
        <f>[1]Emissions!V872</f>
        <v>3.6329795479999998</v>
      </c>
      <c r="X409" s="6">
        <f>[1]Emissions!W872</f>
        <v>3.6673589569999998</v>
      </c>
      <c r="Y409" s="6">
        <f>[1]Emissions!X872</f>
        <v>3.702718988</v>
      </c>
      <c r="Z409" s="6">
        <f>[1]Emissions!Y872</f>
        <v>3.7388518880000001</v>
      </c>
      <c r="AA409" s="6">
        <f>[1]Emissions!Z872</f>
        <v>3.7757012200000002</v>
      </c>
      <c r="AB409" s="6">
        <f>[1]Emissions!AA872</f>
        <v>3.8079743349999999</v>
      </c>
      <c r="AC409" s="6">
        <f>[1]Emissions!AB872</f>
        <v>3.8411826759999999</v>
      </c>
      <c r="AD409" s="6">
        <f>[1]Emissions!AC872</f>
        <v>3.8750833340000002</v>
      </c>
      <c r="AE409" s="6">
        <f>[1]Emissions!AD872</f>
        <v>3.9095859599999998</v>
      </c>
      <c r="AF409" s="6">
        <f>[1]Emissions!AE872</f>
        <v>3.9447253350000002</v>
      </c>
      <c r="AG409" s="6">
        <f>[1]Emissions!AF872</f>
        <v>3.9805645109999999</v>
      </c>
      <c r="AH409" s="6">
        <f>[1]Emissions!AG872</f>
        <v>4.0171578959999996</v>
      </c>
      <c r="AI409" s="6">
        <f>[1]Emissions!AH872</f>
        <v>4.0545527549999996</v>
      </c>
      <c r="AJ409" s="6">
        <f>[1]Emissions!AI872</f>
        <v>4.0927828140000004</v>
      </c>
      <c r="AK409" s="6">
        <f>[1]Emissions!AJ872</f>
        <v>4.1318687230000002</v>
      </c>
      <c r="AL409" s="6">
        <f>[1]Emissions!AK872</f>
        <v>4.1718201930000003</v>
      </c>
      <c r="AM409" s="6">
        <f>[1]Emissions!AL872</f>
        <v>4.211336609</v>
      </c>
      <c r="AN409" s="6">
        <f>[1]Emissions!AM872</f>
        <v>4.2510669820000002</v>
      </c>
      <c r="AO409" s="6">
        <f>[1]Emissions!AN872</f>
        <v>4.2912983100000002</v>
      </c>
      <c r="AP409" s="6">
        <f>[1]Emissions!AO872</f>
        <v>4.3321552969999999</v>
      </c>
      <c r="AQ409" s="6">
        <f>[1]Emissions!AP872</f>
        <v>4.3737035549999996</v>
      </c>
      <c r="AR409" s="6">
        <f>[1]Emissions!AQ872</f>
        <v>4.415977034</v>
      </c>
      <c r="AS409" s="6">
        <f>[1]Emissions!AR872</f>
        <v>4.4590045600000003</v>
      </c>
      <c r="AT409" s="6">
        <f>[1]Emissions!AS872</f>
        <v>4.5028060429999996</v>
      </c>
      <c r="AU409" s="6">
        <f>[1]Emissions!AT872</f>
        <v>4.5473935389999998</v>
      </c>
      <c r="AV409" s="6">
        <f>[1]Emissions!AU872</f>
        <v>4.5927728390000002</v>
      </c>
      <c r="AW409" s="6">
        <f>[1]Emissions!AV872</f>
        <v>4.6387379190000004</v>
      </c>
      <c r="AX409" s="6">
        <f>[1]Emissions!AW872</f>
        <v>4.6852933999999999</v>
      </c>
      <c r="AY409" s="6">
        <f>[1]Emissions!AX872</f>
        <v>4.732615236</v>
      </c>
      <c r="AZ409" s="6">
        <f>[1]Emissions!AY872</f>
        <v>4.780883555</v>
      </c>
      <c r="BA409" s="6">
        <f>[1]Emissions!AZ872</f>
        <v>4.8302236440000001</v>
      </c>
      <c r="BB409" s="6">
        <f>[1]Emissions!BA872</f>
        <v>4.9407715779999997</v>
      </c>
      <c r="BC409" s="6">
        <f>[1]Emissions!BB872</f>
        <v>5.0032921830000001</v>
      </c>
      <c r="BD409" s="6">
        <f>[1]Emissions!BC872</f>
        <v>5.0669809370000003</v>
      </c>
      <c r="BE409" s="6">
        <f>[1]Emissions!BD872</f>
        <v>5.1318433590000003</v>
      </c>
      <c r="BF409" s="6">
        <f>[1]Emissions!BE872</f>
        <v>5.197886574</v>
      </c>
    </row>
    <row r="410" spans="2:58" x14ac:dyDescent="0.35">
      <c r="B410" s="6" t="str">
        <f>[1]Emissions!A874</f>
        <v>ems_ci_co2_sega_2</v>
      </c>
      <c r="C410" s="6">
        <f>[1]Emissions!B874</f>
        <v>3.6106213700000001</v>
      </c>
      <c r="D410" s="6">
        <f>[1]Emissions!C874</f>
        <v>3.6430832990000002</v>
      </c>
      <c r="E410" s="6">
        <f>[1]Emissions!D874</f>
        <v>3.6689919550000001</v>
      </c>
      <c r="F410" s="6">
        <f>[1]Emissions!E874</f>
        <v>3.6937293210000002</v>
      </c>
      <c r="G410" s="6">
        <f>[1]Emissions!F874</f>
        <v>3.720105846</v>
      </c>
      <c r="H410" s="6">
        <f>[1]Emissions!G874</f>
        <v>3.749077271</v>
      </c>
      <c r="I410" s="6">
        <f>[1]Emissions!H874</f>
        <v>3.7789458429999998</v>
      </c>
      <c r="J410" s="6">
        <f>[1]Emissions!I874</f>
        <v>3.8101808190000002</v>
      </c>
      <c r="K410" s="6">
        <f>[1]Emissions!J874</f>
        <v>3.8427186949999999</v>
      </c>
      <c r="L410" s="6">
        <f>[1]Emissions!K874</f>
        <v>3.8763608760000001</v>
      </c>
      <c r="M410" s="6">
        <f>[1]Emissions!L874</f>
        <v>3.9139043930000001</v>
      </c>
      <c r="N410" s="6">
        <f>[1]Emissions!M874</f>
        <v>3.9507385450000001</v>
      </c>
      <c r="O410" s="6">
        <f>[1]Emissions!N874</f>
        <v>3.987628816</v>
      </c>
      <c r="P410" s="6">
        <f>[1]Emissions!O874</f>
        <v>4.0249032319999998</v>
      </c>
      <c r="Q410" s="6">
        <f>[1]Emissions!P874</f>
        <v>4.0626609199999999</v>
      </c>
      <c r="R410" s="6">
        <f>[1]Emissions!Q874</f>
        <v>4.1009310780000003</v>
      </c>
      <c r="S410" s="6">
        <f>[1]Emissions!R874</f>
        <v>4.1397442189999998</v>
      </c>
      <c r="T410" s="6">
        <f>[1]Emissions!S874</f>
        <v>4.179106816</v>
      </c>
      <c r="U410" s="6">
        <f>[1]Emissions!T874</f>
        <v>4.2190288000000002</v>
      </c>
      <c r="V410" s="6">
        <f>[1]Emissions!U874</f>
        <v>4.2595274730000003</v>
      </c>
      <c r="W410" s="6">
        <f>[1]Emissions!V874</f>
        <v>4.2984483720000002</v>
      </c>
      <c r="X410" s="6">
        <f>[1]Emissions!W874</f>
        <v>4.3391249869999999</v>
      </c>
      <c r="Y410" s="6">
        <f>[1]Emissions!X874</f>
        <v>4.3809618749999997</v>
      </c>
      <c r="Z410" s="6">
        <f>[1]Emissions!Y874</f>
        <v>4.4237132209999999</v>
      </c>
      <c r="AA410" s="6">
        <f>[1]Emissions!Z874</f>
        <v>4.4673122489999999</v>
      </c>
      <c r="AB410" s="6">
        <f>[1]Emissions!AA874</f>
        <v>4.50549687</v>
      </c>
      <c r="AC410" s="6">
        <f>[1]Emissions!AB874</f>
        <v>4.5447880730000003</v>
      </c>
      <c r="AD410" s="6">
        <f>[1]Emissions!AC874</f>
        <v>4.5848984399999999</v>
      </c>
      <c r="AE410" s="6">
        <f>[1]Emissions!AD874</f>
        <v>4.6257210600000001</v>
      </c>
      <c r="AF410" s="6">
        <f>[1]Emissions!AE874</f>
        <v>4.6672970759999997</v>
      </c>
      <c r="AG410" s="6">
        <f>[1]Emissions!AF874</f>
        <v>4.7097010790000002</v>
      </c>
      <c r="AH410" s="6">
        <f>[1]Emissions!AG874</f>
        <v>4.7529974399999997</v>
      </c>
      <c r="AI410" s="6">
        <f>[1]Emissions!AH874</f>
        <v>4.7972420729999996</v>
      </c>
      <c r="AJ410" s="6">
        <f>[1]Emissions!AI874</f>
        <v>4.842474878</v>
      </c>
      <c r="AK410" s="6">
        <f>[1]Emissions!AJ874</f>
        <v>4.8887202839999997</v>
      </c>
      <c r="AL410" s="6">
        <f>[1]Emissions!AK874</f>
        <v>4.9359897779999997</v>
      </c>
      <c r="AM410" s="6">
        <f>[1]Emissions!AL874</f>
        <v>4.9827445109999999</v>
      </c>
      <c r="AN410" s="6">
        <f>[1]Emissions!AM874</f>
        <v>5.029752384</v>
      </c>
      <c r="AO410" s="6">
        <f>[1]Emissions!AN874</f>
        <v>5.0773529609999999</v>
      </c>
      <c r="AP410" s="6">
        <f>[1]Emissions!AO874</f>
        <v>5.1256937889999996</v>
      </c>
      <c r="AQ410" s="6">
        <f>[1]Emissions!AP874</f>
        <v>5.1748524979999999</v>
      </c>
      <c r="AR410" s="6">
        <f>[1]Emissions!AQ874</f>
        <v>5.2248692539999997</v>
      </c>
      <c r="AS410" s="6">
        <f>[1]Emissions!AR874</f>
        <v>5.2757781640000001</v>
      </c>
      <c r="AT410" s="6">
        <f>[1]Emissions!AS874</f>
        <v>5.3276027849999998</v>
      </c>
      <c r="AU410" s="6">
        <f>[1]Emissions!AT874</f>
        <v>5.3803573829999998</v>
      </c>
      <c r="AV410" s="6">
        <f>[1]Emissions!AU874</f>
        <v>5.4340488090000001</v>
      </c>
      <c r="AW410" s="6">
        <f>[1]Emissions!AV874</f>
        <v>5.488433326</v>
      </c>
      <c r="AX410" s="6">
        <f>[1]Emissions!AW874</f>
        <v>5.5435164109999997</v>
      </c>
      <c r="AY410" s="6">
        <f>[1]Emissions!AX874</f>
        <v>5.5995062430000004</v>
      </c>
      <c r="AZ410" s="6">
        <f>[1]Emissions!AY874</f>
        <v>5.6566159210000002</v>
      </c>
      <c r="BA410" s="6">
        <f>[1]Emissions!AZ874</f>
        <v>5.7149936649999997</v>
      </c>
      <c r="BB410" s="6">
        <f>[1]Emissions!BA874</f>
        <v>5.8457940060000002</v>
      </c>
      <c r="BC410" s="6">
        <f>[1]Emissions!BB874</f>
        <v>5.9197668380000001</v>
      </c>
      <c r="BD410" s="6">
        <f>[1]Emissions!BC874</f>
        <v>5.9951217950000002</v>
      </c>
      <c r="BE410" s="6">
        <f>[1]Emissions!BD874</f>
        <v>6.0718654030000003</v>
      </c>
      <c r="BF410" s="6">
        <f>[1]Emissions!BE874</f>
        <v>6.150006093</v>
      </c>
    </row>
    <row r="411" spans="2:58" x14ac:dyDescent="0.35">
      <c r="B411" s="6" t="str">
        <f>[1]Emissions!A876</f>
        <v>ems_ci_co2_seco_2</v>
      </c>
      <c r="C411" s="6">
        <f>[1]Emissions!B876</f>
        <v>7.4424824599999999</v>
      </c>
      <c r="D411" s="6">
        <f>[1]Emissions!C876</f>
        <v>7.5093954140000001</v>
      </c>
      <c r="E411" s="6">
        <f>[1]Emissions!D876</f>
        <v>7.5628002700000003</v>
      </c>
      <c r="F411" s="6">
        <f>[1]Emissions!E876</f>
        <v>7.6137907780000003</v>
      </c>
      <c r="G411" s="6">
        <f>[1]Emissions!F876</f>
        <v>7.6681600410000001</v>
      </c>
      <c r="H411" s="6">
        <f>[1]Emissions!G876</f>
        <v>7.7278781060000004</v>
      </c>
      <c r="I411" s="6">
        <f>[1]Emissions!H876</f>
        <v>7.7894454380000004</v>
      </c>
      <c r="J411" s="6">
        <f>[1]Emissions!I876</f>
        <v>7.8538293030000004</v>
      </c>
      <c r="K411" s="6">
        <f>[1]Emissions!J876</f>
        <v>7.9208988040000001</v>
      </c>
      <c r="L411" s="6">
        <f>[1]Emissions!K876</f>
        <v>7.9902445799999997</v>
      </c>
      <c r="M411" s="6">
        <f>[1]Emissions!L876</f>
        <v>8.0676320819999994</v>
      </c>
      <c r="N411" s="6">
        <f>[1]Emissions!M876</f>
        <v>8.1435573859999995</v>
      </c>
      <c r="O411" s="6">
        <f>[1]Emissions!N876</f>
        <v>8.2195983699999999</v>
      </c>
      <c r="P411" s="6">
        <f>[1]Emissions!O876</f>
        <v>8.2964311800000008</v>
      </c>
      <c r="Q411" s="6">
        <f>[1]Emissions!P876</f>
        <v>8.3742601459999992</v>
      </c>
      <c r="R411" s="6">
        <f>[1]Emissions!Q876</f>
        <v>8.4531454539999995</v>
      </c>
      <c r="S411" s="6">
        <f>[1]Emissions!R876</f>
        <v>8.5331499990000008</v>
      </c>
      <c r="T411" s="6">
        <f>[1]Emissions!S876</f>
        <v>8.6142871260000007</v>
      </c>
      <c r="U411" s="6">
        <f>[1]Emissions!T876</f>
        <v>8.6965773009999996</v>
      </c>
      <c r="V411" s="6">
        <f>[1]Emissions!U876</f>
        <v>8.7800561899999998</v>
      </c>
      <c r="W411" s="6">
        <f>[1]Emissions!V876</f>
        <v>8.8602828539999994</v>
      </c>
      <c r="X411" s="6">
        <f>[1]Emissions!W876</f>
        <v>8.9441285310000005</v>
      </c>
      <c r="Y411" s="6">
        <f>[1]Emissions!X876</f>
        <v>9.0303658500000008</v>
      </c>
      <c r="Z411" s="6">
        <f>[1]Emissions!Y876</f>
        <v>9.1184881180000001</v>
      </c>
      <c r="AA411" s="6">
        <f>[1]Emissions!Z876</f>
        <v>9.2083576909999998</v>
      </c>
      <c r="AB411" s="6">
        <f>[1]Emissions!AA876</f>
        <v>9.2870666839999991</v>
      </c>
      <c r="AC411" s="6">
        <f>[1]Emissions!AB876</f>
        <v>9.3680566469999995</v>
      </c>
      <c r="AD411" s="6">
        <f>[1]Emissions!AC876</f>
        <v>9.4507351310000001</v>
      </c>
      <c r="AE411" s="6">
        <f>[1]Emissions!AD876</f>
        <v>9.5348817639999996</v>
      </c>
      <c r="AF411" s="6">
        <f>[1]Emissions!AE876</f>
        <v>9.6205813540000005</v>
      </c>
      <c r="AG411" s="6">
        <f>[1]Emissions!AF876</f>
        <v>9.707987653</v>
      </c>
      <c r="AH411" s="6">
        <f>[1]Emissions!AG876</f>
        <v>9.7972333450000004</v>
      </c>
      <c r="AI411" s="6">
        <f>[1]Emissions!AH876</f>
        <v>9.8884336879999992</v>
      </c>
      <c r="AJ411" s="6">
        <f>[1]Emissions!AI876</f>
        <v>9.9816709249999995</v>
      </c>
      <c r="AK411" s="6">
        <f>[1]Emissions!AJ876</f>
        <v>10.07699541</v>
      </c>
      <c r="AL411" s="6">
        <f>[1]Emissions!AK876</f>
        <v>10.17443082</v>
      </c>
      <c r="AM411" s="6">
        <f>[1]Emissions!AL876</f>
        <v>10.270805169999999</v>
      </c>
      <c r="AN411" s="6">
        <f>[1]Emissions!AM876</f>
        <v>10.367701309999999</v>
      </c>
      <c r="AO411" s="6">
        <f>[1]Emissions!AN876</f>
        <v>10.46581917</v>
      </c>
      <c r="AP411" s="6">
        <f>[1]Emissions!AO876</f>
        <v>10.5654629</v>
      </c>
      <c r="AQ411" s="6">
        <f>[1]Emissions!AP876</f>
        <v>10.6667925</v>
      </c>
      <c r="AR411" s="6">
        <f>[1]Emissions!AQ876</f>
        <v>10.76989077</v>
      </c>
      <c r="AS411" s="6">
        <f>[1]Emissions!AR876</f>
        <v>10.874828020000001</v>
      </c>
      <c r="AT411" s="6">
        <f>[1]Emissions!AS876</f>
        <v>10.981652800000001</v>
      </c>
      <c r="AU411" s="6">
        <f>[1]Emissions!AT876</f>
        <v>11.09039452</v>
      </c>
      <c r="AV411" s="6">
        <f>[1]Emissions!AU876</f>
        <v>11.2010673</v>
      </c>
      <c r="AW411" s="6">
        <f>[1]Emissions!AV876</f>
        <v>11.313168729999999</v>
      </c>
      <c r="AX411" s="6">
        <f>[1]Emissions!AW876</f>
        <v>11.426710099999999</v>
      </c>
      <c r="AY411" s="6">
        <f>[1]Emissions!AX876</f>
        <v>11.542120519999999</v>
      </c>
      <c r="AZ411" s="6">
        <f>[1]Emissions!AY876</f>
        <v>11.659839249999999</v>
      </c>
      <c r="BA411" s="6">
        <f>[1]Emissions!AZ876</f>
        <v>11.78017182</v>
      </c>
      <c r="BB411" s="6">
        <f>[1]Emissions!BA876</f>
        <v>12.04978725</v>
      </c>
      <c r="BC411" s="6">
        <f>[1]Emissions!BB876</f>
        <v>12.202265580000001</v>
      </c>
      <c r="BD411" s="6">
        <f>[1]Emissions!BC876</f>
        <v>12.35759285</v>
      </c>
      <c r="BE411" s="6">
        <f>[1]Emissions!BD876</f>
        <v>12.5157825</v>
      </c>
      <c r="BF411" s="6">
        <f>[1]Emissions!BE876</f>
        <v>12.67685193</v>
      </c>
    </row>
    <row r="412" spans="2:58" x14ac:dyDescent="0.35">
      <c r="B412" s="6" t="str">
        <f>[1]Emissions!A878</f>
        <v>ems_ci_co2_sech_2</v>
      </c>
      <c r="C412" s="6">
        <f>[1]Emissions!B878</f>
        <v>9.6638054400000009</v>
      </c>
      <c r="D412" s="6">
        <f>[1]Emissions!C878</f>
        <v>9.7710562680000006</v>
      </c>
      <c r="E412" s="6">
        <f>[1]Emissions!D878</f>
        <v>9.8695657220000008</v>
      </c>
      <c r="F412" s="6">
        <f>[1]Emissions!E878</f>
        <v>9.9647547250000006</v>
      </c>
      <c r="G412" s="6">
        <f>[1]Emissions!F878</f>
        <v>10.060963190000001</v>
      </c>
      <c r="H412" s="6">
        <f>[1]Emissions!G878</f>
        <v>10.160438900000001</v>
      </c>
      <c r="I412" s="6">
        <f>[1]Emissions!H878</f>
        <v>10.257045959999999</v>
      </c>
      <c r="J412" s="6">
        <f>[1]Emissions!I878</f>
        <v>10.354006780000001</v>
      </c>
      <c r="K412" s="6">
        <f>[1]Emissions!J878</f>
        <v>10.452708729999999</v>
      </c>
      <c r="L412" s="6">
        <f>[1]Emissions!K878</f>
        <v>10.553423609999999</v>
      </c>
      <c r="M412" s="6">
        <f>[1]Emissions!L878</f>
        <v>10.66768122</v>
      </c>
      <c r="N412" s="6">
        <f>[1]Emissions!M878</f>
        <v>10.77782412</v>
      </c>
      <c r="O412" s="6">
        <f>[1]Emissions!N878</f>
        <v>10.886199749999999</v>
      </c>
      <c r="P412" s="6">
        <f>[1]Emissions!O878</f>
        <v>10.99441968</v>
      </c>
      <c r="Q412" s="6">
        <f>[1]Emissions!P878</f>
        <v>11.10315698</v>
      </c>
      <c r="R412" s="6">
        <f>[1]Emissions!Q878</f>
        <v>11.212667290000001</v>
      </c>
      <c r="S412" s="6">
        <f>[1]Emissions!R878</f>
        <v>11.323101640000001</v>
      </c>
      <c r="T412" s="6">
        <f>[1]Emissions!S878</f>
        <v>11.43447718</v>
      </c>
      <c r="U412" s="6">
        <f>[1]Emissions!T878</f>
        <v>11.54678709</v>
      </c>
      <c r="V412" s="6">
        <f>[1]Emissions!U878</f>
        <v>11.66003737</v>
      </c>
      <c r="W412" s="6">
        <f>[1]Emissions!V878</f>
        <v>11.766132170000001</v>
      </c>
      <c r="X412" s="6">
        <f>[1]Emissions!W878</f>
        <v>11.87728431</v>
      </c>
      <c r="Y412" s="6">
        <f>[1]Emissions!X878</f>
        <v>11.991709849999999</v>
      </c>
      <c r="Z412" s="6">
        <f>[1]Emissions!Y878</f>
        <v>12.108223410000001</v>
      </c>
      <c r="AA412" s="6">
        <f>[1]Emissions!Z878</f>
        <v>12.226327660000001</v>
      </c>
      <c r="AB412" s="6">
        <f>[1]Emissions!AA878</f>
        <v>12.32309027</v>
      </c>
      <c r="AC412" s="6">
        <f>[1]Emissions!AB878</f>
        <v>12.42180901</v>
      </c>
      <c r="AD412" s="6">
        <f>[1]Emissions!AC878</f>
        <v>12.52260478</v>
      </c>
      <c r="AE412" s="6">
        <f>[1]Emissions!AD878</f>
        <v>12.624964950000001</v>
      </c>
      <c r="AF412" s="6">
        <f>[1]Emissions!AE878</f>
        <v>12.728713839999999</v>
      </c>
      <c r="AG412" s="6">
        <f>[1]Emissions!AF878</f>
        <v>12.83383888</v>
      </c>
      <c r="AH412" s="6">
        <f>[1]Emissions!AG878</f>
        <v>12.94036655</v>
      </c>
      <c r="AI412" s="6">
        <f>[1]Emissions!AH878</f>
        <v>13.048358049999999</v>
      </c>
      <c r="AJ412" s="6">
        <f>[1]Emissions!AI878</f>
        <v>13.157872490000001</v>
      </c>
      <c r="AK412" s="6">
        <f>[1]Emissions!AJ878</f>
        <v>13.26895457</v>
      </c>
      <c r="AL412" s="6">
        <f>[1]Emissions!AK878</f>
        <v>13.38163293</v>
      </c>
      <c r="AM412" s="6">
        <f>[1]Emissions!AL878</f>
        <v>13.49060628</v>
      </c>
      <c r="AN412" s="6">
        <f>[1]Emissions!AM878</f>
        <v>13.598473520000001</v>
      </c>
      <c r="AO412" s="6">
        <f>[1]Emissions!AN878</f>
        <v>13.7066768</v>
      </c>
      <c r="AP412" s="6">
        <f>[1]Emissions!AO878</f>
        <v>13.815870260000001</v>
      </c>
      <c r="AQ412" s="6">
        <f>[1]Emissions!AP878</f>
        <v>13.92634994</v>
      </c>
      <c r="AR412" s="6">
        <f>[1]Emissions!AQ878</f>
        <v>14.038225560000001</v>
      </c>
      <c r="AS412" s="6">
        <f>[1]Emissions!AR878</f>
        <v>14.151570980000001</v>
      </c>
      <c r="AT412" s="6">
        <f>[1]Emissions!AS878</f>
        <v>14.26643307</v>
      </c>
      <c r="AU412" s="6">
        <f>[1]Emissions!AT878</f>
        <v>14.382839260000001</v>
      </c>
      <c r="AV412" s="6">
        <f>[1]Emissions!AU878</f>
        <v>14.50080374</v>
      </c>
      <c r="AW412" s="6">
        <f>[1]Emissions!AV878</f>
        <v>14.619873439999999</v>
      </c>
      <c r="AX412" s="6">
        <f>[1]Emissions!AW878</f>
        <v>14.73987107</v>
      </c>
      <c r="AY412" s="6">
        <f>[1]Emissions!AX878</f>
        <v>14.8611228</v>
      </c>
      <c r="AZ412" s="6">
        <f>[1]Emissions!AY878</f>
        <v>14.98403995</v>
      </c>
      <c r="BA412" s="6">
        <f>[1]Emissions!AZ878</f>
        <v>15.10893971</v>
      </c>
      <c r="BB412" s="6">
        <f>[1]Emissions!BA878</f>
        <v>14.959048920000001</v>
      </c>
      <c r="BC412" s="6">
        <f>[1]Emissions!BB878</f>
        <v>15.108809000000001</v>
      </c>
      <c r="BD412" s="6">
        <f>[1]Emissions!BC878</f>
        <v>15.2610198</v>
      </c>
      <c r="BE412" s="6">
        <f>[1]Emissions!BD878</f>
        <v>15.41566873</v>
      </c>
      <c r="BF412" s="6">
        <f>[1]Emissions!BE878</f>
        <v>15.57277088</v>
      </c>
    </row>
    <row r="413" spans="2:58" x14ac:dyDescent="0.35">
      <c r="B413" s="6" t="str">
        <f>[1]Emissions!A880</f>
        <v>ems_ci_co2_seot_2</v>
      </c>
      <c r="C413" s="6">
        <f>[1]Emissions!B880</f>
        <v>1.324063242</v>
      </c>
      <c r="D413" s="6">
        <f>[1]Emissions!C880</f>
        <v>1.335869381</v>
      </c>
      <c r="E413" s="6">
        <f>[1]Emissions!D880</f>
        <v>1.345192545</v>
      </c>
      <c r="F413" s="6">
        <f>[1]Emissions!E880</f>
        <v>1.3540169120000001</v>
      </c>
      <c r="G413" s="6">
        <f>[1]Emissions!F880</f>
        <v>1.3633996820000001</v>
      </c>
      <c r="H413" s="6">
        <f>[1]Emissions!G880</f>
        <v>1.373721784</v>
      </c>
      <c r="I413" s="6">
        <f>[1]Emissions!H880</f>
        <v>1.384385816</v>
      </c>
      <c r="J413" s="6">
        <f>[1]Emissions!I880</f>
        <v>1.39557924</v>
      </c>
      <c r="K413" s="6">
        <f>[1]Emissions!J880</f>
        <v>1.4072861350000001</v>
      </c>
      <c r="L413" s="6">
        <f>[1]Emissions!K880</f>
        <v>1.4194353049999999</v>
      </c>
      <c r="M413" s="6">
        <f>[1]Emissions!L880</f>
        <v>1.4330511349999999</v>
      </c>
      <c r="N413" s="6">
        <f>[1]Emissions!M880</f>
        <v>1.4464433830000001</v>
      </c>
      <c r="O413" s="6">
        <f>[1]Emissions!N880</f>
        <v>1.459888179</v>
      </c>
      <c r="P413" s="6">
        <f>[1]Emissions!O880</f>
        <v>1.4735011259999999</v>
      </c>
      <c r="Q413" s="6">
        <f>[1]Emissions!P880</f>
        <v>1.4873145130000001</v>
      </c>
      <c r="R413" s="6">
        <f>[1]Emissions!Q880</f>
        <v>1.5013355660000001</v>
      </c>
      <c r="S413" s="6">
        <f>[1]Emissions!R880</f>
        <v>1.515572433</v>
      </c>
      <c r="T413" s="6">
        <f>[1]Emissions!S880</f>
        <v>1.530024614</v>
      </c>
      <c r="U413" s="6">
        <f>[1]Emissions!T880</f>
        <v>1.544692918</v>
      </c>
      <c r="V413" s="6">
        <f>[1]Emissions!U880</f>
        <v>1.559580883</v>
      </c>
      <c r="W413" s="6">
        <f>[1]Emissions!V880</f>
        <v>1.5738952829999999</v>
      </c>
      <c r="X413" s="6">
        <f>[1]Emissions!W880</f>
        <v>1.588852908</v>
      </c>
      <c r="Y413" s="6">
        <f>[1]Emissions!X880</f>
        <v>1.604233518</v>
      </c>
      <c r="Z413" s="6">
        <f>[1]Emissions!Y880</f>
        <v>1.619945323</v>
      </c>
      <c r="AA413" s="6">
        <f>[1]Emissions!Z880</f>
        <v>1.635962146</v>
      </c>
      <c r="AB413" s="6">
        <f>[1]Emissions!AA880</f>
        <v>1.649984399</v>
      </c>
      <c r="AC413" s="6">
        <f>[1]Emissions!AB880</f>
        <v>1.6643933099999999</v>
      </c>
      <c r="AD413" s="6">
        <f>[1]Emissions!AC880</f>
        <v>1.6790795780000001</v>
      </c>
      <c r="AE413" s="6">
        <f>[1]Emissions!AD880</f>
        <v>1.6940015980000001</v>
      </c>
      <c r="AF413" s="6">
        <f>[1]Emissions!AE880</f>
        <v>1.7091728639999999</v>
      </c>
      <c r="AG413" s="6">
        <f>[1]Emissions!AF880</f>
        <v>1.7246197860000001</v>
      </c>
      <c r="AH413" s="6">
        <f>[1]Emissions!AG880</f>
        <v>1.7403656789999999</v>
      </c>
      <c r="AI413" s="6">
        <f>[1]Emissions!AH880</f>
        <v>1.756431453</v>
      </c>
      <c r="AJ413" s="6">
        <f>[1]Emissions!AI880</f>
        <v>1.7728327880000001</v>
      </c>
      <c r="AK413" s="6">
        <f>[1]Emissions!AJ880</f>
        <v>1.7895802089999999</v>
      </c>
      <c r="AL413" s="6">
        <f>[1]Emissions!AK880</f>
        <v>1.80667986</v>
      </c>
      <c r="AM413" s="6">
        <f>[1]Emissions!AL880</f>
        <v>1.8235692809999999</v>
      </c>
      <c r="AN413" s="6">
        <f>[1]Emissions!AM880</f>
        <v>1.840529855</v>
      </c>
      <c r="AO413" s="6">
        <f>[1]Emissions!AN880</f>
        <v>1.857686444</v>
      </c>
      <c r="AP413" s="6">
        <f>[1]Emissions!AO880</f>
        <v>1.875094045</v>
      </c>
      <c r="AQ413" s="6">
        <f>[1]Emissions!AP880</f>
        <v>1.892782347</v>
      </c>
      <c r="AR413" s="6">
        <f>[1]Emissions!AQ880</f>
        <v>1.9107674269999999</v>
      </c>
      <c r="AS413" s="6">
        <f>[1]Emissions!AR880</f>
        <v>1.9290632400000001</v>
      </c>
      <c r="AT413" s="6">
        <f>[1]Emissions!AS880</f>
        <v>1.94767997</v>
      </c>
      <c r="AU413" s="6">
        <f>[1]Emissions!AT880</f>
        <v>1.966624478</v>
      </c>
      <c r="AV413" s="6">
        <f>[1]Emissions!AU880</f>
        <v>1.9859009599999999</v>
      </c>
      <c r="AW413" s="6">
        <f>[1]Emissions!AV880</f>
        <v>2.0054130809999999</v>
      </c>
      <c r="AX413" s="6">
        <f>[1]Emissions!AW880</f>
        <v>2.025156001</v>
      </c>
      <c r="AY413" s="6">
        <f>[1]Emissions!AX880</f>
        <v>2.0452025159999998</v>
      </c>
      <c r="AZ413" s="6">
        <f>[1]Emissions!AY880</f>
        <v>2.0656307420000002</v>
      </c>
      <c r="BA413" s="6">
        <f>[1]Emissions!AZ880</f>
        <v>2.0864973660000001</v>
      </c>
      <c r="BB413" s="6">
        <f>[1]Emissions!BA880</f>
        <v>2.1598708860000002</v>
      </c>
      <c r="BC413" s="6">
        <f>[1]Emissions!BB880</f>
        <v>2.187238834</v>
      </c>
      <c r="BD413" s="6">
        <f>[1]Emissions!BC880</f>
        <v>2.2150941770000001</v>
      </c>
      <c r="BE413" s="6">
        <f>[1]Emissions!BD880</f>
        <v>2.2434400540000001</v>
      </c>
      <c r="BF413" s="6">
        <f>[1]Emissions!BE880</f>
        <v>2.272280496</v>
      </c>
    </row>
    <row r="414" spans="2:58" x14ac:dyDescent="0.35">
      <c r="B414" s="6" t="str">
        <f>[1]Emissions!A882</f>
        <v>ems_y_co2_sagr_2</v>
      </c>
      <c r="C414" s="6">
        <f>[1]Emissions!B882</f>
        <v>2.7535943100000002E-2</v>
      </c>
      <c r="D414" s="6">
        <f>[1]Emissions!C882</f>
        <v>2.7813553500000001E-2</v>
      </c>
      <c r="E414" s="6">
        <f>[1]Emissions!D882</f>
        <v>2.8107394500000001E-2</v>
      </c>
      <c r="F414" s="6">
        <f>[1]Emissions!E882</f>
        <v>2.8409860299999999E-2</v>
      </c>
      <c r="G414" s="6">
        <f>[1]Emissions!F882</f>
        <v>2.8726071499999999E-2</v>
      </c>
      <c r="H414" s="6">
        <f>[1]Emissions!G882</f>
        <v>2.90579524E-2</v>
      </c>
      <c r="I414" s="6">
        <f>[1]Emissions!H882</f>
        <v>2.93806146E-2</v>
      </c>
      <c r="J414" s="6">
        <f>[1]Emissions!I882</f>
        <v>2.9715003600000001E-2</v>
      </c>
      <c r="K414" s="6">
        <f>[1]Emissions!J882</f>
        <v>3.00609859E-2</v>
      </c>
      <c r="L414" s="6">
        <f>[1]Emissions!K882</f>
        <v>3.04176684E-2</v>
      </c>
      <c r="M414" s="6">
        <f>[1]Emissions!L882</f>
        <v>3.0826415199999999E-2</v>
      </c>
      <c r="N414" s="6">
        <f>[1]Emissions!M882</f>
        <v>3.1204442999999998E-2</v>
      </c>
      <c r="O414" s="6">
        <f>[1]Emissions!N882</f>
        <v>3.1587563800000003E-2</v>
      </c>
      <c r="P414" s="6">
        <f>[1]Emissions!O882</f>
        <v>3.1975495200000002E-2</v>
      </c>
      <c r="Q414" s="6">
        <f>[1]Emissions!P882</f>
        <v>3.2367706699999998E-2</v>
      </c>
      <c r="R414" s="6">
        <f>[1]Emissions!Q882</f>
        <v>3.2763725399999999E-2</v>
      </c>
      <c r="S414" s="6">
        <f>[1]Emissions!R882</f>
        <v>3.3161376700000002E-2</v>
      </c>
      <c r="T414" s="6">
        <f>[1]Emissions!S882</f>
        <v>3.3562443900000002E-2</v>
      </c>
      <c r="U414" s="6">
        <f>[1]Emissions!T882</f>
        <v>3.3966930899999997E-2</v>
      </c>
      <c r="V414" s="6">
        <f>[1]Emissions!U882</f>
        <v>3.4374993200000002E-2</v>
      </c>
      <c r="W414" s="6">
        <f>[1]Emissions!V882</f>
        <v>3.4756104400000001E-2</v>
      </c>
      <c r="X414" s="6">
        <f>[1]Emissions!W882</f>
        <v>3.5168629299999997E-2</v>
      </c>
      <c r="Y414" s="6">
        <f>[1]Emissions!X882</f>
        <v>3.55871486E-2</v>
      </c>
      <c r="Z414" s="6">
        <f>[1]Emissions!Y882</f>
        <v>3.6011576400000002E-2</v>
      </c>
      <c r="AA414" s="6">
        <f>[1]Emissions!Z882</f>
        <v>3.6442122299999997E-2</v>
      </c>
      <c r="AB414" s="6">
        <f>[1]Emissions!AA882</f>
        <v>3.6791251599999998E-2</v>
      </c>
      <c r="AC414" s="6">
        <f>[1]Emissions!AB882</f>
        <v>3.7184055000000001E-2</v>
      </c>
      <c r="AD414" s="6">
        <f>[1]Emissions!AC882</f>
        <v>3.7582216799999998E-2</v>
      </c>
      <c r="AE414" s="6">
        <f>[1]Emissions!AD882</f>
        <v>3.7986248100000002E-2</v>
      </c>
      <c r="AF414" s="6">
        <f>[1]Emissions!AE882</f>
        <v>3.83967219E-2</v>
      </c>
      <c r="AG414" s="6">
        <f>[1]Emissions!AF882</f>
        <v>3.8814122700000002E-2</v>
      </c>
      <c r="AH414" s="6">
        <f>[1]Emissions!AG882</f>
        <v>3.9239349799999997E-2</v>
      </c>
      <c r="AI414" s="6">
        <f>[1]Emissions!AH882</f>
        <v>3.9672065999999999E-2</v>
      </c>
      <c r="AJ414" s="6">
        <f>[1]Emissions!AI882</f>
        <v>4.0112388200000001E-2</v>
      </c>
      <c r="AK414" s="6">
        <f>[1]Emissions!AJ882</f>
        <v>4.0560339399999999E-2</v>
      </c>
      <c r="AL414" s="6">
        <f>[1]Emissions!AK882</f>
        <v>4.10158724E-2</v>
      </c>
      <c r="AM414" s="6">
        <f>[1]Emissions!AL882</f>
        <v>4.1463308599999998E-2</v>
      </c>
      <c r="AN414" s="6">
        <f>[1]Emissions!AM882</f>
        <v>4.1915417699999999E-2</v>
      </c>
      <c r="AO414" s="6">
        <f>[1]Emissions!AN882</f>
        <v>4.2372995699999999E-2</v>
      </c>
      <c r="AP414" s="6">
        <f>[1]Emissions!AO882</f>
        <v>4.2836511899999999E-2</v>
      </c>
      <c r="AQ414" s="6">
        <f>[1]Emissions!AP882</f>
        <v>4.3306283299999998E-2</v>
      </c>
      <c r="AR414" s="6">
        <f>[1]Emissions!AQ882</f>
        <v>4.3783406599999998E-2</v>
      </c>
      <c r="AS414" s="6">
        <f>[1]Emissions!AR882</f>
        <v>4.42671569E-2</v>
      </c>
      <c r="AT414" s="6">
        <f>[1]Emissions!AS882</f>
        <v>4.4757666299999999E-2</v>
      </c>
      <c r="AU414" s="6">
        <f>[1]Emissions!AT882</f>
        <v>4.5255026599999998E-2</v>
      </c>
      <c r="AV414" s="6">
        <f>[1]Emissions!AU882</f>
        <v>4.5759299000000003E-2</v>
      </c>
      <c r="AW414" s="6">
        <f>[1]Emissions!AV882</f>
        <v>4.6302995399999998E-2</v>
      </c>
      <c r="AX414" s="6">
        <f>[1]Emissions!AW882</f>
        <v>4.6876539299999999E-2</v>
      </c>
      <c r="AY414" s="6">
        <f>[1]Emissions!AX882</f>
        <v>4.7475276599999998E-2</v>
      </c>
      <c r="AZ414" s="6">
        <f>[1]Emissions!AY882</f>
        <v>4.8095442299999999E-2</v>
      </c>
      <c r="BA414" s="6">
        <f>[1]Emissions!AZ882</f>
        <v>4.8734300100000003E-2</v>
      </c>
      <c r="BB414" s="6">
        <f>[1]Emissions!BA882</f>
        <v>6.0330790299999999E-2</v>
      </c>
      <c r="BC414" s="6">
        <f>[1]Emissions!BB882</f>
        <v>6.1318025399999997E-2</v>
      </c>
      <c r="BD414" s="6">
        <f>[1]Emissions!BC882</f>
        <v>6.2321753899999999E-2</v>
      </c>
      <c r="BE414" s="6">
        <f>[1]Emissions!BD882</f>
        <v>6.3342322300000004E-2</v>
      </c>
      <c r="BF414" s="6">
        <f>[1]Emissions!BE882</f>
        <v>6.4380092700000002E-2</v>
      </c>
    </row>
    <row r="415" spans="2:58" x14ac:dyDescent="0.35">
      <c r="B415" s="6" t="str">
        <f>[1]Emissions!A883</f>
        <v>ems_mat_co2_spub_2</v>
      </c>
      <c r="C415" s="6">
        <f>[1]Emissions!B883</f>
        <v>4.2858030300000003</v>
      </c>
      <c r="D415" s="6">
        <f>[1]Emissions!C883</f>
        <v>4.3485878309999997</v>
      </c>
      <c r="E415" s="6">
        <f>[1]Emissions!D883</f>
        <v>4.4166565130000004</v>
      </c>
      <c r="F415" s="6">
        <f>[1]Emissions!E883</f>
        <v>4.4871621839999998</v>
      </c>
      <c r="G415" s="6">
        <f>[1]Emissions!F883</f>
        <v>4.5597594639999999</v>
      </c>
      <c r="H415" s="6">
        <f>[1]Emissions!G883</f>
        <v>4.6343313889999997</v>
      </c>
      <c r="I415" s="6">
        <f>[1]Emissions!H883</f>
        <v>4.7070379170000001</v>
      </c>
      <c r="J415" s="6">
        <f>[1]Emissions!I883</f>
        <v>4.7807143669999999</v>
      </c>
      <c r="K415" s="6">
        <f>[1]Emissions!J883</f>
        <v>4.8556727090000003</v>
      </c>
      <c r="L415" s="6">
        <f>[1]Emissions!K883</f>
        <v>4.9319139380000001</v>
      </c>
      <c r="M415" s="6">
        <f>[1]Emissions!L883</f>
        <v>5.0159183580000004</v>
      </c>
      <c r="N415" s="6">
        <f>[1]Emissions!M883</f>
        <v>5.0959240440000002</v>
      </c>
      <c r="O415" s="6">
        <f>[1]Emissions!N883</f>
        <v>5.1764154160000002</v>
      </c>
      <c r="P415" s="6">
        <f>[1]Emissions!O883</f>
        <v>5.2579618589999999</v>
      </c>
      <c r="Q415" s="6">
        <f>[1]Emissions!P883</f>
        <v>5.3406411189999998</v>
      </c>
      <c r="R415" s="6">
        <f>[1]Emissions!Q883</f>
        <v>5.4244774939999996</v>
      </c>
      <c r="S415" s="6">
        <f>[1]Emissions!R883</f>
        <v>5.5094956789999996</v>
      </c>
      <c r="T415" s="6">
        <f>[1]Emissions!S883</f>
        <v>5.5957252950000003</v>
      </c>
      <c r="U415" s="6">
        <f>[1]Emissions!T883</f>
        <v>5.6831978190000001</v>
      </c>
      <c r="V415" s="6">
        <f>[1]Emissions!U883</f>
        <v>5.771944381</v>
      </c>
      <c r="W415" s="6">
        <f>[1]Emissions!V883</f>
        <v>5.8571373449999999</v>
      </c>
      <c r="X415" s="6">
        <f>[1]Emissions!W883</f>
        <v>5.9475664840000002</v>
      </c>
      <c r="Y415" s="6">
        <f>[1]Emissions!X883</f>
        <v>6.0399042710000002</v>
      </c>
      <c r="Z415" s="6">
        <f>[1]Emissions!Y883</f>
        <v>6.1337488880000004</v>
      </c>
      <c r="AA415" s="6">
        <f>[1]Emissions!Z883</f>
        <v>6.2290681550000002</v>
      </c>
      <c r="AB415" s="6">
        <f>[1]Emissions!AA883</f>
        <v>6.3117946209999998</v>
      </c>
      <c r="AC415" s="6">
        <f>[1]Emissions!AB883</f>
        <v>6.4006450910000003</v>
      </c>
      <c r="AD415" s="6">
        <f>[1]Emissions!AC883</f>
        <v>6.491195533</v>
      </c>
      <c r="AE415" s="6">
        <f>[1]Emissions!AD883</f>
        <v>6.5829621219999996</v>
      </c>
      <c r="AF415" s="6">
        <f>[1]Emissions!AE883</f>
        <v>6.6759574260000001</v>
      </c>
      <c r="AG415" s="6">
        <f>[1]Emissions!AF883</f>
        <v>6.770245386</v>
      </c>
      <c r="AH415" s="6">
        <f>[1]Emissions!AG883</f>
        <v>6.8658816509999996</v>
      </c>
      <c r="AI415" s="6">
        <f>[1]Emissions!AH883</f>
        <v>6.9629070620000002</v>
      </c>
      <c r="AJ415" s="6">
        <f>[1]Emissions!AI883</f>
        <v>7.0613504300000001</v>
      </c>
      <c r="AK415" s="6">
        <f>[1]Emissions!AJ883</f>
        <v>7.1612324340000004</v>
      </c>
      <c r="AL415" s="6">
        <f>[1]Emissions!AK883</f>
        <v>7.2625691249999997</v>
      </c>
      <c r="AM415" s="6">
        <f>[1]Emissions!AL883</f>
        <v>7.3619490489999997</v>
      </c>
      <c r="AN415" s="6">
        <f>[1]Emissions!AM883</f>
        <v>7.462098632</v>
      </c>
      <c r="AO415" s="6">
        <f>[1]Emissions!AN883</f>
        <v>7.5634128790000004</v>
      </c>
      <c r="AP415" s="6">
        <f>[1]Emissions!AO883</f>
        <v>7.6659914420000002</v>
      </c>
      <c r="AQ415" s="6">
        <f>[1]Emissions!AP883</f>
        <v>7.7698958999999999</v>
      </c>
      <c r="AR415" s="6">
        <f>[1]Emissions!AQ883</f>
        <v>7.8751799550000001</v>
      </c>
      <c r="AS415" s="6">
        <f>[1]Emissions!AR883</f>
        <v>7.981890355</v>
      </c>
      <c r="AT415" s="6">
        <f>[1]Emissions!AS883</f>
        <v>8.0900666349999995</v>
      </c>
      <c r="AU415" s="6">
        <f>[1]Emissions!AT883</f>
        <v>8.1997414880000008</v>
      </c>
      <c r="AV415" s="6">
        <f>[1]Emissions!AU883</f>
        <v>8.3109419920000001</v>
      </c>
      <c r="AW415" s="6">
        <f>[1]Emissions!AV883</f>
        <v>8.4240979970000005</v>
      </c>
      <c r="AX415" s="6">
        <f>[1]Emissions!AW883</f>
        <v>8.5390006770000006</v>
      </c>
      <c r="AY415" s="6">
        <f>[1]Emissions!AX883</f>
        <v>8.6556025250000008</v>
      </c>
      <c r="AZ415" s="6">
        <f>[1]Emissions!AY883</f>
        <v>8.7738730989999993</v>
      </c>
      <c r="BA415" s="6">
        <f>[1]Emissions!AZ883</f>
        <v>8.8937983890000005</v>
      </c>
      <c r="BB415" s="6">
        <f>[1]Emissions!BA883</f>
        <v>9.7775559039999997</v>
      </c>
      <c r="BC415" s="6">
        <f>[1]Emissions!BB883</f>
        <v>9.9451361689999995</v>
      </c>
      <c r="BD415" s="6">
        <f>[1]Emissions!BC883</f>
        <v>10.115565180000001</v>
      </c>
      <c r="BE415" s="6">
        <f>[1]Emissions!BD883</f>
        <v>10.288894020000001</v>
      </c>
      <c r="BF415" s="6">
        <f>[1]Emissions!BE883</f>
        <v>10.46517543</v>
      </c>
    </row>
    <row r="416" spans="2:58" x14ac:dyDescent="0.35">
      <c r="B416" s="6" t="str">
        <f>[1]Emissions!A884</f>
        <v>ems_mat_co2_sgla_2</v>
      </c>
      <c r="C416" s="6">
        <f>[1]Emissions!B884</f>
        <v>10.96669105</v>
      </c>
      <c r="D416" s="6">
        <f>[1]Emissions!C884</f>
        <v>11.10587802</v>
      </c>
      <c r="E416" s="6">
        <f>[1]Emissions!D884</f>
        <v>11.258699180000001</v>
      </c>
      <c r="F416" s="6">
        <f>[1]Emissions!E884</f>
        <v>11.42423434</v>
      </c>
      <c r="G416" s="6">
        <f>[1]Emissions!F884</f>
        <v>11.601376459999999</v>
      </c>
      <c r="H416" s="6">
        <f>[1]Emissions!G884</f>
        <v>11.789005120000001</v>
      </c>
      <c r="I416" s="6">
        <f>[1]Emissions!H884</f>
        <v>11.980403300000001</v>
      </c>
      <c r="J416" s="6">
        <f>[1]Emissions!I884</f>
        <v>12.17721802</v>
      </c>
      <c r="K416" s="6">
        <f>[1]Emissions!J884</f>
        <v>12.3796476</v>
      </c>
      <c r="L416" s="6">
        <f>[1]Emissions!K884</f>
        <v>12.58756415</v>
      </c>
      <c r="M416" s="6">
        <f>[1]Emissions!L884</f>
        <v>12.81078465</v>
      </c>
      <c r="N416" s="6">
        <f>[1]Emissions!M884</f>
        <v>13.03461959</v>
      </c>
      <c r="O416" s="6">
        <f>[1]Emissions!N884</f>
        <v>13.26170426</v>
      </c>
      <c r="P416" s="6">
        <f>[1]Emissions!O884</f>
        <v>13.49262697</v>
      </c>
      <c r="Q416" s="6">
        <f>[1]Emissions!P884</f>
        <v>13.727515390000001</v>
      </c>
      <c r="R416" s="6">
        <f>[1]Emissions!Q884</f>
        <v>13.96641189</v>
      </c>
      <c r="S416" s="6">
        <f>[1]Emissions!R884</f>
        <v>14.209368059999999</v>
      </c>
      <c r="T416" s="6">
        <f>[1]Emissions!S884</f>
        <v>14.45645362</v>
      </c>
      <c r="U416" s="6">
        <f>[1]Emissions!T884</f>
        <v>14.70775875</v>
      </c>
      <c r="V416" s="6">
        <f>[1]Emissions!U884</f>
        <v>14.96338152</v>
      </c>
      <c r="W416" s="6">
        <f>[1]Emissions!V884</f>
        <v>15.21589578</v>
      </c>
      <c r="X416" s="6">
        <f>[1]Emissions!W884</f>
        <v>15.47622524</v>
      </c>
      <c r="Y416" s="6">
        <f>[1]Emissions!X884</f>
        <v>15.742357589999999</v>
      </c>
      <c r="Z416" s="6">
        <f>[1]Emissions!Y884</f>
        <v>16.01380662</v>
      </c>
      <c r="AA416" s="6">
        <f>[1]Emissions!Z884</f>
        <v>16.29043343</v>
      </c>
      <c r="AB416" s="6">
        <f>[1]Emissions!AA884</f>
        <v>16.550301170000001</v>
      </c>
      <c r="AC416" s="6">
        <f>[1]Emissions!AB884</f>
        <v>16.814379859999999</v>
      </c>
      <c r="AD416" s="6">
        <f>[1]Emissions!AC884</f>
        <v>17.080972630000002</v>
      </c>
      <c r="AE416" s="6">
        <f>[1]Emissions!AD884</f>
        <v>17.350019490000001</v>
      </c>
      <c r="AF416" s="6">
        <f>[1]Emissions!AE884</f>
        <v>17.621766260000001</v>
      </c>
      <c r="AG416" s="6">
        <f>[1]Emissions!AF884</f>
        <v>17.896459310000001</v>
      </c>
      <c r="AH416" s="6">
        <f>[1]Emissions!AG884</f>
        <v>18.1742685</v>
      </c>
      <c r="AI416" s="6">
        <f>[1]Emissions!AH884</f>
        <v>18.455273439999999</v>
      </c>
      <c r="AJ416" s="6">
        <f>[1]Emissions!AI884</f>
        <v>18.73946905</v>
      </c>
      <c r="AK416" s="6">
        <f>[1]Emissions!AJ884</f>
        <v>19.026784280000001</v>
      </c>
      <c r="AL416" s="6">
        <f>[1]Emissions!AK884</f>
        <v>19.317103490000001</v>
      </c>
      <c r="AM416" s="6">
        <f>[1]Emissions!AL884</f>
        <v>19.604914829999998</v>
      </c>
      <c r="AN416" s="6">
        <f>[1]Emissions!AM884</f>
        <v>19.892345819999999</v>
      </c>
      <c r="AO416" s="6">
        <f>[1]Emissions!AN884</f>
        <v>20.18009232</v>
      </c>
      <c r="AP416" s="6">
        <f>[1]Emissions!AO884</f>
        <v>20.468494790000001</v>
      </c>
      <c r="AQ416" s="6">
        <f>[1]Emissions!AP884</f>
        <v>20.75778811</v>
      </c>
      <c r="AR416" s="6">
        <f>[1]Emissions!AQ884</f>
        <v>21.048160020000001</v>
      </c>
      <c r="AS416" s="6">
        <f>[1]Emissions!AR884</f>
        <v>21.339766900000001</v>
      </c>
      <c r="AT416" s="6">
        <f>[1]Emissions!AS884</f>
        <v>21.632734060000001</v>
      </c>
      <c r="AU416" s="6">
        <f>[1]Emissions!AT884</f>
        <v>21.927160529999998</v>
      </c>
      <c r="AV416" s="6">
        <f>[1]Emissions!AU884</f>
        <v>22.223125320000001</v>
      </c>
      <c r="AW416" s="6">
        <f>[1]Emissions!AV884</f>
        <v>22.52237792</v>
      </c>
      <c r="AX416" s="6">
        <f>[1]Emissions!AW884</f>
        <v>22.82572261</v>
      </c>
      <c r="AY416" s="6">
        <f>[1]Emissions!AX884</f>
        <v>23.133381350000001</v>
      </c>
      <c r="AZ416" s="6">
        <f>[1]Emissions!AY884</f>
        <v>23.445122229999999</v>
      </c>
      <c r="BA416" s="6">
        <f>[1]Emissions!AZ884</f>
        <v>23.760560089999998</v>
      </c>
      <c r="BB416" s="6">
        <f>[1]Emissions!BA884</f>
        <v>26.151007839999998</v>
      </c>
      <c r="BC416" s="6">
        <f>[1]Emissions!BB884</f>
        <v>26.62064466</v>
      </c>
      <c r="BD416" s="6">
        <f>[1]Emissions!BC884</f>
        <v>27.0963384</v>
      </c>
      <c r="BE416" s="6">
        <f>[1]Emissions!BD884</f>
        <v>27.578048559999999</v>
      </c>
      <c r="BF416" s="6">
        <f>[1]Emissions!BE884</f>
        <v>28.065744420000001</v>
      </c>
    </row>
    <row r="418" spans="1:58" x14ac:dyDescent="0.35">
      <c r="A418" s="12" t="s">
        <v>92</v>
      </c>
      <c r="B418" t="s">
        <v>7</v>
      </c>
      <c r="C418" s="6">
        <f>C388+C389+C414</f>
        <v>14.918604305300001</v>
      </c>
      <c r="D418" s="6">
        <f t="shared" ref="D418:AL418" si="228">D388+D389+D414</f>
        <v>15.0738152408</v>
      </c>
      <c r="E418" s="6">
        <f t="shared" si="228"/>
        <v>15.214013529199999</v>
      </c>
      <c r="F418" s="6">
        <f t="shared" si="228"/>
        <v>15.350474328799999</v>
      </c>
      <c r="G418" s="6">
        <f t="shared" si="228"/>
        <v>15.488758107099999</v>
      </c>
      <c r="H418" s="6">
        <f t="shared" si="228"/>
        <v>15.631585251500001</v>
      </c>
      <c r="I418" s="6">
        <f t="shared" si="228"/>
        <v>15.767932783000001</v>
      </c>
      <c r="J418" s="6">
        <f t="shared" si="228"/>
        <v>15.907379927899999</v>
      </c>
      <c r="K418" s="6">
        <f t="shared" si="228"/>
        <v>16.0516088876</v>
      </c>
      <c r="L418" s="6">
        <f t="shared" si="228"/>
        <v>16.2009322625</v>
      </c>
      <c r="M418" s="6">
        <f t="shared" si="228"/>
        <v>16.376486259300002</v>
      </c>
      <c r="N418" s="6">
        <f t="shared" si="228"/>
        <v>16.5415484904</v>
      </c>
      <c r="O418" s="6">
        <f t="shared" si="228"/>
        <v>16.7084026942</v>
      </c>
      <c r="P418" s="6">
        <f t="shared" si="228"/>
        <v>16.878705177900002</v>
      </c>
      <c r="Q418" s="6">
        <f t="shared" si="228"/>
        <v>17.052567890500001</v>
      </c>
      <c r="R418" s="6">
        <f t="shared" si="228"/>
        <v>17.229777869599999</v>
      </c>
      <c r="S418" s="6">
        <f t="shared" si="228"/>
        <v>17.411112086500001</v>
      </c>
      <c r="T418" s="6">
        <f t="shared" si="228"/>
        <v>17.595389532499997</v>
      </c>
      <c r="U418" s="6">
        <f t="shared" si="228"/>
        <v>17.782194752800002</v>
      </c>
      <c r="V418" s="6">
        <f t="shared" si="228"/>
        <v>17.971246166100002</v>
      </c>
      <c r="W418" s="6">
        <f t="shared" si="228"/>
        <v>18.147206700000002</v>
      </c>
      <c r="X418" s="6">
        <f t="shared" si="228"/>
        <v>18.336676879399999</v>
      </c>
      <c r="Y418" s="6">
        <f t="shared" si="228"/>
        <v>18.529980416400001</v>
      </c>
      <c r="Z418" s="6">
        <f t="shared" si="228"/>
        <v>18.725610539599998</v>
      </c>
      <c r="AA418" s="6">
        <f t="shared" si="228"/>
        <v>18.923251647400001</v>
      </c>
      <c r="AB418" s="6">
        <f t="shared" si="228"/>
        <v>19.0799823342</v>
      </c>
      <c r="AC418" s="6">
        <f t="shared" si="228"/>
        <v>19.251053547500003</v>
      </c>
      <c r="AD418" s="6">
        <f t="shared" si="228"/>
        <v>19.425183917599998</v>
      </c>
      <c r="AE418" s="6">
        <f t="shared" si="228"/>
        <v>19.601121155200001</v>
      </c>
      <c r="AF418" s="6">
        <f t="shared" si="228"/>
        <v>19.7788684163</v>
      </c>
      <c r="AG418" s="6">
        <f t="shared" si="228"/>
        <v>19.958622693399999</v>
      </c>
      <c r="AH418" s="6">
        <f t="shared" si="228"/>
        <v>20.140303858599999</v>
      </c>
      <c r="AI418" s="6">
        <f t="shared" si="228"/>
        <v>20.324414650300003</v>
      </c>
      <c r="AJ418" s="6">
        <f t="shared" si="228"/>
        <v>20.511230846700002</v>
      </c>
      <c r="AK418" s="6">
        <f t="shared" si="228"/>
        <v>20.700978893899997</v>
      </c>
      <c r="AL418" s="6">
        <f t="shared" si="228"/>
        <v>20.893849526199997</v>
      </c>
      <c r="AM418" s="6">
        <f t="shared" ref="AM418:BC418" si="229">AM388+AM389+AM414</f>
        <v>21.077009827400001</v>
      </c>
      <c r="AN418" s="6">
        <f t="shared" si="229"/>
        <v>21.260607937499998</v>
      </c>
      <c r="AO418" s="6">
        <f t="shared" si="229"/>
        <v>21.446323917299999</v>
      </c>
      <c r="AP418" s="6">
        <f t="shared" si="229"/>
        <v>21.634608298299998</v>
      </c>
      <c r="AQ418" s="6">
        <f t="shared" si="229"/>
        <v>21.8256534804</v>
      </c>
      <c r="AR418" s="6">
        <f t="shared" si="229"/>
        <v>22.019044628699998</v>
      </c>
      <c r="AS418" s="6">
        <f t="shared" si="229"/>
        <v>22.215248389799999</v>
      </c>
      <c r="AT418" s="6">
        <f t="shared" si="229"/>
        <v>22.414361895100001</v>
      </c>
      <c r="AU418" s="6">
        <f t="shared" si="229"/>
        <v>22.616427156499999</v>
      </c>
      <c r="AV418" s="6">
        <f t="shared" si="229"/>
        <v>22.821471431800003</v>
      </c>
      <c r="AW418" s="6">
        <f t="shared" si="229"/>
        <v>23.013348707000002</v>
      </c>
      <c r="AX418" s="6">
        <f t="shared" si="229"/>
        <v>23.201798916600001</v>
      </c>
      <c r="AY418" s="6">
        <f t="shared" si="229"/>
        <v>23.393374745199999</v>
      </c>
      <c r="AZ418" s="6">
        <f t="shared" si="229"/>
        <v>23.591434790400001</v>
      </c>
      <c r="BA418" s="6">
        <f t="shared" si="229"/>
        <v>23.797433595000001</v>
      </c>
      <c r="BB418" s="6">
        <f t="shared" si="229"/>
        <v>33.038369309300002</v>
      </c>
      <c r="BC418" s="6">
        <f t="shared" si="229"/>
        <v>33.580844579100003</v>
      </c>
      <c r="BD418" s="6">
        <f t="shared" ref="BD418:BF418" si="230">BD388+BD389+BD414</f>
        <v>34.1316481677</v>
      </c>
      <c r="BE418" s="6">
        <f t="shared" si="230"/>
        <v>34.691060451600002</v>
      </c>
      <c r="BF418" s="6">
        <f t="shared" si="230"/>
        <v>35.2593594744</v>
      </c>
    </row>
    <row r="419" spans="1:58" x14ac:dyDescent="0.35">
      <c r="A419" t="s">
        <v>39</v>
      </c>
      <c r="B419" t="s">
        <v>64</v>
      </c>
      <c r="C419" s="6">
        <f>C390</f>
        <v>8.7636047769999994</v>
      </c>
      <c r="D419" s="6">
        <f t="shared" ref="D419:AL419" si="231">D390</f>
        <v>8.8490252920000003</v>
      </c>
      <c r="E419" s="6">
        <f t="shared" si="231"/>
        <v>8.9407590310000007</v>
      </c>
      <c r="F419" s="6">
        <f t="shared" si="231"/>
        <v>9.0455423629999991</v>
      </c>
      <c r="G419" s="6">
        <f t="shared" si="231"/>
        <v>9.1658339770000001</v>
      </c>
      <c r="H419" s="6">
        <f t="shared" si="231"/>
        <v>9.3017974579999994</v>
      </c>
      <c r="I419" s="6">
        <f t="shared" si="231"/>
        <v>9.44731934</v>
      </c>
      <c r="J419" s="6">
        <f t="shared" si="231"/>
        <v>9.6026210130000003</v>
      </c>
      <c r="K419" s="6">
        <f t="shared" si="231"/>
        <v>9.7665200930000005</v>
      </c>
      <c r="L419" s="6">
        <f t="shared" si="231"/>
        <v>9.9376407320000002</v>
      </c>
      <c r="M419" s="6">
        <f t="shared" si="231"/>
        <v>10.123612550000001</v>
      </c>
      <c r="N419" s="6">
        <f t="shared" si="231"/>
        <v>10.31111847</v>
      </c>
      <c r="O419" s="6">
        <f t="shared" si="231"/>
        <v>10.50130201</v>
      </c>
      <c r="P419" s="6">
        <f t="shared" si="231"/>
        <v>10.693706600000001</v>
      </c>
      <c r="Q419" s="6">
        <f t="shared" si="231"/>
        <v>10.887745580000001</v>
      </c>
      <c r="R419" s="6">
        <f t="shared" si="231"/>
        <v>11.082993</v>
      </c>
      <c r="S419" s="6">
        <f t="shared" si="231"/>
        <v>11.279232260000001</v>
      </c>
      <c r="T419" s="6">
        <f t="shared" si="231"/>
        <v>11.476343630000001</v>
      </c>
      <c r="U419" s="6">
        <f t="shared" si="231"/>
        <v>11.67431019</v>
      </c>
      <c r="V419" s="6">
        <f t="shared" si="231"/>
        <v>11.873188770000001</v>
      </c>
      <c r="W419" s="6">
        <f t="shared" si="231"/>
        <v>12.06632048</v>
      </c>
      <c r="X419" s="6">
        <f t="shared" si="231"/>
        <v>12.263132199999999</v>
      </c>
      <c r="Y419" s="6">
        <f t="shared" si="231"/>
        <v>12.462201670000001</v>
      </c>
      <c r="Z419" s="6">
        <f t="shared" si="231"/>
        <v>12.663449079999999</v>
      </c>
      <c r="AA419" s="6">
        <f t="shared" si="231"/>
        <v>12.867009489999999</v>
      </c>
      <c r="AB419" s="6">
        <f t="shared" si="231"/>
        <v>13.05331908</v>
      </c>
      <c r="AC419" s="6">
        <f t="shared" si="231"/>
        <v>13.24011608</v>
      </c>
      <c r="AD419" s="6">
        <f t="shared" si="231"/>
        <v>13.426230179999999</v>
      </c>
      <c r="AE419" s="6">
        <f t="shared" si="231"/>
        <v>13.61221709</v>
      </c>
      <c r="AF419" s="6">
        <f t="shared" si="231"/>
        <v>13.79891025</v>
      </c>
      <c r="AG419" s="6">
        <f t="shared" si="231"/>
        <v>13.987063600000001</v>
      </c>
      <c r="AH419" s="6">
        <f t="shared" si="231"/>
        <v>14.17727037</v>
      </c>
      <c r="AI419" s="6">
        <f t="shared" si="231"/>
        <v>14.369986969999999</v>
      </c>
      <c r="AJ419" s="6">
        <f t="shared" si="231"/>
        <v>14.56554188</v>
      </c>
      <c r="AK419" s="6">
        <f t="shared" si="231"/>
        <v>14.764161140000001</v>
      </c>
      <c r="AL419" s="6">
        <f t="shared" si="231"/>
        <v>14.96599307</v>
      </c>
      <c r="AM419" s="6">
        <f t="shared" ref="AM419:BC419" si="232">AM390</f>
        <v>15.16624932</v>
      </c>
      <c r="AN419" s="6">
        <f t="shared" si="232"/>
        <v>15.36676613</v>
      </c>
      <c r="AO419" s="6">
        <f t="shared" si="232"/>
        <v>15.56824703</v>
      </c>
      <c r="AP419" s="6">
        <f t="shared" si="232"/>
        <v>15.771202990000001</v>
      </c>
      <c r="AQ419" s="6">
        <f t="shared" si="232"/>
        <v>15.97610504</v>
      </c>
      <c r="AR419" s="6">
        <f t="shared" si="232"/>
        <v>16.183367270000002</v>
      </c>
      <c r="AS419" s="6">
        <f t="shared" si="232"/>
        <v>16.393362530000001</v>
      </c>
      <c r="AT419" s="6">
        <f t="shared" si="232"/>
        <v>16.606394389999998</v>
      </c>
      <c r="AU419" s="6">
        <f t="shared" si="232"/>
        <v>16.822698989999999</v>
      </c>
      <c r="AV419" s="6">
        <f t="shared" si="232"/>
        <v>17.042453299999998</v>
      </c>
      <c r="AW419" s="6">
        <f t="shared" si="232"/>
        <v>17.267162859999999</v>
      </c>
      <c r="AX419" s="6">
        <f t="shared" si="232"/>
        <v>17.497836110000001</v>
      </c>
      <c r="AY419" s="6">
        <f t="shared" si="232"/>
        <v>17.73490456</v>
      </c>
      <c r="AZ419" s="6">
        <f t="shared" si="232"/>
        <v>17.97824877</v>
      </c>
      <c r="BA419" s="6">
        <f t="shared" si="232"/>
        <v>18.22746587</v>
      </c>
      <c r="BB419" s="6">
        <f t="shared" si="232"/>
        <v>19.880422360000001</v>
      </c>
      <c r="BC419" s="6">
        <f t="shared" si="232"/>
        <v>20.200756160000001</v>
      </c>
      <c r="BD419" s="6">
        <f t="shared" ref="BD419:BF419" si="233">BD390</f>
        <v>20.52564692</v>
      </c>
      <c r="BE419" s="6">
        <f t="shared" si="233"/>
        <v>20.855267479999998</v>
      </c>
      <c r="BF419" s="6">
        <f t="shared" si="233"/>
        <v>21.189792629999999</v>
      </c>
    </row>
    <row r="420" spans="1:58" x14ac:dyDescent="0.35">
      <c r="B420" t="s">
        <v>65</v>
      </c>
      <c r="C420" s="6">
        <f>C392+C416</f>
        <v>18.802090487999997</v>
      </c>
      <c r="D420" s="6">
        <f t="shared" ref="D420:AL420" si="234">D392+D416</f>
        <v>19.037620617999998</v>
      </c>
      <c r="E420" s="6">
        <f t="shared" si="234"/>
        <v>19.295492609</v>
      </c>
      <c r="F420" s="6">
        <f t="shared" si="234"/>
        <v>19.574879295000002</v>
      </c>
      <c r="G420" s="6">
        <f t="shared" si="234"/>
        <v>19.874431242999997</v>
      </c>
      <c r="H420" s="6">
        <f t="shared" si="234"/>
        <v>20.192529816</v>
      </c>
      <c r="I420" s="6">
        <f t="shared" si="234"/>
        <v>20.517735651999999</v>
      </c>
      <c r="J420" s="6">
        <f t="shared" si="234"/>
        <v>20.852834741000002</v>
      </c>
      <c r="K420" s="6">
        <f t="shared" si="234"/>
        <v>21.198106199999998</v>
      </c>
      <c r="L420" s="6">
        <f t="shared" si="234"/>
        <v>21.553271628000001</v>
      </c>
      <c r="M420" s="6">
        <f t="shared" si="234"/>
        <v>21.935173689000003</v>
      </c>
      <c r="N420" s="6">
        <f t="shared" si="234"/>
        <v>22.318609254000002</v>
      </c>
      <c r="O420" s="6">
        <f t="shared" si="234"/>
        <v>22.708012103000002</v>
      </c>
      <c r="P420" s="6">
        <f t="shared" si="234"/>
        <v>23.104326823000001</v>
      </c>
      <c r="Q420" s="6">
        <f t="shared" si="234"/>
        <v>23.507717247000002</v>
      </c>
      <c r="R420" s="6">
        <f t="shared" si="234"/>
        <v>23.918199688999998</v>
      </c>
      <c r="S420" s="6">
        <f t="shared" si="234"/>
        <v>24.33580031</v>
      </c>
      <c r="T420" s="6">
        <f t="shared" si="234"/>
        <v>24.760573749999999</v>
      </c>
      <c r="U420" s="6">
        <f t="shared" si="234"/>
        <v>25.19261148</v>
      </c>
      <c r="V420" s="6">
        <f t="shared" si="234"/>
        <v>25.632021649999999</v>
      </c>
      <c r="W420" s="6">
        <f t="shared" si="234"/>
        <v>26.065965810000002</v>
      </c>
      <c r="X420" s="6">
        <f t="shared" si="234"/>
        <v>26.513104519999999</v>
      </c>
      <c r="Y420" s="6">
        <f t="shared" si="234"/>
        <v>26.969975699999999</v>
      </c>
      <c r="Z420" s="6">
        <f t="shared" si="234"/>
        <v>27.43572846</v>
      </c>
      <c r="AA420" s="6">
        <f t="shared" si="234"/>
        <v>27.910105180000002</v>
      </c>
      <c r="AB420" s="6">
        <f t="shared" si="234"/>
        <v>28.355328490000002</v>
      </c>
      <c r="AC420" s="6">
        <f t="shared" si="234"/>
        <v>28.807221839999997</v>
      </c>
      <c r="AD420" s="6">
        <f t="shared" si="234"/>
        <v>29.262866989999999</v>
      </c>
      <c r="AE420" s="6">
        <f t="shared" si="234"/>
        <v>29.722166399999999</v>
      </c>
      <c r="AF420" s="6">
        <f t="shared" si="234"/>
        <v>30.185552550000001</v>
      </c>
      <c r="AG420" s="6">
        <f t="shared" si="234"/>
        <v>30.653468160000003</v>
      </c>
      <c r="AH420" s="6">
        <f t="shared" si="234"/>
        <v>31.12623713</v>
      </c>
      <c r="AI420" s="6">
        <f t="shared" si="234"/>
        <v>31.604039459999999</v>
      </c>
      <c r="AJ420" s="6">
        <f t="shared" si="234"/>
        <v>32.086916549999998</v>
      </c>
      <c r="AK420" s="6">
        <f t="shared" si="234"/>
        <v>32.574799220000003</v>
      </c>
      <c r="AL420" s="6">
        <f t="shared" si="234"/>
        <v>33.067540469999997</v>
      </c>
      <c r="AM420" s="6">
        <f t="shared" ref="AM420:BC420" si="235">AM392+AM416</f>
        <v>33.555712419999999</v>
      </c>
      <c r="AN420" s="6">
        <f t="shared" si="235"/>
        <v>34.042952900000003</v>
      </c>
      <c r="AO420" s="6">
        <f t="shared" si="235"/>
        <v>34.53045521</v>
      </c>
      <c r="AP420" s="6">
        <f t="shared" si="235"/>
        <v>35.018810819999999</v>
      </c>
      <c r="AQ420" s="6">
        <f t="shared" si="235"/>
        <v>35.508434620000003</v>
      </c>
      <c r="AR420" s="6">
        <f t="shared" si="235"/>
        <v>35.999664350000003</v>
      </c>
      <c r="AS420" s="6">
        <f t="shared" si="235"/>
        <v>36.49278666</v>
      </c>
      <c r="AT420" s="6">
        <f t="shared" si="235"/>
        <v>36.988036430000001</v>
      </c>
      <c r="AU420" s="6">
        <f t="shared" si="235"/>
        <v>37.485604979999998</v>
      </c>
      <c r="AV420" s="6">
        <f t="shared" si="235"/>
        <v>37.985650100000001</v>
      </c>
      <c r="AW420" s="6">
        <f t="shared" si="235"/>
        <v>38.490298490000001</v>
      </c>
      <c r="AX420" s="6">
        <f t="shared" si="235"/>
        <v>39.000725629999998</v>
      </c>
      <c r="AY420" s="6">
        <f t="shared" si="235"/>
        <v>39.517535870000003</v>
      </c>
      <c r="AZ420" s="6">
        <f t="shared" si="235"/>
        <v>40.040683979999997</v>
      </c>
      <c r="BA420" s="6">
        <f t="shared" si="235"/>
        <v>40.569824569999994</v>
      </c>
      <c r="BB420" s="6">
        <f t="shared" si="235"/>
        <v>45.053697990000003</v>
      </c>
      <c r="BC420" s="6">
        <f t="shared" si="235"/>
        <v>45.861893809999998</v>
      </c>
      <c r="BD420" s="6">
        <f t="shared" ref="BD420:BF420" si="236">BD392+BD416</f>
        <v>46.680153180000005</v>
      </c>
      <c r="BE420" s="6">
        <f t="shared" si="236"/>
        <v>47.508423809999996</v>
      </c>
      <c r="BF420" s="6">
        <f t="shared" si="236"/>
        <v>48.346669680000005</v>
      </c>
    </row>
    <row r="421" spans="1:58" x14ac:dyDescent="0.35">
      <c r="B421" t="s">
        <v>66</v>
      </c>
      <c r="C421" s="6">
        <f>C394</f>
        <v>13.6465134</v>
      </c>
      <c r="D421" s="6">
        <f t="shared" ref="D421:AL421" si="237">D394</f>
        <v>13.816650510000001</v>
      </c>
      <c r="E421" s="6">
        <f t="shared" si="237"/>
        <v>14.005348509999999</v>
      </c>
      <c r="F421" s="6">
        <f t="shared" si="237"/>
        <v>14.20821984</v>
      </c>
      <c r="G421" s="6">
        <f t="shared" si="237"/>
        <v>14.423390299999999</v>
      </c>
      <c r="H421" s="6">
        <f t="shared" si="237"/>
        <v>14.649208590000001</v>
      </c>
      <c r="I421" s="6">
        <f t="shared" si="237"/>
        <v>14.873266770000001</v>
      </c>
      <c r="J421" s="6">
        <f t="shared" si="237"/>
        <v>15.102385740000001</v>
      </c>
      <c r="K421" s="6">
        <f t="shared" si="237"/>
        <v>15.336972879999999</v>
      </c>
      <c r="L421" s="6">
        <f t="shared" si="237"/>
        <v>15.5765995</v>
      </c>
      <c r="M421" s="6">
        <f t="shared" si="237"/>
        <v>15.839906129999999</v>
      </c>
      <c r="N421" s="6">
        <f t="shared" si="237"/>
        <v>16.093086759999998</v>
      </c>
      <c r="O421" s="6">
        <f t="shared" si="237"/>
        <v>16.34770786</v>
      </c>
      <c r="P421" s="6">
        <f t="shared" si="237"/>
        <v>16.605442780000001</v>
      </c>
      <c r="Q421" s="6">
        <f t="shared" si="237"/>
        <v>16.866498780000001</v>
      </c>
      <c r="R421" s="6">
        <f t="shared" si="237"/>
        <v>17.130910140000001</v>
      </c>
      <c r="S421" s="6">
        <f t="shared" si="237"/>
        <v>17.39876525</v>
      </c>
      <c r="T421" s="6">
        <f t="shared" si="237"/>
        <v>17.67013949</v>
      </c>
      <c r="U421" s="6">
        <f t="shared" si="237"/>
        <v>17.945154840000001</v>
      </c>
      <c r="V421" s="6">
        <f t="shared" si="237"/>
        <v>18.223956600000001</v>
      </c>
      <c r="W421" s="6">
        <f t="shared" si="237"/>
        <v>18.49246917</v>
      </c>
      <c r="X421" s="6">
        <f t="shared" si="237"/>
        <v>18.775847679999998</v>
      </c>
      <c r="Y421" s="6">
        <f t="shared" si="237"/>
        <v>19.065434459999999</v>
      </c>
      <c r="Z421" s="6">
        <f t="shared" si="237"/>
        <v>19.360028060000001</v>
      </c>
      <c r="AA421" s="6">
        <f t="shared" si="237"/>
        <v>19.659563639999998</v>
      </c>
      <c r="AB421" s="6">
        <f t="shared" si="237"/>
        <v>19.922913650000002</v>
      </c>
      <c r="AC421" s="6">
        <f t="shared" si="237"/>
        <v>20.202970220000001</v>
      </c>
      <c r="AD421" s="6">
        <f t="shared" si="237"/>
        <v>20.488827969999999</v>
      </c>
      <c r="AE421" s="6">
        <f t="shared" si="237"/>
        <v>20.779230380000001</v>
      </c>
      <c r="AF421" s="6">
        <f t="shared" si="237"/>
        <v>21.074357580000001</v>
      </c>
      <c r="AG421" s="6">
        <f t="shared" si="237"/>
        <v>21.374551010000001</v>
      </c>
      <c r="AH421" s="6">
        <f t="shared" si="237"/>
        <v>21.68009142</v>
      </c>
      <c r="AI421" s="6">
        <f t="shared" si="237"/>
        <v>21.99119022</v>
      </c>
      <c r="AJ421" s="6">
        <f t="shared" si="237"/>
        <v>22.307973489999998</v>
      </c>
      <c r="AK421" s="6">
        <f t="shared" si="237"/>
        <v>22.630499919999998</v>
      </c>
      <c r="AL421" s="6">
        <f t="shared" si="237"/>
        <v>22.958778649999999</v>
      </c>
      <c r="AM421" s="6">
        <f t="shared" ref="AM421:BC421" si="238">AM394</f>
        <v>23.282637430000001</v>
      </c>
      <c r="AN421" s="6">
        <f t="shared" si="238"/>
        <v>23.609568070000002</v>
      </c>
      <c r="AO421" s="6">
        <f t="shared" si="238"/>
        <v>23.940867950000001</v>
      </c>
      <c r="AP421" s="6">
        <f t="shared" si="238"/>
        <v>24.276873519999999</v>
      </c>
      <c r="AQ421" s="6">
        <f t="shared" si="238"/>
        <v>24.61776394</v>
      </c>
      <c r="AR421" s="6">
        <f t="shared" si="238"/>
        <v>24.963663010000001</v>
      </c>
      <c r="AS421" s="6">
        <f t="shared" si="238"/>
        <v>25.314689850000001</v>
      </c>
      <c r="AT421" s="6">
        <f t="shared" si="238"/>
        <v>25.67092457</v>
      </c>
      <c r="AU421" s="6">
        <f t="shared" si="238"/>
        <v>26.032414559999999</v>
      </c>
      <c r="AV421" s="6">
        <f t="shared" si="238"/>
        <v>26.39918072</v>
      </c>
      <c r="AW421" s="6">
        <f t="shared" si="238"/>
        <v>26.771950660000002</v>
      </c>
      <c r="AX421" s="6">
        <f t="shared" si="238"/>
        <v>27.15079858</v>
      </c>
      <c r="AY421" s="6">
        <f t="shared" si="238"/>
        <v>27.536145470000001</v>
      </c>
      <c r="AZ421" s="6">
        <f t="shared" si="238"/>
        <v>27.928208510000001</v>
      </c>
      <c r="BA421" s="6">
        <f t="shared" si="238"/>
        <v>28.3270518</v>
      </c>
      <c r="BB421" s="6">
        <f t="shared" si="238"/>
        <v>30.561713749999999</v>
      </c>
      <c r="BC421" s="6">
        <f t="shared" si="238"/>
        <v>31.087305239999999</v>
      </c>
      <c r="BD421" s="6">
        <f t="shared" ref="BD421:BF421" si="239">BD394</f>
        <v>31.622493739999999</v>
      </c>
      <c r="BE421" s="6">
        <f t="shared" si="239"/>
        <v>32.167449670000003</v>
      </c>
      <c r="BF421" s="6">
        <f t="shared" si="239"/>
        <v>32.722338440000001</v>
      </c>
    </row>
    <row r="422" spans="1:58" x14ac:dyDescent="0.35">
      <c r="B422" t="s">
        <v>67</v>
      </c>
      <c r="C422" s="6">
        <f>C396</f>
        <v>19.75651856</v>
      </c>
      <c r="D422" s="6">
        <f t="shared" ref="D422:AL422" si="240">D396</f>
        <v>20.002461360000002</v>
      </c>
      <c r="E422" s="6">
        <f t="shared" si="240"/>
        <v>20.27709462</v>
      </c>
      <c r="F422" s="6">
        <f t="shared" si="240"/>
        <v>20.57210109</v>
      </c>
      <c r="G422" s="6">
        <f t="shared" si="240"/>
        <v>20.883216269999998</v>
      </c>
      <c r="H422" s="6">
        <f t="shared" si="240"/>
        <v>21.20835258</v>
      </c>
      <c r="I422" s="6">
        <f t="shared" si="240"/>
        <v>21.532706170000001</v>
      </c>
      <c r="J422" s="6">
        <f t="shared" si="240"/>
        <v>21.864512940000001</v>
      </c>
      <c r="K422" s="6">
        <f t="shared" si="240"/>
        <v>22.205222190000001</v>
      </c>
      <c r="L422" s="6">
        <f t="shared" si="240"/>
        <v>22.554805049999999</v>
      </c>
      <c r="M422" s="6">
        <f t="shared" si="240"/>
        <v>22.936817640000001</v>
      </c>
      <c r="N422" s="6">
        <f t="shared" si="240"/>
        <v>23.310893480000001</v>
      </c>
      <c r="O422" s="6">
        <f t="shared" si="240"/>
        <v>23.688907749999998</v>
      </c>
      <c r="P422" s="6">
        <f t="shared" si="240"/>
        <v>24.073197260000001</v>
      </c>
      <c r="Q422" s="6">
        <f t="shared" si="240"/>
        <v>24.46413471</v>
      </c>
      <c r="R422" s="6">
        <f t="shared" si="240"/>
        <v>24.861739830000001</v>
      </c>
      <c r="S422" s="6">
        <f t="shared" si="240"/>
        <v>25.266022889999999</v>
      </c>
      <c r="T422" s="6">
        <f t="shared" si="240"/>
        <v>25.677030720000001</v>
      </c>
      <c r="U422" s="6">
        <f t="shared" si="240"/>
        <v>26.094855389999999</v>
      </c>
      <c r="V422" s="6">
        <f t="shared" si="240"/>
        <v>26.519616849999998</v>
      </c>
      <c r="W422" s="6">
        <f t="shared" si="240"/>
        <v>26.93356876</v>
      </c>
      <c r="X422" s="6">
        <f t="shared" si="240"/>
        <v>27.366692270000001</v>
      </c>
      <c r="Y422" s="6">
        <f t="shared" si="240"/>
        <v>27.81000577</v>
      </c>
      <c r="Z422" s="6">
        <f t="shared" si="240"/>
        <v>28.261688899999999</v>
      </c>
      <c r="AA422" s="6">
        <f t="shared" si="240"/>
        <v>28.721426709999999</v>
      </c>
      <c r="AB422" s="6">
        <f t="shared" si="240"/>
        <v>29.13732984</v>
      </c>
      <c r="AC422" s="6">
        <f t="shared" si="240"/>
        <v>29.571289879999998</v>
      </c>
      <c r="AD422" s="6">
        <f t="shared" si="240"/>
        <v>30.013050839999998</v>
      </c>
      <c r="AE422" s="6">
        <f t="shared" si="240"/>
        <v>30.460798230000002</v>
      </c>
      <c r="AF422" s="6">
        <f t="shared" si="240"/>
        <v>30.9144638</v>
      </c>
      <c r="AG422" s="6">
        <f t="shared" si="240"/>
        <v>31.374293189999999</v>
      </c>
      <c r="AH422" s="6">
        <f t="shared" si="240"/>
        <v>31.840529270000001</v>
      </c>
      <c r="AI422" s="6">
        <f t="shared" si="240"/>
        <v>32.313340779999997</v>
      </c>
      <c r="AJ422" s="6">
        <f t="shared" si="240"/>
        <v>32.792806720000002</v>
      </c>
      <c r="AK422" s="6">
        <f t="shared" si="240"/>
        <v>33.278927539999998</v>
      </c>
      <c r="AL422" s="6">
        <f t="shared" si="240"/>
        <v>33.771644469999998</v>
      </c>
      <c r="AM422" s="6">
        <f t="shared" ref="AM422:BC422" si="241">AM396</f>
        <v>34.258151810000001</v>
      </c>
      <c r="AN422" s="6">
        <f t="shared" si="241"/>
        <v>34.746634239999999</v>
      </c>
      <c r="AO422" s="6">
        <f t="shared" si="241"/>
        <v>35.23893949</v>
      </c>
      <c r="AP422" s="6">
        <f t="shared" si="241"/>
        <v>35.735582059999999</v>
      </c>
      <c r="AQ422" s="6">
        <f t="shared" si="241"/>
        <v>36.236797299999999</v>
      </c>
      <c r="AR422" s="6">
        <f t="shared" si="241"/>
        <v>36.742753299999997</v>
      </c>
      <c r="AS422" s="6">
        <f t="shared" si="241"/>
        <v>37.253597429999999</v>
      </c>
      <c r="AT422" s="6">
        <f t="shared" si="241"/>
        <v>37.769454719999999</v>
      </c>
      <c r="AU422" s="6">
        <f t="shared" si="241"/>
        <v>38.290428110000001</v>
      </c>
      <c r="AV422" s="6">
        <f t="shared" si="241"/>
        <v>38.816600770000001</v>
      </c>
      <c r="AW422" s="6">
        <f t="shared" si="241"/>
        <v>39.349814170000002</v>
      </c>
      <c r="AX422" s="6">
        <f t="shared" si="241"/>
        <v>39.890378980000001</v>
      </c>
      <c r="AY422" s="6">
        <f t="shared" si="241"/>
        <v>40.438709840000001</v>
      </c>
      <c r="AZ422" s="6">
        <f t="shared" si="241"/>
        <v>40.994854889999999</v>
      </c>
      <c r="BA422" s="6">
        <f t="shared" si="241"/>
        <v>41.558649019999997</v>
      </c>
      <c r="BB422" s="6">
        <f t="shared" si="241"/>
        <v>45.68449012</v>
      </c>
      <c r="BC422" s="6">
        <f t="shared" si="241"/>
        <v>46.492077760000001</v>
      </c>
      <c r="BD422" s="6">
        <f t="shared" ref="BD422:BF422" si="242">BD396</f>
        <v>47.312222509999998</v>
      </c>
      <c r="BE422" s="6">
        <f t="shared" si="242"/>
        <v>48.1450423</v>
      </c>
      <c r="BF422" s="6">
        <f t="shared" si="242"/>
        <v>48.99065882</v>
      </c>
    </row>
    <row r="423" spans="1:58" x14ac:dyDescent="0.35">
      <c r="B423" t="s">
        <v>71</v>
      </c>
      <c r="C423" s="6">
        <f>C391+C393+C395+C397+C398+C399</f>
        <v>16.474816171000001</v>
      </c>
      <c r="D423" s="6">
        <f t="shared" ref="D423:AL423" si="243">D391+D393+D395+D397+D398+D399</f>
        <v>16.647981002000002</v>
      </c>
      <c r="E423" s="6">
        <f t="shared" si="243"/>
        <v>16.831262184</v>
      </c>
      <c r="F423" s="6">
        <f t="shared" si="243"/>
        <v>17.033158499999999</v>
      </c>
      <c r="G423" s="6">
        <f t="shared" si="243"/>
        <v>17.259807406</v>
      </c>
      <c r="H423" s="6">
        <f t="shared" si="243"/>
        <v>17.513314088000001</v>
      </c>
      <c r="I423" s="6">
        <f t="shared" si="243"/>
        <v>17.782917183999999</v>
      </c>
      <c r="J423" s="6">
        <f t="shared" si="243"/>
        <v>18.070361707</v>
      </c>
      <c r="K423" s="6">
        <f t="shared" si="243"/>
        <v>18.374668325000002</v>
      </c>
      <c r="L423" s="6">
        <f t="shared" si="243"/>
        <v>18.694663517000002</v>
      </c>
      <c r="M423" s="6">
        <f t="shared" si="243"/>
        <v>19.046991602999999</v>
      </c>
      <c r="N423" s="6">
        <f t="shared" si="243"/>
        <v>19.406644495999998</v>
      </c>
      <c r="O423" s="6">
        <f t="shared" si="243"/>
        <v>19.777424115999999</v>
      </c>
      <c r="P423" s="6">
        <f t="shared" si="243"/>
        <v>20.159456061</v>
      </c>
      <c r="Q423" s="6">
        <f t="shared" si="243"/>
        <v>20.552223838</v>
      </c>
      <c r="R423" s="6">
        <f t="shared" si="243"/>
        <v>20.954990346000002</v>
      </c>
      <c r="S423" s="6">
        <f t="shared" si="243"/>
        <v>21.366838746999999</v>
      </c>
      <c r="T423" s="6">
        <f t="shared" si="243"/>
        <v>21.786773445999998</v>
      </c>
      <c r="U423" s="6">
        <f t="shared" si="243"/>
        <v>22.213807850999999</v>
      </c>
      <c r="V423" s="6">
        <f t="shared" si="243"/>
        <v>22.646988862999997</v>
      </c>
      <c r="W423" s="6">
        <f t="shared" si="243"/>
        <v>23.072006913999999</v>
      </c>
      <c r="X423" s="6">
        <f t="shared" si="243"/>
        <v>23.506268144</v>
      </c>
      <c r="Y423" s="6">
        <f t="shared" si="243"/>
        <v>23.945720075000001</v>
      </c>
      <c r="Z423" s="6">
        <f t="shared" si="243"/>
        <v>24.389194109000002</v>
      </c>
      <c r="AA423" s="6">
        <f t="shared" si="243"/>
        <v>24.836053123999999</v>
      </c>
      <c r="AB423" s="6">
        <f t="shared" si="243"/>
        <v>25.246700703999998</v>
      </c>
      <c r="AC423" s="6">
        <f t="shared" si="243"/>
        <v>25.655218939000001</v>
      </c>
      <c r="AD423" s="6">
        <f t="shared" si="243"/>
        <v>26.058185191</v>
      </c>
      <c r="AE423" s="6">
        <f t="shared" si="243"/>
        <v>26.455808216000001</v>
      </c>
      <c r="AF423" s="6">
        <f t="shared" si="243"/>
        <v>26.84882781</v>
      </c>
      <c r="AG423" s="6">
        <f t="shared" si="243"/>
        <v>27.238076127999999</v>
      </c>
      <c r="AH423" s="6">
        <f t="shared" si="243"/>
        <v>27.624445225000002</v>
      </c>
      <c r="AI423" s="6">
        <f t="shared" si="243"/>
        <v>28.008850087000003</v>
      </c>
      <c r="AJ423" s="6">
        <f t="shared" si="243"/>
        <v>28.392169119000002</v>
      </c>
      <c r="AK423" s="6">
        <f t="shared" si="243"/>
        <v>28.775200318</v>
      </c>
      <c r="AL423" s="6">
        <f t="shared" si="243"/>
        <v>29.158625248</v>
      </c>
      <c r="AM423" s="6">
        <f t="shared" ref="AM423:BC423" si="244">AM391+AM393+AM395+AM397+AM398+AM399</f>
        <v>29.533566360999998</v>
      </c>
      <c r="AN423" s="6">
        <f t="shared" si="244"/>
        <v>29.903710602</v>
      </c>
      <c r="AO423" s="6">
        <f t="shared" si="244"/>
        <v>30.270246867000001</v>
      </c>
      <c r="AP423" s="6">
        <f t="shared" si="244"/>
        <v>30.633884380000001</v>
      </c>
      <c r="AQ423" s="6">
        <f t="shared" si="244"/>
        <v>30.995194107</v>
      </c>
      <c r="AR423" s="6">
        <f t="shared" si="244"/>
        <v>31.354693485000002</v>
      </c>
      <c r="AS423" s="6">
        <f t="shared" si="244"/>
        <v>31.712860345999999</v>
      </c>
      <c r="AT423" s="6">
        <f t="shared" si="244"/>
        <v>32.070127896000002</v>
      </c>
      <c r="AU423" s="6">
        <f t="shared" si="244"/>
        <v>32.426904137000001</v>
      </c>
      <c r="AV423" s="6">
        <f t="shared" si="244"/>
        <v>32.783577627</v>
      </c>
      <c r="AW423" s="6">
        <f t="shared" si="244"/>
        <v>33.126728364999998</v>
      </c>
      <c r="AX423" s="6">
        <f t="shared" si="244"/>
        <v>33.454460022000006</v>
      </c>
      <c r="AY423" s="6">
        <f t="shared" si="244"/>
        <v>33.772191124999999</v>
      </c>
      <c r="AZ423" s="6">
        <f t="shared" si="244"/>
        <v>34.086874010000002</v>
      </c>
      <c r="BA423" s="6">
        <f t="shared" si="244"/>
        <v>34.404236061999995</v>
      </c>
      <c r="BB423" s="6">
        <f t="shared" si="244"/>
        <v>43.074880526999998</v>
      </c>
      <c r="BC423" s="6">
        <f t="shared" si="244"/>
        <v>43.816420633999996</v>
      </c>
      <c r="BD423" s="6">
        <f t="shared" ref="BD423:BF423" si="245">BD391+BD393+BD395+BD397+BD398+BD399</f>
        <v>44.560348927999996</v>
      </c>
      <c r="BE423" s="6">
        <f t="shared" si="245"/>
        <v>45.307026461999996</v>
      </c>
      <c r="BF423" s="6">
        <f t="shared" si="245"/>
        <v>46.056801929999999</v>
      </c>
    </row>
    <row r="424" spans="1:58" x14ac:dyDescent="0.35">
      <c r="B424" t="s">
        <v>68</v>
      </c>
      <c r="C424" s="6">
        <f>C401</f>
        <v>17.352897380000002</v>
      </c>
      <c r="D424" s="6">
        <f t="shared" ref="D424:AL424" si="246">D401</f>
        <v>17.5480372</v>
      </c>
      <c r="E424" s="6">
        <f t="shared" si="246"/>
        <v>17.752672499999999</v>
      </c>
      <c r="F424" s="6">
        <f t="shared" si="246"/>
        <v>17.970805989999999</v>
      </c>
      <c r="G424" s="6">
        <f t="shared" si="246"/>
        <v>18.20334536</v>
      </c>
      <c r="H424" s="6">
        <f t="shared" si="246"/>
        <v>18.449593350000001</v>
      </c>
      <c r="I424" s="6">
        <f t="shared" si="246"/>
        <v>18.698425319999998</v>
      </c>
      <c r="J424" s="6">
        <f t="shared" si="246"/>
        <v>18.95384099</v>
      </c>
      <c r="K424" s="6">
        <f t="shared" si="246"/>
        <v>19.216102419999999</v>
      </c>
      <c r="L424" s="6">
        <f t="shared" si="246"/>
        <v>19.484685219999999</v>
      </c>
      <c r="M424" s="6">
        <f t="shared" si="246"/>
        <v>19.776139959999998</v>
      </c>
      <c r="N424" s="6">
        <f t="shared" si="246"/>
        <v>20.063043879999999</v>
      </c>
      <c r="O424" s="6">
        <f t="shared" si="246"/>
        <v>20.351671289999999</v>
      </c>
      <c r="P424" s="6">
        <f t="shared" si="246"/>
        <v>20.64323529</v>
      </c>
      <c r="Q424" s="6">
        <f t="shared" si="246"/>
        <v>20.937879219999999</v>
      </c>
      <c r="R424" s="6">
        <f t="shared" si="246"/>
        <v>21.235610900000001</v>
      </c>
      <c r="S424" s="6">
        <f t="shared" si="246"/>
        <v>21.536451320000001</v>
      </c>
      <c r="T424" s="6">
        <f t="shared" si="246"/>
        <v>21.840535930000001</v>
      </c>
      <c r="U424" s="6">
        <f t="shared" si="246"/>
        <v>22.148007799999998</v>
      </c>
      <c r="V424" s="6">
        <f t="shared" si="246"/>
        <v>22.45902062</v>
      </c>
      <c r="W424" s="6">
        <f t="shared" si="246"/>
        <v>22.760958970000001</v>
      </c>
      <c r="X424" s="6">
        <f t="shared" si="246"/>
        <v>23.073968910000001</v>
      </c>
      <c r="Y424" s="6">
        <f t="shared" si="246"/>
        <v>23.393189150000001</v>
      </c>
      <c r="Z424" s="6">
        <f t="shared" si="246"/>
        <v>23.717595500000002</v>
      </c>
      <c r="AA424" s="6">
        <f t="shared" si="246"/>
        <v>24.047020239999998</v>
      </c>
      <c r="AB424" s="6">
        <f t="shared" si="246"/>
        <v>24.344517799999998</v>
      </c>
      <c r="AC424" s="6">
        <f t="shared" si="246"/>
        <v>24.650416589999999</v>
      </c>
      <c r="AD424" s="6">
        <f t="shared" si="246"/>
        <v>24.959897009999999</v>
      </c>
      <c r="AE424" s="6">
        <f t="shared" si="246"/>
        <v>25.27253966</v>
      </c>
      <c r="AF424" s="6">
        <f t="shared" si="246"/>
        <v>25.588859750000001</v>
      </c>
      <c r="AG424" s="6">
        <f t="shared" si="246"/>
        <v>25.909440650000001</v>
      </c>
      <c r="AH424" s="6">
        <f t="shared" si="246"/>
        <v>26.23475114</v>
      </c>
      <c r="AI424" s="6">
        <f t="shared" si="246"/>
        <v>26.56509449</v>
      </c>
      <c r="AJ424" s="6">
        <f t="shared" si="246"/>
        <v>26.900657939999999</v>
      </c>
      <c r="AK424" s="6">
        <f t="shared" si="246"/>
        <v>27.241538219999999</v>
      </c>
      <c r="AL424" s="6">
        <f t="shared" si="246"/>
        <v>27.587771029999999</v>
      </c>
      <c r="AM424" s="6">
        <f t="shared" ref="AM424:BC424" si="247">AM401</f>
        <v>27.930486949999999</v>
      </c>
      <c r="AN424" s="6">
        <f t="shared" si="247"/>
        <v>28.274574099999999</v>
      </c>
      <c r="AO424" s="6">
        <f t="shared" si="247"/>
        <v>28.621510600000001</v>
      </c>
      <c r="AP424" s="6">
        <f t="shared" si="247"/>
        <v>28.97198075</v>
      </c>
      <c r="AQ424" s="6">
        <f t="shared" si="247"/>
        <v>29.32646415</v>
      </c>
      <c r="AR424" s="6">
        <f t="shared" si="247"/>
        <v>29.68536245</v>
      </c>
      <c r="AS424" s="6">
        <f t="shared" si="247"/>
        <v>30.048965419999998</v>
      </c>
      <c r="AT424" s="6">
        <f t="shared" si="247"/>
        <v>30.417499100000001</v>
      </c>
      <c r="AU424" s="6">
        <f t="shared" si="247"/>
        <v>30.791122940000001</v>
      </c>
      <c r="AV424" s="6">
        <f t="shared" si="247"/>
        <v>31.169941179999999</v>
      </c>
      <c r="AW424" s="6">
        <f t="shared" si="247"/>
        <v>31.555930799999999</v>
      </c>
      <c r="AX424" s="6">
        <f t="shared" si="247"/>
        <v>31.948999449999999</v>
      </c>
      <c r="AY424" s="6">
        <f t="shared" si="247"/>
        <v>32.348958000000003</v>
      </c>
      <c r="AZ424" s="6">
        <f t="shared" si="247"/>
        <v>32.755521590000001</v>
      </c>
      <c r="BA424" s="6">
        <f t="shared" si="247"/>
        <v>33.168459370000001</v>
      </c>
      <c r="BB424" s="6">
        <f t="shared" si="247"/>
        <v>35.672975299999997</v>
      </c>
      <c r="BC424" s="6">
        <f t="shared" si="247"/>
        <v>36.217518470000002</v>
      </c>
      <c r="BD424" s="6">
        <f t="shared" ref="BD424:BF424" si="248">BD401</f>
        <v>36.770833889999999</v>
      </c>
      <c r="BE424" s="6">
        <f t="shared" si="248"/>
        <v>37.33310058</v>
      </c>
      <c r="BF424" s="6">
        <f t="shared" si="248"/>
        <v>37.904501580000002</v>
      </c>
    </row>
    <row r="425" spans="1:58" x14ac:dyDescent="0.35">
      <c r="B425" t="s">
        <v>69</v>
      </c>
      <c r="C425" s="6">
        <f>C403</f>
        <v>19.300906860000001</v>
      </c>
      <c r="D425" s="6">
        <f t="shared" ref="D425:AL425" si="249">D403</f>
        <v>19.59662307</v>
      </c>
      <c r="E425" s="6">
        <f t="shared" si="249"/>
        <v>19.931658089999999</v>
      </c>
      <c r="F425" s="6">
        <f t="shared" si="249"/>
        <v>20.288756930000002</v>
      </c>
      <c r="G425" s="6">
        <f t="shared" si="249"/>
        <v>20.66293748</v>
      </c>
      <c r="H425" s="6">
        <f t="shared" si="249"/>
        <v>21.052422329999999</v>
      </c>
      <c r="I425" s="6">
        <f t="shared" si="249"/>
        <v>21.44060151</v>
      </c>
      <c r="J425" s="6">
        <f t="shared" si="249"/>
        <v>21.835661170000002</v>
      </c>
      <c r="K425" s="6">
        <f t="shared" si="249"/>
        <v>22.238692799999999</v>
      </c>
      <c r="L425" s="6">
        <f t="shared" si="249"/>
        <v>22.64962367</v>
      </c>
      <c r="M425" s="6">
        <f t="shared" si="249"/>
        <v>23.095709190000001</v>
      </c>
      <c r="N425" s="6">
        <f t="shared" si="249"/>
        <v>23.53272947</v>
      </c>
      <c r="O425" s="6">
        <f t="shared" si="249"/>
        <v>23.9729022</v>
      </c>
      <c r="P425" s="6">
        <f t="shared" si="249"/>
        <v>24.418057470000001</v>
      </c>
      <c r="Q425" s="6">
        <f t="shared" si="249"/>
        <v>24.868565969999999</v>
      </c>
      <c r="R425" s="6">
        <f t="shared" si="249"/>
        <v>25.324683749999998</v>
      </c>
      <c r="S425" s="6">
        <f t="shared" si="249"/>
        <v>25.78672568</v>
      </c>
      <c r="T425" s="6">
        <f t="shared" si="249"/>
        <v>26.25506438</v>
      </c>
      <c r="U425" s="6">
        <f t="shared" si="249"/>
        <v>26.730083579999999</v>
      </c>
      <c r="V425" s="6">
        <f t="shared" si="249"/>
        <v>27.212153140000002</v>
      </c>
      <c r="W425" s="6">
        <f t="shared" si="249"/>
        <v>27.680603869999999</v>
      </c>
      <c r="X425" s="6">
        <f t="shared" si="249"/>
        <v>28.169078290000002</v>
      </c>
      <c r="Y425" s="6">
        <f t="shared" si="249"/>
        <v>28.668639219999999</v>
      </c>
      <c r="Z425" s="6">
        <f t="shared" si="249"/>
        <v>29.178099889999999</v>
      </c>
      <c r="AA425" s="6">
        <f t="shared" si="249"/>
        <v>29.697390420000001</v>
      </c>
      <c r="AB425" s="6">
        <f t="shared" si="249"/>
        <v>30.165040789999999</v>
      </c>
      <c r="AC425" s="6">
        <f t="shared" si="249"/>
        <v>30.649066510000001</v>
      </c>
      <c r="AD425" s="6">
        <f t="shared" si="249"/>
        <v>31.13936473</v>
      </c>
      <c r="AE425" s="6">
        <f t="shared" si="249"/>
        <v>31.635860900000001</v>
      </c>
      <c r="AF425" s="6">
        <f t="shared" si="249"/>
        <v>32.139800280000003</v>
      </c>
      <c r="AG425" s="6">
        <f t="shared" si="249"/>
        <v>32.652377080000001</v>
      </c>
      <c r="AH425" s="6">
        <f t="shared" si="249"/>
        <v>33.174512489999998</v>
      </c>
      <c r="AI425" s="6">
        <f t="shared" si="249"/>
        <v>33.706849429999998</v>
      </c>
      <c r="AJ425" s="6">
        <f t="shared" si="249"/>
        <v>34.249808889999997</v>
      </c>
      <c r="AK425" s="6">
        <f t="shared" si="249"/>
        <v>34.803651649999999</v>
      </c>
      <c r="AL425" s="6">
        <f t="shared" si="249"/>
        <v>35.368533569999997</v>
      </c>
      <c r="AM425" s="6">
        <f t="shared" ref="AM425:BC425" si="250">AM403</f>
        <v>35.929276530000003</v>
      </c>
      <c r="AN425" s="6">
        <f t="shared" si="250"/>
        <v>36.494486170000002</v>
      </c>
      <c r="AO425" s="6">
        <f t="shared" si="250"/>
        <v>37.066381300000003</v>
      </c>
      <c r="AP425" s="6">
        <f t="shared" si="250"/>
        <v>37.646176439999998</v>
      </c>
      <c r="AQ425" s="6">
        <f t="shared" si="250"/>
        <v>38.234856319999999</v>
      </c>
      <c r="AR425" s="6">
        <f t="shared" si="250"/>
        <v>38.833262730000001</v>
      </c>
      <c r="AS425" s="6">
        <f t="shared" si="250"/>
        <v>39.442079020000001</v>
      </c>
      <c r="AT425" s="6">
        <f t="shared" si="250"/>
        <v>40.061835270000003</v>
      </c>
      <c r="AU425" s="6">
        <f t="shared" si="250"/>
        <v>40.692923129999997</v>
      </c>
      <c r="AV425" s="6">
        <f t="shared" si="250"/>
        <v>41.335621699999997</v>
      </c>
      <c r="AW425" s="6">
        <f t="shared" si="250"/>
        <v>41.992412430000002</v>
      </c>
      <c r="AX425" s="6">
        <f t="shared" si="250"/>
        <v>42.662752779999998</v>
      </c>
      <c r="AY425" s="6">
        <f t="shared" si="250"/>
        <v>43.346171390000002</v>
      </c>
      <c r="AZ425" s="6">
        <f t="shared" si="250"/>
        <v>44.042304489999999</v>
      </c>
      <c r="BA425" s="6">
        <f t="shared" si="250"/>
        <v>44.751076509999997</v>
      </c>
      <c r="BB425" s="6">
        <f t="shared" si="250"/>
        <v>48.979044649999999</v>
      </c>
      <c r="BC425" s="6">
        <f t="shared" si="250"/>
        <v>49.925197480000001</v>
      </c>
      <c r="BD425" s="6">
        <f t="shared" ref="BD425:BF425" si="251">BD403</f>
        <v>50.890454120000001</v>
      </c>
      <c r="BE425" s="6">
        <f t="shared" si="251"/>
        <v>51.87530229</v>
      </c>
      <c r="BF425" s="6">
        <f t="shared" si="251"/>
        <v>52.880249550000002</v>
      </c>
    </row>
    <row r="426" spans="1:58" x14ac:dyDescent="0.35">
      <c r="B426" t="s">
        <v>70</v>
      </c>
      <c r="C426" s="6">
        <f>C402+C400</f>
        <v>5.5791440080000001</v>
      </c>
      <c r="D426" s="6">
        <f t="shared" ref="D426:AL426" si="252">D402+D400</f>
        <v>5.6577504359999997</v>
      </c>
      <c r="E426" s="6">
        <f t="shared" si="252"/>
        <v>5.7427414589999994</v>
      </c>
      <c r="F426" s="6">
        <f t="shared" si="252"/>
        <v>5.8311403550000005</v>
      </c>
      <c r="G426" s="6">
        <f t="shared" si="252"/>
        <v>5.9225778219999992</v>
      </c>
      <c r="H426" s="6">
        <f t="shared" si="252"/>
        <v>6.0167579100000008</v>
      </c>
      <c r="I426" s="6">
        <f t="shared" si="252"/>
        <v>6.1086956409999997</v>
      </c>
      <c r="J426" s="6">
        <f t="shared" si="252"/>
        <v>6.2018370709999999</v>
      </c>
      <c r="K426" s="6">
        <f t="shared" si="252"/>
        <v>6.2964954629999994</v>
      </c>
      <c r="L426" s="6">
        <f t="shared" si="252"/>
        <v>6.3926259769999998</v>
      </c>
      <c r="M426" s="6">
        <f t="shared" si="252"/>
        <v>6.4982874979999998</v>
      </c>
      <c r="N426" s="6">
        <f t="shared" si="252"/>
        <v>6.598650567</v>
      </c>
      <c r="O426" s="6">
        <f t="shared" si="252"/>
        <v>6.6993966090000008</v>
      </c>
      <c r="P426" s="6">
        <f t="shared" si="252"/>
        <v>6.801277430999999</v>
      </c>
      <c r="Q426" s="6">
        <f t="shared" si="252"/>
        <v>6.904415985</v>
      </c>
      <c r="R426" s="6">
        <f t="shared" si="252"/>
        <v>7.0088579289999995</v>
      </c>
      <c r="S426" s="6">
        <f t="shared" si="252"/>
        <v>7.1146424009999993</v>
      </c>
      <c r="T426" s="6">
        <f t="shared" si="252"/>
        <v>7.2218202740000006</v>
      </c>
      <c r="U426" s="6">
        <f t="shared" si="252"/>
        <v>7.3304461119999997</v>
      </c>
      <c r="V426" s="6">
        <f t="shared" si="252"/>
        <v>7.4405786850000002</v>
      </c>
      <c r="W426" s="6">
        <f t="shared" si="252"/>
        <v>7.5462272500000003</v>
      </c>
      <c r="X426" s="6">
        <f t="shared" si="252"/>
        <v>7.6584927550000002</v>
      </c>
      <c r="Y426" s="6">
        <f t="shared" si="252"/>
        <v>7.7731890740000003</v>
      </c>
      <c r="Z426" s="6">
        <f t="shared" si="252"/>
        <v>7.8898233409999996</v>
      </c>
      <c r="AA426" s="6">
        <f t="shared" si="252"/>
        <v>8.0083782689999996</v>
      </c>
      <c r="AB426" s="6">
        <f t="shared" si="252"/>
        <v>8.1113654549999996</v>
      </c>
      <c r="AC426" s="6">
        <f t="shared" si="252"/>
        <v>8.2224804969999994</v>
      </c>
      <c r="AD426" s="6">
        <f t="shared" si="252"/>
        <v>8.3361947080000007</v>
      </c>
      <c r="AE426" s="6">
        <f t="shared" si="252"/>
        <v>8.4519207660000006</v>
      </c>
      <c r="AF426" s="6">
        <f t="shared" si="252"/>
        <v>8.5696863610000005</v>
      </c>
      <c r="AG426" s="6">
        <f t="shared" si="252"/>
        <v>8.6895823730000004</v>
      </c>
      <c r="AH426" s="6">
        <f t="shared" si="252"/>
        <v>8.811688878</v>
      </c>
      <c r="AI426" s="6">
        <f t="shared" si="252"/>
        <v>8.9360621330000001</v>
      </c>
      <c r="AJ426" s="6">
        <f t="shared" si="252"/>
        <v>9.0627373909999989</v>
      </c>
      <c r="AK426" s="6">
        <f t="shared" si="252"/>
        <v>9.1917313469999993</v>
      </c>
      <c r="AL426" s="6">
        <f t="shared" si="252"/>
        <v>9.3230459620000001</v>
      </c>
      <c r="AM426" s="6">
        <f t="shared" ref="AM426:BC426" si="253">AM402+AM400</f>
        <v>9.4523979420000011</v>
      </c>
      <c r="AN426" s="6">
        <f t="shared" si="253"/>
        <v>9.5832364890000008</v>
      </c>
      <c r="AO426" s="6">
        <f t="shared" si="253"/>
        <v>9.7160471040000012</v>
      </c>
      <c r="AP426" s="6">
        <f t="shared" si="253"/>
        <v>9.8509256140000012</v>
      </c>
      <c r="AQ426" s="6">
        <f t="shared" si="253"/>
        <v>9.9879096300000008</v>
      </c>
      <c r="AR426" s="6">
        <f t="shared" si="253"/>
        <v>10.127023843</v>
      </c>
      <c r="AS426" s="6">
        <f t="shared" si="253"/>
        <v>10.268281185999999</v>
      </c>
      <c r="AT426" s="6">
        <f t="shared" si="253"/>
        <v>10.411687742</v>
      </c>
      <c r="AU426" s="6">
        <f t="shared" si="253"/>
        <v>10.557242670000001</v>
      </c>
      <c r="AV426" s="6">
        <f t="shared" si="253"/>
        <v>10.704939513999999</v>
      </c>
      <c r="AW426" s="6">
        <f t="shared" si="253"/>
        <v>10.855109888000001</v>
      </c>
      <c r="AX426" s="6">
        <f t="shared" si="253"/>
        <v>11.007602576</v>
      </c>
      <c r="AY426" s="6">
        <f t="shared" si="253"/>
        <v>11.162585625</v>
      </c>
      <c r="AZ426" s="6">
        <f t="shared" si="253"/>
        <v>11.320198052</v>
      </c>
      <c r="BA426" s="6">
        <f t="shared" si="253"/>
        <v>11.480506603</v>
      </c>
      <c r="BB426" s="6">
        <f t="shared" si="253"/>
        <v>12.241690213999998</v>
      </c>
      <c r="BC426" s="6">
        <f t="shared" si="253"/>
        <v>12.448568612999999</v>
      </c>
      <c r="BD426" s="6">
        <f t="shared" ref="BD426:BF426" si="254">BD402+BD400</f>
        <v>12.659353551999999</v>
      </c>
      <c r="BE426" s="6">
        <f t="shared" si="254"/>
        <v>12.874115565</v>
      </c>
      <c r="BF426" s="6">
        <f t="shared" si="254"/>
        <v>13.092921322999999</v>
      </c>
    </row>
    <row r="427" spans="1:58" x14ac:dyDescent="0.35">
      <c r="B427" t="s">
        <v>10</v>
      </c>
      <c r="C427" s="6">
        <f>C404+C405+C415</f>
        <v>49.925991359999998</v>
      </c>
      <c r="D427" s="6">
        <f t="shared" ref="D427:AL427" si="255">D404+D405+D415</f>
        <v>50.543879270999994</v>
      </c>
      <c r="E427" s="6">
        <f t="shared" si="255"/>
        <v>51.205803693</v>
      </c>
      <c r="F427" s="6">
        <f t="shared" si="255"/>
        <v>51.911661323999994</v>
      </c>
      <c r="G427" s="6">
        <f t="shared" si="255"/>
        <v>52.666102514000002</v>
      </c>
      <c r="H427" s="6">
        <f t="shared" si="255"/>
        <v>53.469748099</v>
      </c>
      <c r="I427" s="6">
        <f t="shared" si="255"/>
        <v>54.284851107000001</v>
      </c>
      <c r="J427" s="6">
        <f t="shared" si="255"/>
        <v>55.127655167</v>
      </c>
      <c r="K427" s="6">
        <f t="shared" si="255"/>
        <v>55.998558019000001</v>
      </c>
      <c r="L427" s="6">
        <f t="shared" si="255"/>
        <v>56.895610388000001</v>
      </c>
      <c r="M427" s="6">
        <f t="shared" si="255"/>
        <v>57.878383358000001</v>
      </c>
      <c r="N427" s="6">
        <f t="shared" si="255"/>
        <v>58.847619014000003</v>
      </c>
      <c r="O427" s="6">
        <f t="shared" si="255"/>
        <v>59.829263515999997</v>
      </c>
      <c r="P427" s="6">
        <f t="shared" si="255"/>
        <v>60.826543108999992</v>
      </c>
      <c r="Q427" s="6">
        <f t="shared" si="255"/>
        <v>61.839242428999995</v>
      </c>
      <c r="R427" s="6">
        <f t="shared" si="255"/>
        <v>62.866736614000004</v>
      </c>
      <c r="S427" s="6">
        <f t="shared" si="255"/>
        <v>63.908381499000001</v>
      </c>
      <c r="T427" s="6">
        <f t="shared" si="255"/>
        <v>64.963680204999989</v>
      </c>
      <c r="U427" s="6">
        <f t="shared" si="255"/>
        <v>66.032189669000005</v>
      </c>
      <c r="V427" s="6">
        <f t="shared" si="255"/>
        <v>67.113520191000006</v>
      </c>
      <c r="W427" s="6">
        <f t="shared" si="255"/>
        <v>68.161134494999999</v>
      </c>
      <c r="X427" s="6">
        <f t="shared" si="255"/>
        <v>69.247722754000009</v>
      </c>
      <c r="Y427" s="6">
        <f t="shared" si="255"/>
        <v>70.352576770999988</v>
      </c>
      <c r="Z427" s="6">
        <f t="shared" si="255"/>
        <v>71.472218307999995</v>
      </c>
      <c r="AA427" s="6">
        <f t="shared" si="255"/>
        <v>72.605918134999996</v>
      </c>
      <c r="AB427" s="6">
        <f t="shared" si="255"/>
        <v>73.619342731000003</v>
      </c>
      <c r="AC427" s="6">
        <f t="shared" si="255"/>
        <v>74.660399751</v>
      </c>
      <c r="AD427" s="6">
        <f t="shared" si="255"/>
        <v>75.705617672999992</v>
      </c>
      <c r="AE427" s="6">
        <f t="shared" si="255"/>
        <v>76.753672371999997</v>
      </c>
      <c r="AF427" s="6">
        <f t="shared" si="255"/>
        <v>77.806552155999995</v>
      </c>
      <c r="AG427" s="6">
        <f t="shared" si="255"/>
        <v>78.866488606000004</v>
      </c>
      <c r="AH427" s="6">
        <f t="shared" si="255"/>
        <v>79.935468400999994</v>
      </c>
      <c r="AI427" s="6">
        <f t="shared" si="255"/>
        <v>81.015142881999992</v>
      </c>
      <c r="AJ427" s="6">
        <f t="shared" si="255"/>
        <v>82.106880610000005</v>
      </c>
      <c r="AK427" s="6">
        <f t="shared" si="255"/>
        <v>83.211804913999998</v>
      </c>
      <c r="AL427" s="6">
        <f t="shared" si="255"/>
        <v>84.330833405000007</v>
      </c>
      <c r="AM427" s="6">
        <f t="shared" ref="AM427:BC427" si="256">AM404+AM405+AM415</f>
        <v>85.432351349000001</v>
      </c>
      <c r="AN427" s="6">
        <f t="shared" si="256"/>
        <v>86.535375071999994</v>
      </c>
      <c r="AO427" s="6">
        <f t="shared" si="256"/>
        <v>87.644606398999997</v>
      </c>
      <c r="AP427" s="6">
        <f t="shared" si="256"/>
        <v>88.762360182000009</v>
      </c>
      <c r="AQ427" s="6">
        <f t="shared" si="256"/>
        <v>89.890439359999988</v>
      </c>
      <c r="AR427" s="6">
        <f t="shared" si="256"/>
        <v>91.030422955000006</v>
      </c>
      <c r="AS427" s="6">
        <f t="shared" si="256"/>
        <v>92.183628084999995</v>
      </c>
      <c r="AT427" s="6">
        <f t="shared" si="256"/>
        <v>93.351154374999993</v>
      </c>
      <c r="AU427" s="6">
        <f t="shared" si="256"/>
        <v>94.533899938000005</v>
      </c>
      <c r="AV427" s="6">
        <f t="shared" si="256"/>
        <v>95.732592472000007</v>
      </c>
      <c r="AW427" s="6">
        <f t="shared" si="256"/>
        <v>96.940536587000011</v>
      </c>
      <c r="AX427" s="6">
        <f t="shared" si="256"/>
        <v>98.15420974700001</v>
      </c>
      <c r="AY427" s="6">
        <f t="shared" si="256"/>
        <v>99.376309615000011</v>
      </c>
      <c r="AZ427" s="6">
        <f t="shared" si="256"/>
        <v>100.611134459</v>
      </c>
      <c r="BA427" s="6">
        <f t="shared" si="256"/>
        <v>101.862617169</v>
      </c>
      <c r="BB427" s="6">
        <f t="shared" si="256"/>
        <v>116.05732303399999</v>
      </c>
      <c r="BC427" s="6">
        <f t="shared" si="256"/>
        <v>117.99121762899999</v>
      </c>
      <c r="BD427" s="6">
        <f t="shared" ref="BD427:BF427" si="257">BD404+BD405+BD415</f>
        <v>119.95204948</v>
      </c>
      <c r="BE427" s="6">
        <f t="shared" si="257"/>
        <v>121.94073003999999</v>
      </c>
      <c r="BF427" s="6">
        <f t="shared" si="257"/>
        <v>123.95817712</v>
      </c>
    </row>
    <row r="428" spans="1:58" x14ac:dyDescent="0.35">
      <c r="B428" t="s">
        <v>29</v>
      </c>
      <c r="C428" s="6">
        <f>C407+C408+C406</f>
        <v>21.587971224999997</v>
      </c>
      <c r="D428" s="6">
        <f t="shared" ref="D428:AL428" si="258">D407+D408+D406</f>
        <v>21.763482722000003</v>
      </c>
      <c r="E428" s="6">
        <f t="shared" si="258"/>
        <v>21.920867011000002</v>
      </c>
      <c r="F428" s="6">
        <f t="shared" si="258"/>
        <v>22.095435494999997</v>
      </c>
      <c r="G428" s="6">
        <f t="shared" si="258"/>
        <v>22.298259074000001</v>
      </c>
      <c r="H428" s="6">
        <f t="shared" si="258"/>
        <v>22.528800771</v>
      </c>
      <c r="I428" s="6">
        <f t="shared" si="258"/>
        <v>22.771251766999999</v>
      </c>
      <c r="J428" s="6">
        <f t="shared" si="258"/>
        <v>23.028053266000001</v>
      </c>
      <c r="K428" s="6">
        <f t="shared" si="258"/>
        <v>23.297124760999999</v>
      </c>
      <c r="L428" s="6">
        <f t="shared" si="258"/>
        <v>23.576108618000003</v>
      </c>
      <c r="M428" s="6">
        <f t="shared" si="258"/>
        <v>23.883290563999996</v>
      </c>
      <c r="N428" s="6">
        <f t="shared" si="258"/>
        <v>24.184701058999998</v>
      </c>
      <c r="O428" s="6">
        <f t="shared" si="258"/>
        <v>24.488786676</v>
      </c>
      <c r="P428" s="6">
        <f t="shared" si="258"/>
        <v>24.797089573999997</v>
      </c>
      <c r="Q428" s="6">
        <f t="shared" si="258"/>
        <v>25.109666794999999</v>
      </c>
      <c r="R428" s="6">
        <f t="shared" si="258"/>
        <v>25.426366229999999</v>
      </c>
      <c r="S428" s="6">
        <f t="shared" si="258"/>
        <v>25.747137882000001</v>
      </c>
      <c r="T428" s="6">
        <f t="shared" si="258"/>
        <v>26.071892342999998</v>
      </c>
      <c r="U428" s="6">
        <f t="shared" si="258"/>
        <v>26.400607821000001</v>
      </c>
      <c r="V428" s="6">
        <f t="shared" si="258"/>
        <v>26.733303510999999</v>
      </c>
      <c r="W428" s="6">
        <f t="shared" si="258"/>
        <v>27.055126188000003</v>
      </c>
      <c r="X428" s="6">
        <f t="shared" si="258"/>
        <v>27.390447735000002</v>
      </c>
      <c r="Y428" s="6">
        <f t="shared" si="258"/>
        <v>27.732374371999999</v>
      </c>
      <c r="Z428" s="6">
        <f t="shared" si="258"/>
        <v>28.07938819</v>
      </c>
      <c r="AA428" s="6">
        <f t="shared" si="258"/>
        <v>28.431214173999997</v>
      </c>
      <c r="AB428" s="6">
        <f t="shared" si="258"/>
        <v>28.744818578</v>
      </c>
      <c r="AC428" s="6">
        <f t="shared" si="258"/>
        <v>29.070028832999995</v>
      </c>
      <c r="AD428" s="6">
        <f t="shared" si="258"/>
        <v>29.399413367000005</v>
      </c>
      <c r="AE428" s="6">
        <f t="shared" si="258"/>
        <v>29.731712510000001</v>
      </c>
      <c r="AF428" s="6">
        <f t="shared" si="258"/>
        <v>30.067117211999999</v>
      </c>
      <c r="AG428" s="6">
        <f t="shared" si="258"/>
        <v>30.406061299000001</v>
      </c>
      <c r="AH428" s="6">
        <f t="shared" si="258"/>
        <v>30.748932584999999</v>
      </c>
      <c r="AI428" s="6">
        <f t="shared" si="258"/>
        <v>31.096068519999999</v>
      </c>
      <c r="AJ428" s="6">
        <f t="shared" si="258"/>
        <v>31.447719513000003</v>
      </c>
      <c r="AK428" s="6">
        <f t="shared" si="258"/>
        <v>31.804063853000002</v>
      </c>
      <c r="AL428" s="6">
        <f t="shared" si="258"/>
        <v>32.165224559999999</v>
      </c>
      <c r="AM428" s="6">
        <f t="shared" ref="AM428:BC428" si="259">AM407+AM408+AM406</f>
        <v>32.520714497</v>
      </c>
      <c r="AN428" s="6">
        <f t="shared" si="259"/>
        <v>32.877189352000002</v>
      </c>
      <c r="AO428" s="6">
        <f t="shared" si="259"/>
        <v>33.236408273999999</v>
      </c>
      <c r="AP428" s="6">
        <f t="shared" si="259"/>
        <v>33.599005143999996</v>
      </c>
      <c r="AQ428" s="6">
        <f t="shared" si="259"/>
        <v>33.965362122000002</v>
      </c>
      <c r="AR428" s="6">
        <f t="shared" si="259"/>
        <v>34.335751520000002</v>
      </c>
      <c r="AS428" s="6">
        <f t="shared" si="259"/>
        <v>34.710441857999996</v>
      </c>
      <c r="AT428" s="6">
        <f t="shared" si="259"/>
        <v>35.089645827999995</v>
      </c>
      <c r="AU428" s="6">
        <f t="shared" si="259"/>
        <v>35.473527376</v>
      </c>
      <c r="AV428" s="6">
        <f t="shared" si="259"/>
        <v>35.862209297</v>
      </c>
      <c r="AW428" s="6">
        <f t="shared" si="259"/>
        <v>36.255364149000002</v>
      </c>
      <c r="AX428" s="6">
        <f t="shared" si="259"/>
        <v>36.652994945999993</v>
      </c>
      <c r="AY428" s="6">
        <f t="shared" si="259"/>
        <v>37.055734184000002</v>
      </c>
      <c r="AZ428" s="6">
        <f t="shared" si="259"/>
        <v>37.464088029999999</v>
      </c>
      <c r="BA428" s="6">
        <f t="shared" si="259"/>
        <v>37.878358594999995</v>
      </c>
      <c r="BB428" s="6">
        <f t="shared" si="259"/>
        <v>41.452889843000001</v>
      </c>
      <c r="BC428" s="6">
        <f t="shared" si="259"/>
        <v>42.057067828999998</v>
      </c>
      <c r="BD428" s="6">
        <f t="shared" ref="BD428:BF428" si="260">BD407+BD408+BD406</f>
        <v>42.671079304000003</v>
      </c>
      <c r="BE428" s="6">
        <f t="shared" si="260"/>
        <v>43.295167198999998</v>
      </c>
      <c r="BF428" s="6">
        <f t="shared" si="260"/>
        <v>43.929588232</v>
      </c>
    </row>
    <row r="429" spans="1:58" x14ac:dyDescent="0.35">
      <c r="B429" t="s">
        <v>33</v>
      </c>
      <c r="C429" s="6">
        <f>SUM(C409:C413)</f>
        <v>25.092608894000001</v>
      </c>
      <c r="D429" s="6">
        <f t="shared" ref="D429:AL429" si="261">SUM(D409:D413)</f>
        <v>25.338477031</v>
      </c>
      <c r="E429" s="6">
        <f t="shared" si="261"/>
        <v>25.547520685000002</v>
      </c>
      <c r="F429" s="6">
        <f t="shared" si="261"/>
        <v>25.748169470999997</v>
      </c>
      <c r="G429" s="6">
        <f t="shared" si="261"/>
        <v>25.956799430000004</v>
      </c>
      <c r="H429" s="6">
        <f t="shared" si="261"/>
        <v>26.179772864000004</v>
      </c>
      <c r="I429" s="6">
        <f t="shared" si="261"/>
        <v>26.403724287999999</v>
      </c>
      <c r="J429" s="6">
        <f t="shared" si="261"/>
        <v>26.633896707000002</v>
      </c>
      <c r="K429" s="6">
        <f t="shared" si="261"/>
        <v>26.871413502999999</v>
      </c>
      <c r="L429" s="6">
        <f t="shared" si="261"/>
        <v>27.115699472999999</v>
      </c>
      <c r="M429" s="6">
        <f t="shared" si="261"/>
        <v>27.390235300999997</v>
      </c>
      <c r="N429" s="6">
        <f t="shared" si="261"/>
        <v>27.657661775999998</v>
      </c>
      <c r="O429" s="6">
        <f t="shared" si="261"/>
        <v>27.923592791000001</v>
      </c>
      <c r="P429" s="6">
        <f t="shared" si="261"/>
        <v>28.191036918999998</v>
      </c>
      <c r="Q429" s="6">
        <f t="shared" si="261"/>
        <v>28.461086747</v>
      </c>
      <c r="R429" s="6">
        <f t="shared" si="261"/>
        <v>28.734119194999998</v>
      </c>
      <c r="S429" s="6">
        <f t="shared" si="261"/>
        <v>29.010412633000001</v>
      </c>
      <c r="T429" s="6">
        <f t="shared" si="261"/>
        <v>29.290008995000001</v>
      </c>
      <c r="U429" s="6">
        <f t="shared" si="261"/>
        <v>29.572941052000001</v>
      </c>
      <c r="V429" s="6">
        <f t="shared" si="261"/>
        <v>29.859285932999999</v>
      </c>
      <c r="W429" s="6">
        <f t="shared" si="261"/>
        <v>30.131738227</v>
      </c>
      <c r="X429" s="6">
        <f t="shared" si="261"/>
        <v>30.416749693</v>
      </c>
      <c r="Y429" s="6">
        <f t="shared" si="261"/>
        <v>30.709990081000001</v>
      </c>
      <c r="Z429" s="6">
        <f t="shared" si="261"/>
        <v>31.009221960000001</v>
      </c>
      <c r="AA429" s="6">
        <f t="shared" si="261"/>
        <v>31.313660966000004</v>
      </c>
      <c r="AB429" s="6">
        <f t="shared" si="261"/>
        <v>31.573612557999997</v>
      </c>
      <c r="AC429" s="6">
        <f t="shared" si="261"/>
        <v>31.840229716</v>
      </c>
      <c r="AD429" s="6">
        <f t="shared" si="261"/>
        <v>32.112401263000002</v>
      </c>
      <c r="AE429" s="6">
        <f t="shared" si="261"/>
        <v>32.389155332000001</v>
      </c>
      <c r="AF429" s="6">
        <f t="shared" si="261"/>
        <v>32.670490469000001</v>
      </c>
      <c r="AG429" s="6">
        <f t="shared" si="261"/>
        <v>32.956711908999999</v>
      </c>
      <c r="AH429" s="6">
        <f t="shared" si="261"/>
        <v>33.248120909999997</v>
      </c>
      <c r="AI429" s="6">
        <f t="shared" si="261"/>
        <v>33.545018018999997</v>
      </c>
      <c r="AJ429" s="6">
        <f t="shared" si="261"/>
        <v>33.847633895000001</v>
      </c>
      <c r="AK429" s="6">
        <f t="shared" si="261"/>
        <v>34.156119195999999</v>
      </c>
      <c r="AL429" s="6">
        <f t="shared" si="261"/>
        <v>34.470553581000004</v>
      </c>
      <c r="AM429" s="6">
        <f t="shared" ref="AM429:BC429" si="262">SUM(AM409:AM413)</f>
        <v>34.779061850999994</v>
      </c>
      <c r="AN429" s="6">
        <f t="shared" si="262"/>
        <v>35.087524050999995</v>
      </c>
      <c r="AO429" s="6">
        <f t="shared" si="262"/>
        <v>35.398833685000007</v>
      </c>
      <c r="AP429" s="6">
        <f t="shared" si="262"/>
        <v>35.714276290999997</v>
      </c>
      <c r="AQ429" s="6">
        <f t="shared" si="262"/>
        <v>36.034480840000001</v>
      </c>
      <c r="AR429" s="6">
        <f t="shared" si="262"/>
        <v>36.359730044999999</v>
      </c>
      <c r="AS429" s="6">
        <f t="shared" si="262"/>
        <v>36.690244964000001</v>
      </c>
      <c r="AT429" s="6">
        <f t="shared" si="262"/>
        <v>37.026174668000003</v>
      </c>
      <c r="AU429" s="6">
        <f t="shared" si="262"/>
        <v>37.367609180000002</v>
      </c>
      <c r="AV429" s="6">
        <f t="shared" si="262"/>
        <v>37.714593648000005</v>
      </c>
      <c r="AW429" s="6">
        <f t="shared" si="262"/>
        <v>38.065626496</v>
      </c>
      <c r="AX429" s="6">
        <f t="shared" si="262"/>
        <v>38.420546981999998</v>
      </c>
      <c r="AY429" s="6">
        <f t="shared" si="262"/>
        <v>38.780567314999999</v>
      </c>
      <c r="AZ429" s="6">
        <f t="shared" si="262"/>
        <v>39.147009418000003</v>
      </c>
      <c r="BA429" s="6">
        <f t="shared" si="262"/>
        <v>39.520826205000006</v>
      </c>
      <c r="BB429" s="6">
        <f t="shared" si="262"/>
        <v>39.955272639999997</v>
      </c>
      <c r="BC429" s="6">
        <f t="shared" si="262"/>
        <v>40.421372435000002</v>
      </c>
      <c r="BD429" s="6">
        <f t="shared" ref="BD429:BF429" si="263">SUM(BD409:BD413)</f>
        <v>40.895809559</v>
      </c>
      <c r="BE429" s="6">
        <f t="shared" si="263"/>
        <v>41.378600045999995</v>
      </c>
      <c r="BF429" s="6">
        <f t="shared" si="263"/>
        <v>41.869795973000002</v>
      </c>
    </row>
    <row r="431" spans="1:58" x14ac:dyDescent="0.35">
      <c r="A431" s="12" t="s">
        <v>92</v>
      </c>
      <c r="C431" s="7" t="s">
        <v>72</v>
      </c>
      <c r="D431" s="7" t="s">
        <v>15</v>
      </c>
      <c r="E431" s="7" t="s">
        <v>16</v>
      </c>
      <c r="F431" s="7" t="s">
        <v>17</v>
      </c>
    </row>
    <row r="432" spans="1:58" x14ac:dyDescent="0.35">
      <c r="A432" t="s">
        <v>39</v>
      </c>
      <c r="B432" t="s">
        <v>7</v>
      </c>
      <c r="C432" s="6">
        <f>H418</f>
        <v>15.631585251500001</v>
      </c>
      <c r="D432" s="6">
        <f>R418</f>
        <v>17.229777869599999</v>
      </c>
      <c r="E432" s="6">
        <f>AB418</f>
        <v>19.0799823342</v>
      </c>
      <c r="F432" s="6">
        <f>AL418</f>
        <v>20.893849526199997</v>
      </c>
    </row>
    <row r="433" spans="1:58" x14ac:dyDescent="0.35">
      <c r="B433" t="s">
        <v>64</v>
      </c>
      <c r="C433" s="6">
        <f t="shared" ref="C433:C443" si="264">H419</f>
        <v>9.3017974579999994</v>
      </c>
      <c r="D433" s="6">
        <f t="shared" ref="D433:D443" si="265">R419</f>
        <v>11.082993</v>
      </c>
      <c r="E433" s="6">
        <f t="shared" ref="E433:E443" si="266">AB419</f>
        <v>13.05331908</v>
      </c>
      <c r="F433" s="6">
        <f t="shared" ref="F433:F443" si="267">AL419</f>
        <v>14.96599307</v>
      </c>
    </row>
    <row r="434" spans="1:58" x14ac:dyDescent="0.35">
      <c r="B434" t="s">
        <v>65</v>
      </c>
      <c r="C434" s="6">
        <f t="shared" si="264"/>
        <v>20.192529816</v>
      </c>
      <c r="D434" s="6">
        <f t="shared" si="265"/>
        <v>23.918199688999998</v>
      </c>
      <c r="E434" s="6">
        <f t="shared" si="266"/>
        <v>28.355328490000002</v>
      </c>
      <c r="F434" s="6">
        <f t="shared" si="267"/>
        <v>33.067540469999997</v>
      </c>
    </row>
    <row r="435" spans="1:58" x14ac:dyDescent="0.35">
      <c r="B435" t="s">
        <v>66</v>
      </c>
      <c r="C435" s="6">
        <f t="shared" si="264"/>
        <v>14.649208590000001</v>
      </c>
      <c r="D435" s="6">
        <f t="shared" si="265"/>
        <v>17.130910140000001</v>
      </c>
      <c r="E435" s="6">
        <f t="shared" si="266"/>
        <v>19.922913650000002</v>
      </c>
      <c r="F435" s="6">
        <f t="shared" si="267"/>
        <v>22.958778649999999</v>
      </c>
    </row>
    <row r="436" spans="1:58" x14ac:dyDescent="0.35">
      <c r="B436" t="s">
        <v>67</v>
      </c>
      <c r="C436" s="6">
        <f t="shared" si="264"/>
        <v>21.20835258</v>
      </c>
      <c r="D436" s="6">
        <f t="shared" si="265"/>
        <v>24.861739830000001</v>
      </c>
      <c r="E436" s="6">
        <f t="shared" si="266"/>
        <v>29.13732984</v>
      </c>
      <c r="F436" s="6">
        <f t="shared" si="267"/>
        <v>33.771644469999998</v>
      </c>
    </row>
    <row r="437" spans="1:58" x14ac:dyDescent="0.35">
      <c r="B437" t="s">
        <v>71</v>
      </c>
      <c r="C437" s="6">
        <f t="shared" si="264"/>
        <v>17.513314088000001</v>
      </c>
      <c r="D437" s="6">
        <f t="shared" si="265"/>
        <v>20.954990346000002</v>
      </c>
      <c r="E437" s="6">
        <f t="shared" si="266"/>
        <v>25.246700703999998</v>
      </c>
      <c r="F437" s="6">
        <f t="shared" si="267"/>
        <v>29.158625248</v>
      </c>
    </row>
    <row r="438" spans="1:58" x14ac:dyDescent="0.35">
      <c r="B438" t="s">
        <v>68</v>
      </c>
      <c r="C438" s="6">
        <f t="shared" si="264"/>
        <v>18.449593350000001</v>
      </c>
      <c r="D438" s="6">
        <f t="shared" si="265"/>
        <v>21.235610900000001</v>
      </c>
      <c r="E438" s="6">
        <f t="shared" si="266"/>
        <v>24.344517799999998</v>
      </c>
      <c r="F438" s="6">
        <f t="shared" si="267"/>
        <v>27.587771029999999</v>
      </c>
    </row>
    <row r="439" spans="1:58" x14ac:dyDescent="0.35">
      <c r="B439" t="s">
        <v>69</v>
      </c>
      <c r="C439" s="6">
        <f t="shared" si="264"/>
        <v>21.052422329999999</v>
      </c>
      <c r="D439" s="6">
        <f t="shared" si="265"/>
        <v>25.324683749999998</v>
      </c>
      <c r="E439" s="6">
        <f t="shared" si="266"/>
        <v>30.165040789999999</v>
      </c>
      <c r="F439" s="6">
        <f t="shared" si="267"/>
        <v>35.368533569999997</v>
      </c>
    </row>
    <row r="440" spans="1:58" x14ac:dyDescent="0.35">
      <c r="B440" t="s">
        <v>70</v>
      </c>
      <c r="C440" s="6">
        <f t="shared" si="264"/>
        <v>6.0167579100000008</v>
      </c>
      <c r="D440" s="6">
        <f t="shared" si="265"/>
        <v>7.0088579289999995</v>
      </c>
      <c r="E440" s="6">
        <f t="shared" si="266"/>
        <v>8.1113654549999996</v>
      </c>
      <c r="F440" s="6">
        <f t="shared" si="267"/>
        <v>9.3230459620000001</v>
      </c>
    </row>
    <row r="441" spans="1:58" x14ac:dyDescent="0.35">
      <c r="B441" t="s">
        <v>10</v>
      </c>
      <c r="C441" s="6">
        <f t="shared" si="264"/>
        <v>53.469748099</v>
      </c>
      <c r="D441" s="6">
        <f t="shared" si="265"/>
        <v>62.866736614000004</v>
      </c>
      <c r="E441" s="6">
        <f t="shared" si="266"/>
        <v>73.619342731000003</v>
      </c>
      <c r="F441" s="6">
        <f t="shared" si="267"/>
        <v>84.330833405000007</v>
      </c>
    </row>
    <row r="442" spans="1:58" x14ac:dyDescent="0.35">
      <c r="B442" t="s">
        <v>29</v>
      </c>
      <c r="C442" s="6">
        <f t="shared" si="264"/>
        <v>22.528800771</v>
      </c>
      <c r="D442" s="6">
        <f t="shared" si="265"/>
        <v>25.426366229999999</v>
      </c>
      <c r="E442" s="6">
        <f t="shared" si="266"/>
        <v>28.744818578</v>
      </c>
      <c r="F442" s="6">
        <f t="shared" si="267"/>
        <v>32.165224559999999</v>
      </c>
    </row>
    <row r="443" spans="1:58" x14ac:dyDescent="0.35">
      <c r="B443" t="s">
        <v>33</v>
      </c>
      <c r="C443" s="6">
        <f t="shared" si="264"/>
        <v>26.179772864000004</v>
      </c>
      <c r="D443" s="6">
        <f t="shared" si="265"/>
        <v>28.734119194999998</v>
      </c>
      <c r="E443" s="6">
        <f t="shared" si="266"/>
        <v>31.573612557999997</v>
      </c>
      <c r="F443" s="6">
        <f t="shared" si="267"/>
        <v>34.470553581000004</v>
      </c>
    </row>
    <row r="445" spans="1:58" x14ac:dyDescent="0.35">
      <c r="A445" s="12" t="s">
        <v>93</v>
      </c>
      <c r="B445" t="s">
        <v>73</v>
      </c>
      <c r="C445" s="6">
        <f>[1]Results!F281</f>
        <v>162.3526238</v>
      </c>
      <c r="D445" s="6">
        <f>[1]Results!G281</f>
        <v>163.54993590000001</v>
      </c>
      <c r="E445" s="6">
        <f>[1]Results!H281</f>
        <v>164.61451930000001</v>
      </c>
      <c r="F445" s="6">
        <f>[1]Results!I281</f>
        <v>165.76880990000001</v>
      </c>
      <c r="G445" s="6">
        <f>[1]Results!J281</f>
        <v>167.08408829999999</v>
      </c>
      <c r="H445" s="6">
        <f>[1]Results!K281</f>
        <v>168.56641550000001</v>
      </c>
      <c r="I445" s="6">
        <f>[1]Results!L281</f>
        <v>170.11323229999999</v>
      </c>
      <c r="J445" s="6">
        <f>[1]Results!M281</f>
        <v>171.74639389999999</v>
      </c>
      <c r="K445" s="6">
        <f>[1]Results!N281</f>
        <v>173.45622839999999</v>
      </c>
      <c r="L445" s="6">
        <f>[1]Results!O281</f>
        <v>175.23013900000001</v>
      </c>
      <c r="M445" s="6">
        <f>[1]Results!P281</f>
        <v>177.20231889999999</v>
      </c>
      <c r="N445" s="6">
        <f>[1]Results!Q281</f>
        <v>179.13752289999999</v>
      </c>
      <c r="O445" s="6">
        <f>[1]Results!R281</f>
        <v>181.08981879999999</v>
      </c>
      <c r="P445" s="6">
        <f>[1]Results!S281</f>
        <v>183.06846959999999</v>
      </c>
      <c r="Q445" s="6">
        <f>[1]Results!T281</f>
        <v>185.07434760000001</v>
      </c>
      <c r="R445" s="6">
        <f>[1]Results!U281</f>
        <v>187.10684800000001</v>
      </c>
      <c r="S445" s="6">
        <f>[1]Results!V281</f>
        <v>189.16592439999999</v>
      </c>
      <c r="T445" s="6">
        <f>[1]Results!W281</f>
        <v>191.25093939999999</v>
      </c>
      <c r="U445" s="6">
        <f>[1]Results!X281</f>
        <v>193.36178989999999</v>
      </c>
      <c r="V445" s="6">
        <f>[1]Results!Y281</f>
        <v>195.4987003</v>
      </c>
      <c r="W445" s="6">
        <f>[1]Results!Z281</f>
        <v>197.55656949999999</v>
      </c>
      <c r="X445" s="6">
        <f>[1]Results!AA281</f>
        <v>199.70269999999999</v>
      </c>
      <c r="Y445" s="6">
        <f>[1]Results!AB281</f>
        <v>201.8939475</v>
      </c>
      <c r="Z445" s="6">
        <f>[1]Results!AC281</f>
        <v>204.12144169999999</v>
      </c>
      <c r="AA445" s="6">
        <f>[1]Results!AD281</f>
        <v>206.3830906</v>
      </c>
      <c r="AB445" s="6">
        <f>[1]Results!AE281</f>
        <v>208.37573190000001</v>
      </c>
      <c r="AC445" s="6">
        <f>[1]Results!AF281</f>
        <v>210.4334451</v>
      </c>
      <c r="AD445" s="6">
        <f>[1]Results!AG281</f>
        <v>212.51219839999999</v>
      </c>
      <c r="AE445" s="6">
        <f>[1]Results!AH281</f>
        <v>214.6081045</v>
      </c>
      <c r="AF445" s="6">
        <f>[1]Results!AI281</f>
        <v>216.72421850000001</v>
      </c>
      <c r="AG445" s="6">
        <f>[1]Results!AJ281</f>
        <v>218.8643792</v>
      </c>
      <c r="AH445" s="6">
        <f>[1]Results!AK281</f>
        <v>221.03179449999999</v>
      </c>
      <c r="AI445" s="6">
        <f>[1]Results!AL281</f>
        <v>223.2292344</v>
      </c>
      <c r="AJ445" s="6">
        <f>[1]Results!AM281</f>
        <v>225.45872510000001</v>
      </c>
      <c r="AK445" s="6">
        <f>[1]Results!AN281</f>
        <v>227.7216741</v>
      </c>
      <c r="AL445" s="6">
        <f>[1]Results!AO281</f>
        <v>230.0189949</v>
      </c>
      <c r="AM445" s="6">
        <f>[1]Results!AP281</f>
        <v>232.2776767</v>
      </c>
      <c r="AN445" s="6">
        <f>[1]Results!AQ281</f>
        <v>234.53998720000001</v>
      </c>
      <c r="AO445" s="6">
        <f>[1]Results!AR281</f>
        <v>236.81783179999999</v>
      </c>
      <c r="AP445" s="6">
        <f>[1]Results!AS281</f>
        <v>239.1165862</v>
      </c>
      <c r="AQ445" s="6">
        <f>[1]Results!AT281</f>
        <v>241.4397525</v>
      </c>
      <c r="AR445" s="6">
        <f>[1]Results!AU281</f>
        <v>243.78972289999999</v>
      </c>
      <c r="AS445" s="6">
        <f>[1]Results!AV281</f>
        <v>246.16873340000001</v>
      </c>
      <c r="AT445" s="6">
        <f>[1]Results!AW281</f>
        <v>248.5784611</v>
      </c>
      <c r="AU445" s="6">
        <f>[1]Results!AX281</f>
        <v>251.02014539999999</v>
      </c>
      <c r="AV445" s="6">
        <f>[1]Results!AY281</f>
        <v>253.49466820000001</v>
      </c>
      <c r="AW445" s="6">
        <f>[1]Results!AZ281</f>
        <v>255.99326060000001</v>
      </c>
      <c r="AX445" s="6">
        <f>[1]Results!BA281</f>
        <v>258.51768449999997</v>
      </c>
      <c r="AY445" s="6">
        <f>[1]Results!BB281</f>
        <v>261.0751411</v>
      </c>
      <c r="AZ445" s="6">
        <f>[1]Results!BC281</f>
        <v>263.67193500000002</v>
      </c>
      <c r="BA445" s="6">
        <f>[1]Results!BD281</f>
        <v>266.3123008</v>
      </c>
      <c r="BB445" s="6">
        <f>[1]Results!BE281</f>
        <v>283.96565909999998</v>
      </c>
      <c r="BC445" s="6">
        <f>[1]Results!BF281</f>
        <v>287.72227379999998</v>
      </c>
      <c r="BD445" s="6">
        <f>[1]Results!BG281</f>
        <v>291.5392842</v>
      </c>
      <c r="BE445" s="6">
        <f>[1]Results!BH281</f>
        <v>295.41791599999999</v>
      </c>
      <c r="BF445" s="6">
        <f>[1]Results!BI281</f>
        <v>299.35954529999998</v>
      </c>
    </row>
    <row r="446" spans="1:58" x14ac:dyDescent="0.35">
      <c r="A446" t="s">
        <v>39</v>
      </c>
      <c r="B446" s="6" t="str">
        <f>[1]Results!E282</f>
        <v>CF_toe_ccoa_2</v>
      </c>
      <c r="C446" s="6">
        <f>[1]Results!F282</f>
        <v>5.4833789619999997</v>
      </c>
      <c r="D446" s="6">
        <f>[1]Results!G282</f>
        <v>5.5500471329999996</v>
      </c>
      <c r="E446" s="6">
        <f>[1]Results!H282</f>
        <v>5.6238175510000001</v>
      </c>
      <c r="F446" s="6">
        <f>[1]Results!I282</f>
        <v>5.7033414420000001</v>
      </c>
      <c r="G446" s="6">
        <f>[1]Results!J282</f>
        <v>5.7878657410000001</v>
      </c>
      <c r="H446" s="6">
        <f>[1]Results!K282</f>
        <v>5.8769025380000004</v>
      </c>
      <c r="I446" s="6">
        <f>[1]Results!L282</f>
        <v>5.9663537099999999</v>
      </c>
      <c r="J446" s="6">
        <f>[1]Results!M282</f>
        <v>6.0582529630000002</v>
      </c>
      <c r="K446" s="6">
        <f>[1]Results!N282</f>
        <v>6.1528520059999998</v>
      </c>
      <c r="L446" s="6">
        <f>[1]Results!O282</f>
        <v>6.2500471969999998</v>
      </c>
      <c r="M446" s="6">
        <f>[1]Results!P282</f>
        <v>6.356181683</v>
      </c>
      <c r="N446" s="6">
        <f>[1]Results!Q282</f>
        <v>6.4603718680000002</v>
      </c>
      <c r="O446" s="6">
        <f>[1]Results!R282</f>
        <v>6.5656864019999999</v>
      </c>
      <c r="P446" s="6">
        <f>[1]Results!S282</f>
        <v>6.6726718180000004</v>
      </c>
      <c r="Q446" s="6">
        <f>[1]Results!T282</f>
        <v>6.781388701</v>
      </c>
      <c r="R446" s="6">
        <f>[1]Results!U282</f>
        <v>6.8918225299999998</v>
      </c>
      <c r="S446" s="6">
        <f>[1]Results!V282</f>
        <v>7.003969627</v>
      </c>
      <c r="T446" s="6">
        <f>[1]Results!W282</f>
        <v>7.1178372799999998</v>
      </c>
      <c r="U446" s="6">
        <f>[1]Results!X282</f>
        <v>7.2334493809999998</v>
      </c>
      <c r="V446" s="6">
        <f>[1]Results!Y282</f>
        <v>7.3508404120000002</v>
      </c>
      <c r="W446" s="6">
        <f>[1]Results!Z282</f>
        <v>7.4651794770000004</v>
      </c>
      <c r="X446" s="6">
        <f>[1]Results!AA282</f>
        <v>7.5845273420000003</v>
      </c>
      <c r="Y446" s="6">
        <f>[1]Results!AB282</f>
        <v>7.7065371870000003</v>
      </c>
      <c r="Z446" s="6">
        <f>[1]Results!AC282</f>
        <v>7.8307644420000004</v>
      </c>
      <c r="AA446" s="6">
        <f>[1]Results!AD282</f>
        <v>7.957143276</v>
      </c>
      <c r="AB446" s="6">
        <f>[1]Results!AE282</f>
        <v>8.071544179</v>
      </c>
      <c r="AC446" s="6">
        <f>[1]Results!AF282</f>
        <v>8.1905066019999992</v>
      </c>
      <c r="AD446" s="6">
        <f>[1]Results!AG282</f>
        <v>8.3113558110000003</v>
      </c>
      <c r="AE446" s="6">
        <f>[1]Results!AH282</f>
        <v>8.4336983730000004</v>
      </c>
      <c r="AF446" s="6">
        <f>[1]Results!AI282</f>
        <v>8.5575824679999997</v>
      </c>
      <c r="AG446" s="6">
        <f>[1]Results!AJ282</f>
        <v>8.6831228990000007</v>
      </c>
      <c r="AH446" s="6">
        <f>[1]Results!AK282</f>
        <v>8.8104203519999995</v>
      </c>
      <c r="AI446" s="6">
        <f>[1]Results!AL282</f>
        <v>8.9395475960000006</v>
      </c>
      <c r="AJ446" s="6">
        <f>[1]Results!AM282</f>
        <v>9.0705459299999998</v>
      </c>
      <c r="AK446" s="6">
        <f>[1]Results!AN282</f>
        <v>9.2034299080000004</v>
      </c>
      <c r="AL446" s="6">
        <f>[1]Results!AO282</f>
        <v>9.3381938469999994</v>
      </c>
      <c r="AM446" s="6">
        <f>[1]Results!AP282</f>
        <v>9.4713487389999997</v>
      </c>
      <c r="AN446" s="6">
        <f>[1]Results!AQ282</f>
        <v>9.6050541969999994</v>
      </c>
      <c r="AO446" s="6">
        <f>[1]Results!AR282</f>
        <v>9.7398041249999991</v>
      </c>
      <c r="AP446" s="6">
        <f>[1]Results!AS282</f>
        <v>9.8757568409999994</v>
      </c>
      <c r="AQ446" s="6">
        <f>[1]Results!AT282</f>
        <v>10.013000659999999</v>
      </c>
      <c r="AR446" s="6">
        <f>[1]Results!AU282</f>
        <v>10.151602410000001</v>
      </c>
      <c r="AS446" s="6">
        <f>[1]Results!AV282</f>
        <v>10.29162125</v>
      </c>
      <c r="AT446" s="6">
        <f>[1]Results!AW282</f>
        <v>10.433105299999999</v>
      </c>
      <c r="AU446" s="6">
        <f>[1]Results!AX282</f>
        <v>10.57609233</v>
      </c>
      <c r="AV446" s="6">
        <f>[1]Results!AY282</f>
        <v>10.72061111</v>
      </c>
      <c r="AW446" s="6">
        <f>[1]Results!AZ282</f>
        <v>10.86712311</v>
      </c>
      <c r="AX446" s="6">
        <f>[1]Results!BA282</f>
        <v>11.01575693</v>
      </c>
      <c r="AY446" s="6">
        <f>[1]Results!BB282</f>
        <v>11.166668189999999</v>
      </c>
      <c r="AZ446" s="6">
        <f>[1]Results!BC282</f>
        <v>11.31989665</v>
      </c>
      <c r="BA446" s="6">
        <f>[1]Results!BD282</f>
        <v>11.475407949999999</v>
      </c>
      <c r="BB446" s="6">
        <f>[1]Results!BE282</f>
        <v>12.585566829999999</v>
      </c>
      <c r="BC446" s="6">
        <f>[1]Results!BF282</f>
        <v>12.805525859999999</v>
      </c>
      <c r="BD446" s="6">
        <f>[1]Results!BG282</f>
        <v>13.02890981</v>
      </c>
      <c r="BE446" s="6">
        <f>[1]Results!BH282</f>
        <v>13.25575914</v>
      </c>
      <c r="BF446" s="6">
        <f>[1]Results!BI282</f>
        <v>13.48611507</v>
      </c>
    </row>
    <row r="447" spans="1:58" x14ac:dyDescent="0.35">
      <c r="B447" s="6" t="s">
        <v>74</v>
      </c>
      <c r="C447" s="6">
        <f>C448+C449+C450</f>
        <v>62.334596406999999</v>
      </c>
      <c r="D447" s="6">
        <f t="shared" ref="D447:AL447" si="268">D448+D449+D450</f>
        <v>62.6420351776</v>
      </c>
      <c r="E447" s="6">
        <f t="shared" si="268"/>
        <v>62.880042397999993</v>
      </c>
      <c r="F447" s="6">
        <f t="shared" si="268"/>
        <v>63.181003543099997</v>
      </c>
      <c r="G447" s="6">
        <f t="shared" si="268"/>
        <v>63.578624185199999</v>
      </c>
      <c r="H447" s="6">
        <f t="shared" si="268"/>
        <v>64.068854351799999</v>
      </c>
      <c r="I447" s="6">
        <f t="shared" si="268"/>
        <v>64.611187683200001</v>
      </c>
      <c r="J447" s="6">
        <f t="shared" si="268"/>
        <v>65.20268123759999</v>
      </c>
      <c r="K447" s="6">
        <f t="shared" si="268"/>
        <v>65.833473765600004</v>
      </c>
      <c r="L447" s="6">
        <f t="shared" si="268"/>
        <v>66.494919147299996</v>
      </c>
      <c r="M447" s="6">
        <f t="shared" si="268"/>
        <v>67.224678466699999</v>
      </c>
      <c r="N447" s="6">
        <f t="shared" si="268"/>
        <v>67.951193318500003</v>
      </c>
      <c r="O447" s="6">
        <f t="shared" si="268"/>
        <v>68.687789461199998</v>
      </c>
      <c r="P447" s="6">
        <f t="shared" si="268"/>
        <v>69.435420334100002</v>
      </c>
      <c r="Q447" s="6">
        <f t="shared" si="268"/>
        <v>70.1932118016</v>
      </c>
      <c r="R447" s="6">
        <f t="shared" si="268"/>
        <v>70.960306278199994</v>
      </c>
      <c r="S447" s="6">
        <f t="shared" si="268"/>
        <v>71.736412548800004</v>
      </c>
      <c r="T447" s="6">
        <f t="shared" si="268"/>
        <v>72.521013296299998</v>
      </c>
      <c r="U447" s="6">
        <f t="shared" si="268"/>
        <v>73.313884095199995</v>
      </c>
      <c r="V447" s="6">
        <f t="shared" si="268"/>
        <v>74.114930836900001</v>
      </c>
      <c r="W447" s="6">
        <f t="shared" si="268"/>
        <v>74.891735591599996</v>
      </c>
      <c r="X447" s="6">
        <f t="shared" si="268"/>
        <v>75.693838572900006</v>
      </c>
      <c r="Y447" s="6">
        <f t="shared" si="268"/>
        <v>76.509017793200002</v>
      </c>
      <c r="Z447" s="6">
        <f t="shared" si="268"/>
        <v>77.334971529699999</v>
      </c>
      <c r="AA447" s="6">
        <f t="shared" si="268"/>
        <v>78.171209370100001</v>
      </c>
      <c r="AB447" s="6">
        <f t="shared" si="268"/>
        <v>78.924405502500008</v>
      </c>
      <c r="AC447" s="6">
        <f t="shared" si="268"/>
        <v>79.692562910700005</v>
      </c>
      <c r="AD447" s="6">
        <f t="shared" si="268"/>
        <v>80.463172179600008</v>
      </c>
      <c r="AE447" s="6">
        <f t="shared" si="268"/>
        <v>81.235800213899992</v>
      </c>
      <c r="AF447" s="6">
        <f t="shared" si="268"/>
        <v>82.012068924000005</v>
      </c>
      <c r="AG447" s="6">
        <f t="shared" si="268"/>
        <v>82.793726739299998</v>
      </c>
      <c r="AH447" s="6">
        <f t="shared" si="268"/>
        <v>83.582170009100011</v>
      </c>
      <c r="AI447" s="6">
        <f t="shared" si="268"/>
        <v>84.3786042216</v>
      </c>
      <c r="AJ447" s="6">
        <f t="shared" si="268"/>
        <v>85.183903982700002</v>
      </c>
      <c r="AK447" s="6">
        <f t="shared" si="268"/>
        <v>85.998696139999993</v>
      </c>
      <c r="AL447" s="6">
        <f t="shared" si="268"/>
        <v>86.823421002799989</v>
      </c>
      <c r="AM447" s="6">
        <f t="shared" ref="AM447:BC447" si="269">AM448+AM449+AM450</f>
        <v>87.6353263309</v>
      </c>
      <c r="AN447" s="6">
        <f t="shared" si="269"/>
        <v>88.446759454100004</v>
      </c>
      <c r="AO447" s="6">
        <f t="shared" si="269"/>
        <v>89.261263200900004</v>
      </c>
      <c r="AP447" s="6">
        <f t="shared" si="269"/>
        <v>90.080677136100007</v>
      </c>
      <c r="AQ447" s="6">
        <f t="shared" si="269"/>
        <v>90.906403895900013</v>
      </c>
      <c r="AR447" s="6">
        <f t="shared" si="269"/>
        <v>91.739486753799994</v>
      </c>
      <c r="AS447" s="6">
        <f t="shared" si="269"/>
        <v>92.580980162100005</v>
      </c>
      <c r="AT447" s="6">
        <f t="shared" si="269"/>
        <v>93.431685454200007</v>
      </c>
      <c r="AU447" s="6">
        <f t="shared" si="269"/>
        <v>94.292210051400005</v>
      </c>
      <c r="AV447" s="6">
        <f t="shared" si="269"/>
        <v>95.162997603700006</v>
      </c>
      <c r="AW447" s="6">
        <f t="shared" si="269"/>
        <v>96.040635616799989</v>
      </c>
      <c r="AX447" s="6">
        <f t="shared" si="269"/>
        <v>96.926783024499997</v>
      </c>
      <c r="AY447" s="6">
        <f t="shared" si="269"/>
        <v>97.823605336900002</v>
      </c>
      <c r="AZ447" s="6">
        <f t="shared" si="269"/>
        <v>98.732574112199984</v>
      </c>
      <c r="BA447" s="6">
        <f t="shared" si="269"/>
        <v>99.654582502799997</v>
      </c>
      <c r="BB447" s="6">
        <f t="shared" si="269"/>
        <v>109.0311715487</v>
      </c>
      <c r="BC447" s="6">
        <f t="shared" si="269"/>
        <v>110.4310746978</v>
      </c>
      <c r="BD447" s="6">
        <f t="shared" ref="BD447:BF447" si="270">BD448+BD449+BD450</f>
        <v>111.85228779740001</v>
      </c>
      <c r="BE447" s="6">
        <f t="shared" si="270"/>
        <v>113.2955042848</v>
      </c>
      <c r="BF447" s="6">
        <f t="shared" si="270"/>
        <v>114.76147677599999</v>
      </c>
    </row>
    <row r="448" spans="1:58" x14ac:dyDescent="0.35">
      <c r="B448" s="6" t="str">
        <f>[1]Results!E285</f>
        <v>CF_toe_ccoi_2</v>
      </c>
      <c r="C448" s="6">
        <f>[1]Results!F285</f>
        <v>8.4947827000000004E-2</v>
      </c>
      <c r="D448" s="6">
        <f>[1]Results!G285</f>
        <v>8.5957087599999996E-2</v>
      </c>
      <c r="E448" s="6">
        <f>[1]Results!H285</f>
        <v>8.7040458000000001E-2</v>
      </c>
      <c r="F448" s="6">
        <f>[1]Results!I285</f>
        <v>8.8203183099999999E-2</v>
      </c>
      <c r="G448" s="6">
        <f>[1]Results!J285</f>
        <v>8.94522752E-2</v>
      </c>
      <c r="H448" s="6">
        <f>[1]Results!K285</f>
        <v>9.0788251799999997E-2</v>
      </c>
      <c r="I448" s="6">
        <f>[1]Results!L285</f>
        <v>9.2148323200000007E-2</v>
      </c>
      <c r="J448" s="6">
        <f>[1]Results!M285</f>
        <v>9.3558727600000002E-2</v>
      </c>
      <c r="K448" s="6">
        <f>[1]Results!N285</f>
        <v>9.5020125600000005E-2</v>
      </c>
      <c r="L448" s="6">
        <f>[1]Results!O285</f>
        <v>9.6529057299999999E-2</v>
      </c>
      <c r="M448" s="6">
        <f>[1]Results!P285</f>
        <v>9.8183956700000005E-2</v>
      </c>
      <c r="N448" s="6">
        <f>[1]Results!Q285</f>
        <v>9.9820868500000007E-2</v>
      </c>
      <c r="O448" s="6">
        <f>[1]Results!R285</f>
        <v>0.1014810112</v>
      </c>
      <c r="P448" s="6">
        <f>[1]Results!S285</f>
        <v>0.1031697141</v>
      </c>
      <c r="Q448" s="6">
        <f>[1]Results!T285</f>
        <v>0.1048865216</v>
      </c>
      <c r="R448" s="6">
        <f>[1]Results!U285</f>
        <v>0.1066302282</v>
      </c>
      <c r="S448" s="6">
        <f>[1]Results!V285</f>
        <v>0.1083999888</v>
      </c>
      <c r="T448" s="6">
        <f>[1]Results!W285</f>
        <v>0.1101945763</v>
      </c>
      <c r="U448" s="6">
        <f>[1]Results!X285</f>
        <v>0.11201312519999999</v>
      </c>
      <c r="V448" s="6">
        <f>[1]Results!Y285</f>
        <v>0.1138549369</v>
      </c>
      <c r="W448" s="6">
        <f>[1]Results!Z285</f>
        <v>0.11564286159999999</v>
      </c>
      <c r="X448" s="6">
        <f>[1]Results!AA285</f>
        <v>0.1174967029</v>
      </c>
      <c r="Y448" s="6">
        <f>[1]Results!AB285</f>
        <v>0.11938323319999999</v>
      </c>
      <c r="Z448" s="6">
        <f>[1]Results!AC285</f>
        <v>0.1212965397</v>
      </c>
      <c r="AA448" s="6">
        <f>[1]Results!AD285</f>
        <v>0.1232353601</v>
      </c>
      <c r="AB448" s="6">
        <f>[1]Results!AE285</f>
        <v>0.1249770925</v>
      </c>
      <c r="AC448" s="6">
        <f>[1]Results!AF285</f>
        <v>0.1267643607</v>
      </c>
      <c r="AD448" s="6">
        <f>[1]Results!AG285</f>
        <v>0.12856060959999999</v>
      </c>
      <c r="AE448" s="6">
        <f>[1]Results!AH285</f>
        <v>0.13036355390000001</v>
      </c>
      <c r="AF448" s="6">
        <f>[1]Results!AI285</f>
        <v>0.13217631399999999</v>
      </c>
      <c r="AG448" s="6">
        <f>[1]Results!AJ285</f>
        <v>0.13400246930000001</v>
      </c>
      <c r="AH448" s="6">
        <f>[1]Results!AK285</f>
        <v>0.1358451091</v>
      </c>
      <c r="AI448" s="6">
        <f>[1]Results!AL285</f>
        <v>0.13770696160000001</v>
      </c>
      <c r="AJ448" s="6">
        <f>[1]Results!AM285</f>
        <v>0.1395901927</v>
      </c>
      <c r="AK448" s="6">
        <f>[1]Results!AN285</f>
        <v>0.14149650999999999</v>
      </c>
      <c r="AL448" s="6">
        <f>[1]Results!AO285</f>
        <v>0.1434272328</v>
      </c>
      <c r="AM448" s="6">
        <f>[1]Results!AP285</f>
        <v>0.1453285409</v>
      </c>
      <c r="AN448" s="6">
        <f>[1]Results!AQ285</f>
        <v>0.14723184410000001</v>
      </c>
      <c r="AO448" s="6">
        <f>[1]Results!AR285</f>
        <v>0.14914502090000001</v>
      </c>
      <c r="AP448" s="6">
        <f>[1]Results!AS285</f>
        <v>0.15107179609999999</v>
      </c>
      <c r="AQ448" s="6">
        <f>[1]Results!AT285</f>
        <v>0.15301496589999999</v>
      </c>
      <c r="AR448" s="6">
        <f>[1]Results!AU285</f>
        <v>0.15497675380000001</v>
      </c>
      <c r="AS448" s="6">
        <f>[1]Results!AV285</f>
        <v>0.15695928210000001</v>
      </c>
      <c r="AT448" s="6">
        <f>[1]Results!AW285</f>
        <v>0.1589642342</v>
      </c>
      <c r="AU448" s="6">
        <f>[1]Results!AX285</f>
        <v>0.16099297139999999</v>
      </c>
      <c r="AV448" s="6">
        <f>[1]Results!AY285</f>
        <v>0.16304659369999999</v>
      </c>
      <c r="AW448" s="6">
        <f>[1]Results!AZ285</f>
        <v>0.16511017680000001</v>
      </c>
      <c r="AX448" s="6">
        <f>[1]Results!BA285</f>
        <v>0.16718337450000001</v>
      </c>
      <c r="AY448" s="6">
        <f>[1]Results!BB285</f>
        <v>0.16927396689999999</v>
      </c>
      <c r="AZ448" s="6">
        <f>[1]Results!BC285</f>
        <v>0.1713903722</v>
      </c>
      <c r="BA448" s="6">
        <f>[1]Results!BD285</f>
        <v>0.17353921280000001</v>
      </c>
      <c r="BB448" s="6">
        <f>[1]Results!BE285</f>
        <v>0.19860557870000001</v>
      </c>
      <c r="BC448" s="6">
        <f>[1]Results!BF285</f>
        <v>0.20196968779999999</v>
      </c>
      <c r="BD448" s="6">
        <f>[1]Results!BG285</f>
        <v>0.20537931740000001</v>
      </c>
      <c r="BE448" s="6">
        <f>[1]Results!BH285</f>
        <v>0.2088358948</v>
      </c>
      <c r="BF448" s="6">
        <f>[1]Results!BI285</f>
        <v>0.21234085599999999</v>
      </c>
    </row>
    <row r="449" spans="1:58" x14ac:dyDescent="0.35">
      <c r="B449" s="6" t="str">
        <f>[1]Results!E288</f>
        <v>CF_toe_cfut_2</v>
      </c>
      <c r="C449" s="6">
        <f>[1]Results!F288</f>
        <v>47.40923437</v>
      </c>
      <c r="D449" s="6">
        <f>[1]Results!G288</f>
        <v>47.593708669999998</v>
      </c>
      <c r="E449" s="6">
        <f>[1]Results!H288</f>
        <v>47.740624959999998</v>
      </c>
      <c r="F449" s="6">
        <f>[1]Results!I288</f>
        <v>47.957724249999998</v>
      </c>
      <c r="G449" s="6">
        <f>[1]Results!J288</f>
        <v>48.267100839999998</v>
      </c>
      <c r="H449" s="6">
        <f>[1]Results!K288</f>
        <v>48.660366760000002</v>
      </c>
      <c r="I449" s="6">
        <f>[1]Results!L288</f>
        <v>49.103595939999998</v>
      </c>
      <c r="J449" s="6">
        <f>[1]Results!M288</f>
        <v>49.590460669999999</v>
      </c>
      <c r="K449" s="6">
        <f>[1]Results!N288</f>
        <v>50.111121189999999</v>
      </c>
      <c r="L449" s="6">
        <f>[1]Results!O288</f>
        <v>50.657640229999998</v>
      </c>
      <c r="M449" s="6">
        <f>[1]Results!P288</f>
        <v>51.255802350000003</v>
      </c>
      <c r="N449" s="6">
        <f>[1]Results!Q288</f>
        <v>51.854426930000002</v>
      </c>
      <c r="O449" s="6">
        <f>[1]Results!R288</f>
        <v>52.462119370000003</v>
      </c>
      <c r="P449" s="6">
        <f>[1]Results!S288</f>
        <v>53.078812890000002</v>
      </c>
      <c r="Q449" s="6">
        <f>[1]Results!T288</f>
        <v>53.70341105</v>
      </c>
      <c r="R449" s="6">
        <f>[1]Results!U288</f>
        <v>54.335027220000001</v>
      </c>
      <c r="S449" s="6">
        <f>[1]Results!V288</f>
        <v>54.973226940000004</v>
      </c>
      <c r="T449" s="6">
        <f>[1]Results!W288</f>
        <v>55.617577369999999</v>
      </c>
      <c r="U449" s="6">
        <f>[1]Results!X288</f>
        <v>56.267891460000001</v>
      </c>
      <c r="V449" s="6">
        <f>[1]Results!Y288</f>
        <v>56.924084329999999</v>
      </c>
      <c r="W449" s="6">
        <f>[1]Results!Z288</f>
        <v>57.562780879999998</v>
      </c>
      <c r="X449" s="6">
        <f>[1]Results!AA288</f>
        <v>58.219106650000001</v>
      </c>
      <c r="Y449" s="6">
        <f>[1]Results!AB288</f>
        <v>58.884537729999998</v>
      </c>
      <c r="Z449" s="6">
        <f>[1]Results!AC288</f>
        <v>59.557676469999997</v>
      </c>
      <c r="AA449" s="6">
        <f>[1]Results!AD288</f>
        <v>60.238319339999997</v>
      </c>
      <c r="AB449" s="6">
        <f>[1]Results!AE288</f>
        <v>60.859065630000003</v>
      </c>
      <c r="AC449" s="6">
        <f>[1]Results!AF288</f>
        <v>61.489277489999999</v>
      </c>
      <c r="AD449" s="6">
        <f>[1]Results!AG288</f>
        <v>62.120003750000002</v>
      </c>
      <c r="AE449" s="6">
        <f>[1]Results!AH288</f>
        <v>62.75129269</v>
      </c>
      <c r="AF449" s="6">
        <f>[1]Results!AI288</f>
        <v>63.384670610000001</v>
      </c>
      <c r="AG449" s="6">
        <f>[1]Results!AJ288</f>
        <v>64.021700039999999</v>
      </c>
      <c r="AH449" s="6">
        <f>[1]Results!AK288</f>
        <v>64.663646040000003</v>
      </c>
      <c r="AI449" s="6">
        <f>[1]Results!AL288</f>
        <v>65.311546030000002</v>
      </c>
      <c r="AJ449" s="6">
        <f>[1]Results!AM288</f>
        <v>65.966144720000003</v>
      </c>
      <c r="AK449" s="6">
        <f>[1]Results!AN288</f>
        <v>66.627969370000002</v>
      </c>
      <c r="AL449" s="6">
        <f>[1]Results!AO288</f>
        <v>67.297386410000001</v>
      </c>
      <c r="AM449" s="6">
        <f>[1]Results!AP288</f>
        <v>67.958060349999997</v>
      </c>
      <c r="AN449" s="6">
        <f>[1]Results!AQ288</f>
        <v>68.618582770000003</v>
      </c>
      <c r="AO449" s="6">
        <f>[1]Results!AR288</f>
        <v>69.281316840000002</v>
      </c>
      <c r="AP449" s="6">
        <f>[1]Results!AS288</f>
        <v>69.947562410000003</v>
      </c>
      <c r="AQ449" s="6">
        <f>[1]Results!AT288</f>
        <v>70.618405030000005</v>
      </c>
      <c r="AR449" s="6">
        <f>[1]Results!AU288</f>
        <v>71.294746709999998</v>
      </c>
      <c r="AS449" s="6">
        <f>[1]Results!AV288</f>
        <v>71.977460480000005</v>
      </c>
      <c r="AT449" s="6">
        <f>[1]Results!AW288</f>
        <v>72.667220240000006</v>
      </c>
      <c r="AU449" s="6">
        <f>[1]Results!AX288</f>
        <v>73.364540050000002</v>
      </c>
      <c r="AV449" s="6">
        <f>[1]Results!AY288</f>
        <v>74.069795760000005</v>
      </c>
      <c r="AW449" s="6">
        <f>[1]Results!AZ288</f>
        <v>74.781159009999996</v>
      </c>
      <c r="AX449" s="6">
        <f>[1]Results!BA288</f>
        <v>75.499819770000002</v>
      </c>
      <c r="AY449" s="6">
        <f>[1]Results!BB288</f>
        <v>76.227161100000004</v>
      </c>
      <c r="AZ449" s="6">
        <f>[1]Results!BC288</f>
        <v>76.964011749999997</v>
      </c>
      <c r="BA449" s="6">
        <f>[1]Results!BD288</f>
        <v>77.710815350000004</v>
      </c>
      <c r="BB449" s="6">
        <f>[1]Results!BE288</f>
        <v>85.552448339999998</v>
      </c>
      <c r="BC449" s="6">
        <f>[1]Results!BF288</f>
        <v>86.679266389999995</v>
      </c>
      <c r="BD449" s="6">
        <f>[1]Results!BG288</f>
        <v>87.82308707</v>
      </c>
      <c r="BE449" s="6">
        <f>[1]Results!BH288</f>
        <v>88.984520930000002</v>
      </c>
      <c r="BF449" s="6">
        <f>[1]Results!BI288</f>
        <v>90.16421339</v>
      </c>
    </row>
    <row r="450" spans="1:58" x14ac:dyDescent="0.35">
      <c r="B450" s="6" t="str">
        <f>[1]Results!E291</f>
        <v>CF_toe_cfuh_2</v>
      </c>
      <c r="C450" s="6">
        <f>[1]Results!F291</f>
        <v>14.84041421</v>
      </c>
      <c r="D450" s="6">
        <f>[1]Results!G291</f>
        <v>14.96236942</v>
      </c>
      <c r="E450" s="6">
        <f>[1]Results!H291</f>
        <v>15.05237698</v>
      </c>
      <c r="F450" s="6">
        <f>[1]Results!I291</f>
        <v>15.13507611</v>
      </c>
      <c r="G450" s="6">
        <f>[1]Results!J291</f>
        <v>15.22207107</v>
      </c>
      <c r="H450" s="6">
        <f>[1]Results!K291</f>
        <v>15.317699340000001</v>
      </c>
      <c r="I450" s="6">
        <f>[1]Results!L291</f>
        <v>15.415443420000001</v>
      </c>
      <c r="J450" s="6">
        <f>[1]Results!M291</f>
        <v>15.51866184</v>
      </c>
      <c r="K450" s="6">
        <f>[1]Results!N291</f>
        <v>15.627332450000001</v>
      </c>
      <c r="L450" s="6">
        <f>[1]Results!O291</f>
        <v>15.740749859999999</v>
      </c>
      <c r="M450" s="6">
        <f>[1]Results!P291</f>
        <v>15.870692160000001</v>
      </c>
      <c r="N450" s="6">
        <f>[1]Results!Q291</f>
        <v>15.996945520000001</v>
      </c>
      <c r="O450" s="6">
        <f>[1]Results!R291</f>
        <v>16.124189080000001</v>
      </c>
      <c r="P450" s="6">
        <f>[1]Results!S291</f>
        <v>16.253437730000002</v>
      </c>
      <c r="Q450" s="6">
        <f>[1]Results!T291</f>
        <v>16.38491423</v>
      </c>
      <c r="R450" s="6">
        <f>[1]Results!U291</f>
        <v>16.51864883</v>
      </c>
      <c r="S450" s="6">
        <f>[1]Results!V291</f>
        <v>16.654785619999998</v>
      </c>
      <c r="T450" s="6">
        <f>[1]Results!W291</f>
        <v>16.793241349999999</v>
      </c>
      <c r="U450" s="6">
        <f>[1]Results!X291</f>
        <v>16.93397951</v>
      </c>
      <c r="V450" s="6">
        <f>[1]Results!Y291</f>
        <v>17.076991570000001</v>
      </c>
      <c r="W450" s="6">
        <f>[1]Results!Z291</f>
        <v>17.21331185</v>
      </c>
      <c r="X450" s="6">
        <f>[1]Results!AA291</f>
        <v>17.35723522</v>
      </c>
      <c r="Y450" s="6">
        <f>[1]Results!AB291</f>
        <v>17.505096829999999</v>
      </c>
      <c r="Z450" s="6">
        <f>[1]Results!AC291</f>
        <v>17.655998520000001</v>
      </c>
      <c r="AA450" s="6">
        <f>[1]Results!AD291</f>
        <v>17.80965467</v>
      </c>
      <c r="AB450" s="6">
        <f>[1]Results!AE291</f>
        <v>17.940362780000001</v>
      </c>
      <c r="AC450" s="6">
        <f>[1]Results!AF291</f>
        <v>18.076521060000001</v>
      </c>
      <c r="AD450" s="6">
        <f>[1]Results!AG291</f>
        <v>18.214607820000001</v>
      </c>
      <c r="AE450" s="6">
        <f>[1]Results!AH291</f>
        <v>18.354143969999999</v>
      </c>
      <c r="AF450" s="6">
        <f>[1]Results!AI291</f>
        <v>18.495221999999998</v>
      </c>
      <c r="AG450" s="6">
        <f>[1]Results!AJ291</f>
        <v>18.638024229999999</v>
      </c>
      <c r="AH450" s="6">
        <f>[1]Results!AK291</f>
        <v>18.782678860000001</v>
      </c>
      <c r="AI450" s="6">
        <f>[1]Results!AL291</f>
        <v>18.929351230000002</v>
      </c>
      <c r="AJ450" s="6">
        <f>[1]Results!AM291</f>
        <v>19.078169070000001</v>
      </c>
      <c r="AK450" s="6">
        <f>[1]Results!AN291</f>
        <v>19.229230260000001</v>
      </c>
      <c r="AL450" s="6">
        <f>[1]Results!AO291</f>
        <v>19.382607360000002</v>
      </c>
      <c r="AM450" s="6">
        <f>[1]Results!AP291</f>
        <v>19.53193744</v>
      </c>
      <c r="AN450" s="6">
        <f>[1]Results!AQ291</f>
        <v>19.680944839999999</v>
      </c>
      <c r="AO450" s="6">
        <f>[1]Results!AR291</f>
        <v>19.830801340000001</v>
      </c>
      <c r="AP450" s="6">
        <f>[1]Results!AS291</f>
        <v>19.982042929999999</v>
      </c>
      <c r="AQ450" s="6">
        <f>[1]Results!AT291</f>
        <v>20.134983900000002</v>
      </c>
      <c r="AR450" s="6">
        <f>[1]Results!AU291</f>
        <v>20.28976329</v>
      </c>
      <c r="AS450" s="6">
        <f>[1]Results!AV291</f>
        <v>20.446560399999999</v>
      </c>
      <c r="AT450" s="6">
        <f>[1]Results!AW291</f>
        <v>20.605500979999999</v>
      </c>
      <c r="AU450" s="6">
        <f>[1]Results!AX291</f>
        <v>20.76667703</v>
      </c>
      <c r="AV450" s="6">
        <f>[1]Results!AY291</f>
        <v>20.930155249999999</v>
      </c>
      <c r="AW450" s="6">
        <f>[1]Results!AZ291</f>
        <v>21.094366430000001</v>
      </c>
      <c r="AX450" s="6">
        <f>[1]Results!BA291</f>
        <v>21.25977988</v>
      </c>
      <c r="AY450" s="6">
        <f>[1]Results!BB291</f>
        <v>21.427170270000001</v>
      </c>
      <c r="AZ450" s="6">
        <f>[1]Results!BC291</f>
        <v>21.59717199</v>
      </c>
      <c r="BA450" s="6">
        <f>[1]Results!BD291</f>
        <v>21.770227940000002</v>
      </c>
      <c r="BB450" s="6">
        <f>[1]Results!BE291</f>
        <v>23.280117629999999</v>
      </c>
      <c r="BC450" s="6">
        <f>[1]Results!BF291</f>
        <v>23.549838619999999</v>
      </c>
      <c r="BD450" s="6">
        <f>[1]Results!BG291</f>
        <v>23.823821410000001</v>
      </c>
      <c r="BE450" s="6">
        <f>[1]Results!BH291</f>
        <v>24.102147460000001</v>
      </c>
      <c r="BF450" s="6">
        <f>[1]Results!BI291</f>
        <v>24.384922530000001</v>
      </c>
    </row>
    <row r="451" spans="1:58" x14ac:dyDescent="0.35">
      <c r="B451" s="6" t="str">
        <f>[1]Results!E293</f>
        <v>CF_toe_cgas_2</v>
      </c>
      <c r="C451" s="6">
        <f>[1]Results!F293</f>
        <v>34.460566270000001</v>
      </c>
      <c r="D451" s="6">
        <f>[1]Results!G293</f>
        <v>34.79745793</v>
      </c>
      <c r="E451" s="6">
        <f>[1]Results!H293</f>
        <v>35.100399090000003</v>
      </c>
      <c r="F451" s="6">
        <f>[1]Results!I293</f>
        <v>35.402510739999997</v>
      </c>
      <c r="G451" s="6">
        <f>[1]Results!J293</f>
        <v>35.720910779999997</v>
      </c>
      <c r="H451" s="6">
        <f>[1]Results!K293</f>
        <v>36.062324070000003</v>
      </c>
      <c r="I451" s="6">
        <f>[1]Results!L293</f>
        <v>36.40743896</v>
      </c>
      <c r="J451" s="6">
        <f>[1]Results!M293</f>
        <v>36.766265679999997</v>
      </c>
      <c r="K451" s="6">
        <f>[1]Results!N293</f>
        <v>37.139452030000001</v>
      </c>
      <c r="L451" s="6">
        <f>[1]Results!O293</f>
        <v>37.525662699999998</v>
      </c>
      <c r="M451" s="6">
        <f>[1]Results!P293</f>
        <v>37.95839033</v>
      </c>
      <c r="N451" s="6">
        <f>[1]Results!Q293</f>
        <v>38.380828229999999</v>
      </c>
      <c r="O451" s="6">
        <f>[1]Results!R293</f>
        <v>38.806578930000001</v>
      </c>
      <c r="P451" s="6">
        <f>[1]Results!S293</f>
        <v>39.238208819999997</v>
      </c>
      <c r="Q451" s="6">
        <f>[1]Results!T293</f>
        <v>39.676112680000003</v>
      </c>
      <c r="R451" s="6">
        <f>[1]Results!U293</f>
        <v>40.120207700000002</v>
      </c>
      <c r="S451" s="6">
        <f>[1]Results!V293</f>
        <v>40.570547140000002</v>
      </c>
      <c r="T451" s="6">
        <f>[1]Results!W293</f>
        <v>41.0269756</v>
      </c>
      <c r="U451" s="6">
        <f>[1]Results!X293</f>
        <v>41.489422740000002</v>
      </c>
      <c r="V451" s="6">
        <f>[1]Results!Y293</f>
        <v>41.957903770000001</v>
      </c>
      <c r="W451" s="6">
        <f>[1]Results!Z293</f>
        <v>42.407033349999999</v>
      </c>
      <c r="X451" s="6">
        <f>[1]Results!AA293</f>
        <v>42.877358229999999</v>
      </c>
      <c r="Y451" s="6">
        <f>[1]Results!AB293</f>
        <v>43.358292980000002</v>
      </c>
      <c r="Z451" s="6">
        <f>[1]Results!AC293</f>
        <v>43.847524610000001</v>
      </c>
      <c r="AA451" s="6">
        <f>[1]Results!AD293</f>
        <v>44.34439098</v>
      </c>
      <c r="AB451" s="6">
        <f>[1]Results!AE293</f>
        <v>44.775791179999999</v>
      </c>
      <c r="AC451" s="6">
        <f>[1]Results!AF293</f>
        <v>45.222570019999999</v>
      </c>
      <c r="AD451" s="6">
        <f>[1]Results!AG293</f>
        <v>45.673887039999997</v>
      </c>
      <c r="AE451" s="6">
        <f>[1]Results!AH293</f>
        <v>46.128513769999998</v>
      </c>
      <c r="AF451" s="6">
        <f>[1]Results!AI293</f>
        <v>46.58686453</v>
      </c>
      <c r="AG451" s="6">
        <f>[1]Results!AJ293</f>
        <v>47.049591509999999</v>
      </c>
      <c r="AH451" s="6">
        <f>[1]Results!AK293</f>
        <v>47.517256400000001</v>
      </c>
      <c r="AI451" s="6">
        <f>[1]Results!AL293</f>
        <v>47.990416279999998</v>
      </c>
      <c r="AJ451" s="6">
        <f>[1]Results!AM293</f>
        <v>48.469540199999997</v>
      </c>
      <c r="AK451" s="6">
        <f>[1]Results!AN293</f>
        <v>48.955006849999997</v>
      </c>
      <c r="AL451" s="6">
        <f>[1]Results!AO293</f>
        <v>49.447112390000001</v>
      </c>
      <c r="AM451" s="6">
        <f>[1]Results!AP293</f>
        <v>49.928318990000001</v>
      </c>
      <c r="AN451" s="6">
        <f>[1]Results!AQ293</f>
        <v>50.408893919999997</v>
      </c>
      <c r="AO451" s="6">
        <f>[1]Results!AR293</f>
        <v>50.89187459</v>
      </c>
      <c r="AP451" s="6">
        <f>[1]Results!AS293</f>
        <v>51.378668140000002</v>
      </c>
      <c r="AQ451" s="6">
        <f>[1]Results!AT293</f>
        <v>51.870161009999997</v>
      </c>
      <c r="AR451" s="6">
        <f>[1]Results!AU293</f>
        <v>52.366901120000001</v>
      </c>
      <c r="AS451" s="6">
        <f>[1]Results!AV293</f>
        <v>52.869408730000004</v>
      </c>
      <c r="AT451" s="6">
        <f>[1]Results!AW293</f>
        <v>53.378101010000002</v>
      </c>
      <c r="AU451" s="6">
        <f>[1]Results!AX293</f>
        <v>53.893307249999999</v>
      </c>
      <c r="AV451" s="6">
        <f>[1]Results!AY293</f>
        <v>54.41528503</v>
      </c>
      <c r="AW451" s="6">
        <f>[1]Results!AZ293</f>
        <v>54.941215739999997</v>
      </c>
      <c r="AX451" s="6">
        <f>[1]Results!BA293</f>
        <v>55.470623459999999</v>
      </c>
      <c r="AY451" s="6">
        <f>[1]Results!BB293</f>
        <v>56.005148949999999</v>
      </c>
      <c r="AZ451" s="6">
        <f>[1]Results!BC293</f>
        <v>56.54662622</v>
      </c>
      <c r="BA451" s="6">
        <f>[1]Results!BD293</f>
        <v>57.096478390000001</v>
      </c>
      <c r="BB451" s="6">
        <f>[1]Results!BE293</f>
        <v>60.448364050000002</v>
      </c>
      <c r="BC451" s="6">
        <f>[1]Results!BF293</f>
        <v>61.25071707</v>
      </c>
      <c r="BD451" s="6">
        <f>[1]Results!BG293</f>
        <v>62.065198590000001</v>
      </c>
      <c r="BE451" s="6">
        <f>[1]Results!BH293</f>
        <v>62.89208069</v>
      </c>
      <c r="BF451" s="6">
        <f>[1]Results!BI293</f>
        <v>63.731686179999997</v>
      </c>
    </row>
    <row r="452" spans="1:58" x14ac:dyDescent="0.35">
      <c r="B452" s="6" t="str">
        <f>[1]Results!E299</f>
        <v>CF_toe_cele_2</v>
      </c>
      <c r="C452" s="6">
        <f>[1]Results!F299</f>
        <v>37.996847889999998</v>
      </c>
      <c r="D452" s="6">
        <f>[1]Results!G299</f>
        <v>38.326573639999999</v>
      </c>
      <c r="E452" s="6">
        <f>[1]Results!H299</f>
        <v>38.609408039999998</v>
      </c>
      <c r="F452" s="6">
        <f>[1]Results!I299</f>
        <v>38.895587399999997</v>
      </c>
      <c r="G452" s="6">
        <f>[1]Results!J299</f>
        <v>39.2069397</v>
      </c>
      <c r="H452" s="6">
        <f>[1]Results!K299</f>
        <v>39.549397120000002</v>
      </c>
      <c r="I452" s="6">
        <f>[1]Results!L299</f>
        <v>39.901999930000002</v>
      </c>
      <c r="J452" s="6">
        <f>[1]Results!M299</f>
        <v>40.271065909999997</v>
      </c>
      <c r="K452" s="6">
        <f>[1]Results!N299</f>
        <v>40.655175989999996</v>
      </c>
      <c r="L452" s="6">
        <f>[1]Results!O299</f>
        <v>41.052073399999998</v>
      </c>
      <c r="M452" s="6">
        <f>[1]Results!P299</f>
        <v>41.493713749999998</v>
      </c>
      <c r="N452" s="6">
        <f>[1]Results!Q299</f>
        <v>41.925813310000002</v>
      </c>
      <c r="O452" s="6">
        <f>[1]Results!R299</f>
        <v>42.360969169999997</v>
      </c>
      <c r="P452" s="6">
        <f>[1]Results!S299</f>
        <v>42.801630070000002</v>
      </c>
      <c r="Q452" s="6">
        <f>[1]Results!T299</f>
        <v>43.24824641</v>
      </c>
      <c r="R452" s="6">
        <f>[1]Results!U299</f>
        <v>43.700862530000002</v>
      </c>
      <c r="S452" s="6">
        <f>[1]Results!V299</f>
        <v>44.159644620000002</v>
      </c>
      <c r="T452" s="6">
        <f>[1]Results!W299</f>
        <v>44.624552549999997</v>
      </c>
      <c r="U452" s="6">
        <f>[1]Results!X299</f>
        <v>45.09563009</v>
      </c>
      <c r="V452" s="6">
        <f>[1]Results!Y299</f>
        <v>45.573008090000002</v>
      </c>
      <c r="W452" s="6">
        <f>[1]Results!Z299</f>
        <v>46.032038129999997</v>
      </c>
      <c r="X452" s="6">
        <f>[1]Results!AA299</f>
        <v>46.512067799999997</v>
      </c>
      <c r="Y452" s="6">
        <f>[1]Results!AB299</f>
        <v>47.0034274</v>
      </c>
      <c r="Z452" s="6">
        <f>[1]Results!AC299</f>
        <v>47.504174990000003</v>
      </c>
      <c r="AA452" s="6">
        <f>[1]Results!AD299</f>
        <v>48.013938930000002</v>
      </c>
      <c r="AB452" s="6">
        <f>[1]Results!AE299</f>
        <v>48.461275630000003</v>
      </c>
      <c r="AC452" s="6">
        <f>[1]Results!AF299</f>
        <v>48.924639650000003</v>
      </c>
      <c r="AD452" s="6">
        <f>[1]Results!AG299</f>
        <v>49.394593389999997</v>
      </c>
      <c r="AE452" s="6">
        <f>[1]Results!AH299</f>
        <v>49.870623590000001</v>
      </c>
      <c r="AF452" s="6">
        <f>[1]Results!AI299</f>
        <v>50.353734959999997</v>
      </c>
      <c r="AG452" s="6">
        <f>[1]Results!AJ299</f>
        <v>50.845047059999999</v>
      </c>
      <c r="AH452" s="6">
        <f>[1]Results!AK299</f>
        <v>51.345465799999999</v>
      </c>
      <c r="AI452" s="6">
        <f>[1]Results!AL299</f>
        <v>51.855748939999998</v>
      </c>
      <c r="AJ452" s="6">
        <f>[1]Results!AM299</f>
        <v>52.376437260000003</v>
      </c>
      <c r="AK452" s="6">
        <f>[1]Results!AN299</f>
        <v>52.907876799999997</v>
      </c>
      <c r="AL452" s="6">
        <f>[1]Results!AO299</f>
        <v>53.450252689999999</v>
      </c>
      <c r="AM452" s="6">
        <f>[1]Results!AP299</f>
        <v>53.986080989999998</v>
      </c>
      <c r="AN452" s="6">
        <f>[1]Results!AQ299</f>
        <v>54.525126960000001</v>
      </c>
      <c r="AO452" s="6">
        <f>[1]Results!AR299</f>
        <v>55.070292899999998</v>
      </c>
      <c r="AP452" s="6">
        <f>[1]Results!AS299</f>
        <v>55.62290677</v>
      </c>
      <c r="AQ452" s="6">
        <f>[1]Results!AT299</f>
        <v>56.183797470000002</v>
      </c>
      <c r="AR452" s="6">
        <f>[1]Results!AU299</f>
        <v>56.753480209999999</v>
      </c>
      <c r="AS452" s="6">
        <f>[1]Results!AV299</f>
        <v>57.332416539999997</v>
      </c>
      <c r="AT452" s="6">
        <f>[1]Results!AW299</f>
        <v>57.920935129999997</v>
      </c>
      <c r="AU452" s="6">
        <f>[1]Results!AX299</f>
        <v>58.51925129</v>
      </c>
      <c r="AV452" s="6">
        <f>[1]Results!AY299</f>
        <v>59.127488880000001</v>
      </c>
      <c r="AW452" s="6">
        <f>[1]Results!AZ299</f>
        <v>59.742175510000003</v>
      </c>
      <c r="AX452" s="6">
        <f>[1]Results!BA299</f>
        <v>60.363694760000001</v>
      </c>
      <c r="AY452" s="6">
        <f>[1]Results!BB299</f>
        <v>60.994737530000002</v>
      </c>
      <c r="AZ452" s="6">
        <f>[1]Results!BC299</f>
        <v>61.637873589999998</v>
      </c>
      <c r="BA452" s="6">
        <f>[1]Results!BD299</f>
        <v>62.294860630000002</v>
      </c>
      <c r="BB452" s="6">
        <f>[1]Results!BE299</f>
        <v>64.359417219999997</v>
      </c>
      <c r="BC452" s="6">
        <f>[1]Results!BF299</f>
        <v>65.209907079999994</v>
      </c>
      <c r="BD452" s="6">
        <f>[1]Results!BG299</f>
        <v>66.075298020000005</v>
      </c>
      <c r="BE452" s="6">
        <f>[1]Results!BH299</f>
        <v>66.955731420000006</v>
      </c>
      <c r="BF452" s="6">
        <f>[1]Results!BI299</f>
        <v>67.851352849999998</v>
      </c>
    </row>
    <row r="453" spans="1:58" x14ac:dyDescent="0.35">
      <c r="B453" s="6" t="s">
        <v>75</v>
      </c>
      <c r="C453" s="6">
        <f>SUM(C454:C456)</f>
        <v>22.077234292</v>
      </c>
      <c r="D453" s="6">
        <f t="shared" ref="D453:AL453" si="271">SUM(D454:D456)</f>
        <v>22.233822044</v>
      </c>
      <c r="E453" s="6">
        <f t="shared" si="271"/>
        <v>22.400852172</v>
      </c>
      <c r="F453" s="6">
        <f t="shared" si="271"/>
        <v>22.586366752</v>
      </c>
      <c r="G453" s="6">
        <f t="shared" si="271"/>
        <v>22.789747941999998</v>
      </c>
      <c r="H453" s="6">
        <f t="shared" si="271"/>
        <v>23.008937439</v>
      </c>
      <c r="I453" s="6">
        <f t="shared" si="271"/>
        <v>23.226252035999998</v>
      </c>
      <c r="J453" s="6">
        <f t="shared" si="271"/>
        <v>23.448128115999999</v>
      </c>
      <c r="K453" s="6">
        <f t="shared" si="271"/>
        <v>23.67527458</v>
      </c>
      <c r="L453" s="6">
        <f t="shared" si="271"/>
        <v>23.907436534999999</v>
      </c>
      <c r="M453" s="6">
        <f t="shared" si="271"/>
        <v>24.169354665</v>
      </c>
      <c r="N453" s="6">
        <f t="shared" si="271"/>
        <v>24.419316215000002</v>
      </c>
      <c r="O453" s="6">
        <f t="shared" si="271"/>
        <v>24.668794808000001</v>
      </c>
      <c r="P453" s="6">
        <f t="shared" si="271"/>
        <v>24.920538532999998</v>
      </c>
      <c r="Q453" s="6">
        <f t="shared" si="271"/>
        <v>25.175387991999997</v>
      </c>
      <c r="R453" s="6">
        <f t="shared" si="271"/>
        <v>25.433648956999999</v>
      </c>
      <c r="S453" s="6">
        <f t="shared" si="271"/>
        <v>25.695350446999999</v>
      </c>
      <c r="T453" s="6">
        <f t="shared" si="271"/>
        <v>25.960560703999999</v>
      </c>
      <c r="U453" s="6">
        <f t="shared" si="271"/>
        <v>26.229403625</v>
      </c>
      <c r="V453" s="6">
        <f t="shared" si="271"/>
        <v>26.502017172999999</v>
      </c>
      <c r="W453" s="6">
        <f t="shared" si="271"/>
        <v>26.760582901999999</v>
      </c>
      <c r="X453" s="6">
        <f t="shared" si="271"/>
        <v>27.034908017999999</v>
      </c>
      <c r="Y453" s="6">
        <f t="shared" si="271"/>
        <v>27.316672154999999</v>
      </c>
      <c r="Z453" s="6">
        <f t="shared" si="271"/>
        <v>27.604006125999998</v>
      </c>
      <c r="AA453" s="6">
        <f t="shared" si="271"/>
        <v>27.89640807</v>
      </c>
      <c r="AB453" s="6">
        <f t="shared" si="271"/>
        <v>28.142715451999997</v>
      </c>
      <c r="AC453" s="6">
        <f t="shared" si="271"/>
        <v>28.403165897000001</v>
      </c>
      <c r="AD453" s="6">
        <f t="shared" si="271"/>
        <v>28.669189921000001</v>
      </c>
      <c r="AE453" s="6">
        <f t="shared" si="271"/>
        <v>28.939468560999998</v>
      </c>
      <c r="AF453" s="6">
        <f t="shared" si="271"/>
        <v>29.213967650999997</v>
      </c>
      <c r="AG453" s="6">
        <f t="shared" si="271"/>
        <v>29.492890979999999</v>
      </c>
      <c r="AH453" s="6">
        <f t="shared" si="271"/>
        <v>29.776481906999997</v>
      </c>
      <c r="AI453" s="6">
        <f t="shared" si="271"/>
        <v>30.064917343999998</v>
      </c>
      <c r="AJ453" s="6">
        <f t="shared" si="271"/>
        <v>30.358297674999999</v>
      </c>
      <c r="AK453" s="6">
        <f t="shared" si="271"/>
        <v>30.656664421999999</v>
      </c>
      <c r="AL453" s="6">
        <f t="shared" si="271"/>
        <v>30.960015019000004</v>
      </c>
      <c r="AM453" s="6">
        <f t="shared" ref="AM453:BC453" si="272">SUM(AM454:AM456)</f>
        <v>31.256601646</v>
      </c>
      <c r="AN453" s="6">
        <f t="shared" si="272"/>
        <v>31.554152668</v>
      </c>
      <c r="AO453" s="6">
        <f t="shared" si="272"/>
        <v>31.854596995000001</v>
      </c>
      <c r="AP453" s="6">
        <f t="shared" si="272"/>
        <v>32.158577299999997</v>
      </c>
      <c r="AQ453" s="6">
        <f t="shared" si="272"/>
        <v>32.466389452999998</v>
      </c>
      <c r="AR453" s="6">
        <f t="shared" si="272"/>
        <v>32.778252370000004</v>
      </c>
      <c r="AS453" s="6">
        <f t="shared" si="272"/>
        <v>33.094306682999999</v>
      </c>
      <c r="AT453" s="6">
        <f t="shared" si="272"/>
        <v>33.414634163000002</v>
      </c>
      <c r="AU453" s="6">
        <f t="shared" si="272"/>
        <v>33.739284451000003</v>
      </c>
      <c r="AV453" s="6">
        <f t="shared" si="272"/>
        <v>34.068285563000003</v>
      </c>
      <c r="AW453" s="6">
        <f t="shared" si="272"/>
        <v>34.402110592</v>
      </c>
      <c r="AX453" s="6">
        <f t="shared" si="272"/>
        <v>34.740826321</v>
      </c>
      <c r="AY453" s="6">
        <f t="shared" si="272"/>
        <v>35.084981095000003</v>
      </c>
      <c r="AZ453" s="6">
        <f t="shared" si="272"/>
        <v>35.434964401000002</v>
      </c>
      <c r="BA453" s="6">
        <f t="shared" si="272"/>
        <v>35.790971330999994</v>
      </c>
      <c r="BB453" s="6">
        <f t="shared" si="272"/>
        <v>37.541139481999998</v>
      </c>
      <c r="BC453" s="6">
        <f t="shared" si="272"/>
        <v>38.025049056999997</v>
      </c>
      <c r="BD453" s="6">
        <f t="shared" ref="BD453:BF453" si="273">SUM(BD454:BD456)</f>
        <v>38.517590014</v>
      </c>
      <c r="BE453" s="6">
        <f t="shared" si="273"/>
        <v>39.018840425</v>
      </c>
      <c r="BF453" s="6">
        <f t="shared" si="273"/>
        <v>39.528914427000004</v>
      </c>
    </row>
    <row r="454" spans="1:58" x14ac:dyDescent="0.35">
      <c r="B454" s="6" t="str">
        <f>[1]Results!E309</f>
        <v>CF_toe_chea_2</v>
      </c>
      <c r="C454" s="6">
        <f>[1]Results!F309</f>
        <v>5.1418784390000001</v>
      </c>
      <c r="D454" s="6">
        <f>[1]Results!G309</f>
        <v>5.2087932139999999</v>
      </c>
      <c r="E454" s="6">
        <f>[1]Results!H309</f>
        <v>5.276720235</v>
      </c>
      <c r="F454" s="6">
        <f>[1]Results!I309</f>
        <v>5.3446829620000003</v>
      </c>
      <c r="G454" s="6">
        <f>[1]Results!J309</f>
        <v>5.413241449</v>
      </c>
      <c r="H454" s="6">
        <f>[1]Results!K309</f>
        <v>5.4830244590000001</v>
      </c>
      <c r="I454" s="6">
        <f>[1]Results!L309</f>
        <v>5.5495175809999999</v>
      </c>
      <c r="J454" s="6">
        <f>[1]Results!M309</f>
        <v>5.6157184129999997</v>
      </c>
      <c r="K454" s="6">
        <f>[1]Results!N309</f>
        <v>5.6826408429999997</v>
      </c>
      <c r="L454" s="6">
        <f>[1]Results!O309</f>
        <v>5.750555758</v>
      </c>
      <c r="M454" s="6">
        <f>[1]Results!P309</f>
        <v>5.8276975179999999</v>
      </c>
      <c r="N454" s="6">
        <f>[1]Results!Q309</f>
        <v>5.9007856810000003</v>
      </c>
      <c r="O454" s="6">
        <f>[1]Results!R309</f>
        <v>5.9727854660000004</v>
      </c>
      <c r="P454" s="6">
        <f>[1]Results!S309</f>
        <v>6.0446846799999996</v>
      </c>
      <c r="Q454" s="6">
        <f>[1]Results!T309</f>
        <v>6.1168447759999998</v>
      </c>
      <c r="R454" s="6">
        <f>[1]Results!U309</f>
        <v>6.1893984709999996</v>
      </c>
      <c r="S454" s="6">
        <f>[1]Results!V309</f>
        <v>6.2624199129999996</v>
      </c>
      <c r="T454" s="6">
        <f>[1]Results!W309</f>
        <v>6.3359089370000001</v>
      </c>
      <c r="U454" s="6">
        <f>[1]Results!X309</f>
        <v>6.4098538119999997</v>
      </c>
      <c r="V454" s="6">
        <f>[1]Results!Y309</f>
        <v>6.4842505499999996</v>
      </c>
      <c r="W454" s="6">
        <f>[1]Results!Z309</f>
        <v>6.5534097390000001</v>
      </c>
      <c r="X454" s="6">
        <f>[1]Results!AA309</f>
        <v>6.6264676790000001</v>
      </c>
      <c r="Y454" s="6">
        <f>[1]Results!AB309</f>
        <v>6.7012844920000001</v>
      </c>
      <c r="Z454" s="6">
        <f>[1]Results!AC309</f>
        <v>6.7771370089999996</v>
      </c>
      <c r="AA454" s="6">
        <f>[1]Results!AD309</f>
        <v>6.8537523240000002</v>
      </c>
      <c r="AB454" s="6">
        <f>[1]Results!AE309</f>
        <v>6.9151341830000002</v>
      </c>
      <c r="AC454" s="6">
        <f>[1]Results!AF309</f>
        <v>6.979209097</v>
      </c>
      <c r="AD454" s="6">
        <f>[1]Results!AG309</f>
        <v>7.0443935069999997</v>
      </c>
      <c r="AE454" s="6">
        <f>[1]Results!AH309</f>
        <v>7.1102874580000002</v>
      </c>
      <c r="AF454" s="6">
        <f>[1]Results!AI309</f>
        <v>7.1767854929999997</v>
      </c>
      <c r="AG454" s="6">
        <f>[1]Results!AJ309</f>
        <v>7.2438748999999998</v>
      </c>
      <c r="AH454" s="6">
        <f>[1]Results!AK309</f>
        <v>7.3115663639999999</v>
      </c>
      <c r="AI454" s="6">
        <f>[1]Results!AL309</f>
        <v>7.3798925300000002</v>
      </c>
      <c r="AJ454" s="6">
        <f>[1]Results!AM309</f>
        <v>7.4488863609999996</v>
      </c>
      <c r="AK454" s="6">
        <f>[1]Results!AN309</f>
        <v>7.5185741459999997</v>
      </c>
      <c r="AL454" s="6">
        <f>[1]Results!AO309</f>
        <v>7.5889744290000003</v>
      </c>
      <c r="AM454" s="6">
        <f>[1]Results!AP309</f>
        <v>7.6564428920000003</v>
      </c>
      <c r="AN454" s="6">
        <f>[1]Results!AQ309</f>
        <v>7.7231521919999997</v>
      </c>
      <c r="AO454" s="6">
        <f>[1]Results!AR309</f>
        <v>7.7899176179999996</v>
      </c>
      <c r="AP454" s="6">
        <f>[1]Results!AS309</f>
        <v>7.8570839540000001</v>
      </c>
      <c r="AQ454" s="6">
        <f>[1]Results!AT309</f>
        <v>7.9248046790000002</v>
      </c>
      <c r="AR454" s="6">
        <f>[1]Results!AU309</f>
        <v>7.9931354170000004</v>
      </c>
      <c r="AS454" s="6">
        <f>[1]Results!AV309</f>
        <v>8.0621157159999992</v>
      </c>
      <c r="AT454" s="6">
        <f>[1]Results!AW309</f>
        <v>8.1317711240000001</v>
      </c>
      <c r="AU454" s="6">
        <f>[1]Results!AX309</f>
        <v>8.2021172920000005</v>
      </c>
      <c r="AV454" s="6">
        <f>[1]Results!AY309</f>
        <v>8.2731634809999992</v>
      </c>
      <c r="AW454" s="6">
        <f>[1]Results!AZ309</f>
        <v>8.3447380770000006</v>
      </c>
      <c r="AX454" s="6">
        <f>[1]Results!BA309</f>
        <v>8.4166866949999992</v>
      </c>
      <c r="AY454" s="6">
        <f>[1]Results!BB309</f>
        <v>8.4891601110000003</v>
      </c>
      <c r="AZ454" s="6">
        <f>[1]Results!BC309</f>
        <v>8.5623535529999995</v>
      </c>
      <c r="BA454" s="6">
        <f>[1]Results!BD309</f>
        <v>8.6364202189999997</v>
      </c>
      <c r="BB454" s="6">
        <f>[1]Results!BE309</f>
        <v>8.5768502299999998</v>
      </c>
      <c r="BC454" s="6">
        <f>[1]Results!BF309</f>
        <v>8.666396185</v>
      </c>
      <c r="BD454" s="6">
        <f>[1]Results!BG309</f>
        <v>8.7572674819999996</v>
      </c>
      <c r="BE454" s="6">
        <f>[1]Results!BH309</f>
        <v>8.8494687390000006</v>
      </c>
      <c r="BF454" s="6">
        <f>[1]Results!BI309</f>
        <v>8.9430200129999999</v>
      </c>
    </row>
    <row r="455" spans="1:58" x14ac:dyDescent="0.35">
      <c r="B455" s="6" t="str">
        <f>[1]Results!E311</f>
        <v>CF_toe_cbio_2</v>
      </c>
      <c r="C455" s="6">
        <f>[1]Results!F311</f>
        <v>8.2042624590000006</v>
      </c>
      <c r="D455" s="6">
        <f>[1]Results!G311</f>
        <v>8.1841827029999994</v>
      </c>
      <c r="E455" s="6">
        <f>[1]Results!H311</f>
        <v>8.1617187409999996</v>
      </c>
      <c r="F455" s="6">
        <f>[1]Results!I311</f>
        <v>8.1484195219999993</v>
      </c>
      <c r="G455" s="6">
        <f>[1]Results!J311</f>
        <v>8.1442491300000004</v>
      </c>
      <c r="H455" s="6">
        <f>[1]Results!K311</f>
        <v>8.1475462479999994</v>
      </c>
      <c r="I455" s="6">
        <f>[1]Results!L311</f>
        <v>8.152655352</v>
      </c>
      <c r="J455" s="6">
        <f>[1]Results!M311</f>
        <v>8.1591947059999992</v>
      </c>
      <c r="K455" s="6">
        <f>[1]Results!N311</f>
        <v>8.1666223270000007</v>
      </c>
      <c r="L455" s="6">
        <f>[1]Results!O311</f>
        <v>8.1746570720000005</v>
      </c>
      <c r="M455" s="6">
        <f>[1]Results!P311</f>
        <v>8.1885578970000008</v>
      </c>
      <c r="N455" s="6">
        <f>[1]Results!Q311</f>
        <v>8.1998232439999992</v>
      </c>
      <c r="O455" s="6">
        <f>[1]Results!R311</f>
        <v>8.2104836619999997</v>
      </c>
      <c r="P455" s="6">
        <f>[1]Results!S311</f>
        <v>8.221330493</v>
      </c>
      <c r="Q455" s="6">
        <f>[1]Results!T311</f>
        <v>8.2327134359999992</v>
      </c>
      <c r="R455" s="6">
        <f>[1]Results!U311</f>
        <v>8.2447813360000008</v>
      </c>
      <c r="S455" s="6">
        <f>[1]Results!V311</f>
        <v>8.2574371939999995</v>
      </c>
      <c r="T455" s="6">
        <f>[1]Results!W311</f>
        <v>8.2707016969999998</v>
      </c>
      <c r="U455" s="6">
        <f>[1]Results!X311</f>
        <v>8.2846360929999996</v>
      </c>
      <c r="V455" s="6">
        <f>[1]Results!Y311</f>
        <v>8.2992944130000001</v>
      </c>
      <c r="W455" s="6">
        <f>[1]Results!Z311</f>
        <v>8.3110462429999998</v>
      </c>
      <c r="X455" s="6">
        <f>[1]Results!AA311</f>
        <v>8.3257250789999997</v>
      </c>
      <c r="Y455" s="6">
        <f>[1]Results!AB311</f>
        <v>8.3420016730000004</v>
      </c>
      <c r="Z455" s="6">
        <f>[1]Results!AC311</f>
        <v>8.3594315669999997</v>
      </c>
      <c r="AA455" s="6">
        <f>[1]Results!AD311</f>
        <v>8.3778384460000002</v>
      </c>
      <c r="AB455" s="6">
        <f>[1]Results!AE311</f>
        <v>8.3869187590000003</v>
      </c>
      <c r="AC455" s="6">
        <f>[1]Results!AF311</f>
        <v>8.3980698100000009</v>
      </c>
      <c r="AD455" s="6">
        <f>[1]Results!AG311</f>
        <v>8.4102893040000009</v>
      </c>
      <c r="AE455" s="6">
        <f>[1]Results!AH311</f>
        <v>8.4233193530000001</v>
      </c>
      <c r="AF455" s="6">
        <f>[1]Results!AI311</f>
        <v>8.4370920680000001</v>
      </c>
      <c r="AG455" s="6">
        <f>[1]Results!AJ311</f>
        <v>8.4515998799999998</v>
      </c>
      <c r="AH455" s="6">
        <f>[1]Results!AK311</f>
        <v>8.4668941429999993</v>
      </c>
      <c r="AI455" s="6">
        <f>[1]Results!AL311</f>
        <v>8.4829877039999992</v>
      </c>
      <c r="AJ455" s="6">
        <f>[1]Results!AM311</f>
        <v>8.4998740739999992</v>
      </c>
      <c r="AK455" s="6">
        <f>[1]Results!AN311</f>
        <v>8.5175405059999996</v>
      </c>
      <c r="AL455" s="6">
        <f>[1]Results!AO311</f>
        <v>8.5359717100000001</v>
      </c>
      <c r="AM455" s="6">
        <f>[1]Results!AP311</f>
        <v>8.5532236140000002</v>
      </c>
      <c r="AN455" s="6">
        <f>[1]Results!AQ311</f>
        <v>8.570595526</v>
      </c>
      <c r="AO455" s="6">
        <f>[1]Results!AR311</f>
        <v>8.5884144570000007</v>
      </c>
      <c r="AP455" s="6">
        <f>[1]Results!AS311</f>
        <v>8.6067491759999992</v>
      </c>
      <c r="AQ455" s="6">
        <f>[1]Results!AT311</f>
        <v>8.6256115540000007</v>
      </c>
      <c r="AR455" s="6">
        <f>[1]Results!AU311</f>
        <v>8.6450707530000006</v>
      </c>
      <c r="AS455" s="6">
        <f>[1]Results!AV311</f>
        <v>8.6651415469999993</v>
      </c>
      <c r="AT455" s="6">
        <f>[1]Results!AW311</f>
        <v>8.6858190190000002</v>
      </c>
      <c r="AU455" s="6">
        <f>[1]Results!AX311</f>
        <v>8.7070973489999997</v>
      </c>
      <c r="AV455" s="6">
        <f>[1]Results!AY311</f>
        <v>8.7289726820000002</v>
      </c>
      <c r="AW455" s="6">
        <f>[1]Results!AZ311</f>
        <v>8.7515851550000008</v>
      </c>
      <c r="AX455" s="6">
        <f>[1]Results!BA311</f>
        <v>8.7750337859999998</v>
      </c>
      <c r="AY455" s="6">
        <f>[1]Results!BB311</f>
        <v>8.7994208940000007</v>
      </c>
      <c r="AZ455" s="6">
        <f>[1]Results!BC311</f>
        <v>8.8247985379999996</v>
      </c>
      <c r="BA455" s="6">
        <f>[1]Results!BD311</f>
        <v>8.8511790220000002</v>
      </c>
      <c r="BB455" s="6">
        <f>[1]Results!BE311</f>
        <v>9.1587507319999997</v>
      </c>
      <c r="BC455" s="6">
        <f>[1]Results!BF311</f>
        <v>9.2090429220000001</v>
      </c>
      <c r="BD455" s="6">
        <f>[1]Results!BG311</f>
        <v>9.2606713220000003</v>
      </c>
      <c r="BE455" s="6">
        <f>[1]Results!BH311</f>
        <v>9.3136211660000008</v>
      </c>
      <c r="BF455" s="6">
        <f>[1]Results!BI311</f>
        <v>9.3679002540000003</v>
      </c>
    </row>
    <row r="456" spans="1:58" x14ac:dyDescent="0.35">
      <c r="B456" s="6" t="str">
        <f>[1]Results!E314</f>
        <v>CF_toe_cote_2</v>
      </c>
      <c r="C456" s="6">
        <f>[1]Results!F314</f>
        <v>8.7310933940000002</v>
      </c>
      <c r="D456" s="6">
        <f>[1]Results!G314</f>
        <v>8.8408461270000007</v>
      </c>
      <c r="E456" s="6">
        <f>[1]Results!H314</f>
        <v>8.962413196</v>
      </c>
      <c r="F456" s="6">
        <f>[1]Results!I314</f>
        <v>9.0932642680000004</v>
      </c>
      <c r="G456" s="6">
        <f>[1]Results!J314</f>
        <v>9.2322573630000004</v>
      </c>
      <c r="H456" s="6">
        <f>[1]Results!K314</f>
        <v>9.3783667319999999</v>
      </c>
      <c r="I456" s="6">
        <f>[1]Results!L314</f>
        <v>9.524079103</v>
      </c>
      <c r="J456" s="6">
        <f>[1]Results!M314</f>
        <v>9.6732149970000005</v>
      </c>
      <c r="K456" s="6">
        <f>[1]Results!N314</f>
        <v>9.8260114099999996</v>
      </c>
      <c r="L456" s="6">
        <f>[1]Results!O314</f>
        <v>9.9822237049999991</v>
      </c>
      <c r="M456" s="6">
        <f>[1]Results!P314</f>
        <v>10.15309925</v>
      </c>
      <c r="N456" s="6">
        <f>[1]Results!Q314</f>
        <v>10.318707290000001</v>
      </c>
      <c r="O456" s="6">
        <f>[1]Results!R314</f>
        <v>10.48552568</v>
      </c>
      <c r="P456" s="6">
        <f>[1]Results!S314</f>
        <v>10.654523360000001</v>
      </c>
      <c r="Q456" s="6">
        <f>[1]Results!T314</f>
        <v>10.825829779999999</v>
      </c>
      <c r="R456" s="6">
        <f>[1]Results!U314</f>
        <v>10.999469149999999</v>
      </c>
      <c r="S456" s="6">
        <f>[1]Results!V314</f>
        <v>11.175493339999999</v>
      </c>
      <c r="T456" s="6">
        <f>[1]Results!W314</f>
        <v>11.35395007</v>
      </c>
      <c r="U456" s="6">
        <f>[1]Results!X314</f>
        <v>11.53491372</v>
      </c>
      <c r="V456" s="6">
        <f>[1]Results!Y314</f>
        <v>11.71847221</v>
      </c>
      <c r="W456" s="6">
        <f>[1]Results!Z314</f>
        <v>11.89612692</v>
      </c>
      <c r="X456" s="6">
        <f>[1]Results!AA314</f>
        <v>12.082715260000001</v>
      </c>
      <c r="Y456" s="6">
        <f>[1]Results!AB314</f>
        <v>12.27338599</v>
      </c>
      <c r="Z456" s="6">
        <f>[1]Results!AC314</f>
        <v>12.46743755</v>
      </c>
      <c r="AA456" s="6">
        <f>[1]Results!AD314</f>
        <v>12.664817299999999</v>
      </c>
      <c r="AB456" s="6">
        <f>[1]Results!AE314</f>
        <v>12.84066251</v>
      </c>
      <c r="AC456" s="6">
        <f>[1]Results!AF314</f>
        <v>13.02588699</v>
      </c>
      <c r="AD456" s="6">
        <f>[1]Results!AG314</f>
        <v>13.21450711</v>
      </c>
      <c r="AE456" s="6">
        <f>[1]Results!AH314</f>
        <v>13.40586175</v>
      </c>
      <c r="AF456" s="6">
        <f>[1]Results!AI314</f>
        <v>13.60009009</v>
      </c>
      <c r="AG456" s="6">
        <f>[1]Results!AJ314</f>
        <v>13.797416200000001</v>
      </c>
      <c r="AH456" s="6">
        <f>[1]Results!AK314</f>
        <v>13.998021400000001</v>
      </c>
      <c r="AI456" s="6">
        <f>[1]Results!AL314</f>
        <v>14.202037109999999</v>
      </c>
      <c r="AJ456" s="6">
        <f>[1]Results!AM314</f>
        <v>14.409537240000001</v>
      </c>
      <c r="AK456" s="6">
        <f>[1]Results!AN314</f>
        <v>14.62054977</v>
      </c>
      <c r="AL456" s="6">
        <f>[1]Results!AO314</f>
        <v>14.83506888</v>
      </c>
      <c r="AM456" s="6">
        <f>[1]Results!AP314</f>
        <v>15.04693514</v>
      </c>
      <c r="AN456" s="6">
        <f>[1]Results!AQ314</f>
        <v>15.26040495</v>
      </c>
      <c r="AO456" s="6">
        <f>[1]Results!AR314</f>
        <v>15.47626492</v>
      </c>
      <c r="AP456" s="6">
        <f>[1]Results!AS314</f>
        <v>15.69474417</v>
      </c>
      <c r="AQ456" s="6">
        <f>[1]Results!AT314</f>
        <v>15.91597322</v>
      </c>
      <c r="AR456" s="6">
        <f>[1]Results!AU314</f>
        <v>16.1400462</v>
      </c>
      <c r="AS456" s="6">
        <f>[1]Results!AV314</f>
        <v>16.367049420000001</v>
      </c>
      <c r="AT456" s="6">
        <f>[1]Results!AW314</f>
        <v>16.597044019999998</v>
      </c>
      <c r="AU456" s="6">
        <f>[1]Results!AX314</f>
        <v>16.830069810000001</v>
      </c>
      <c r="AV456" s="6">
        <f>[1]Results!AY314</f>
        <v>17.0661494</v>
      </c>
      <c r="AW456" s="6">
        <f>[1]Results!AZ314</f>
        <v>17.30578736</v>
      </c>
      <c r="AX456" s="6">
        <f>[1]Results!BA314</f>
        <v>17.549105839999999</v>
      </c>
      <c r="AY456" s="6">
        <f>[1]Results!BB314</f>
        <v>17.796400089999999</v>
      </c>
      <c r="AZ456" s="6">
        <f>[1]Results!BC314</f>
        <v>18.047812310000001</v>
      </c>
      <c r="BA456" s="6">
        <f>[1]Results!BD314</f>
        <v>18.30337209</v>
      </c>
      <c r="BB456" s="6">
        <f>[1]Results!BE314</f>
        <v>19.805538519999999</v>
      </c>
      <c r="BC456" s="6">
        <f>[1]Results!BF314</f>
        <v>20.149609949999999</v>
      </c>
      <c r="BD456" s="6">
        <f>[1]Results!BG314</f>
        <v>20.49965121</v>
      </c>
      <c r="BE456" s="6">
        <f>[1]Results!BH314</f>
        <v>20.855750520000001</v>
      </c>
      <c r="BF456" s="6">
        <f>[1]Results!BI314</f>
        <v>21.21799416</v>
      </c>
    </row>
    <row r="457" spans="1:58" x14ac:dyDescent="0.35"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</row>
    <row r="458" spans="1:58" x14ac:dyDescent="0.35">
      <c r="A458" s="12" t="s">
        <v>93</v>
      </c>
      <c r="B458" s="6" t="str">
        <f>[1]Results!E317</f>
        <v>CF_toe_0</v>
      </c>
      <c r="C458" s="6">
        <f>[1]Results!F317</f>
        <v>162.33314920000001</v>
      </c>
      <c r="D458" s="6">
        <f>[1]Results!G317</f>
        <v>163.44032290000001</v>
      </c>
      <c r="E458" s="6">
        <f>[1]Results!H317</f>
        <v>164.4377059</v>
      </c>
      <c r="F458" s="6">
        <f>[1]Results!I317</f>
        <v>165.5311524</v>
      </c>
      <c r="G458" s="6">
        <f>[1]Results!J317</f>
        <v>166.77882679999999</v>
      </c>
      <c r="H458" s="6">
        <f>[1]Results!K317</f>
        <v>168.17428570000001</v>
      </c>
      <c r="I458" s="6">
        <f>[1]Results!L317</f>
        <v>169.63183599999999</v>
      </c>
      <c r="J458" s="6">
        <f>[1]Results!M317</f>
        <v>171.18029279999999</v>
      </c>
      <c r="K458" s="6">
        <f>[1]Results!N317</f>
        <v>172.8112433</v>
      </c>
      <c r="L458" s="6">
        <f>[1]Results!O317</f>
        <v>174.5113867</v>
      </c>
      <c r="M458" s="6">
        <f>[1]Results!P317</f>
        <v>176.4135019</v>
      </c>
      <c r="N458" s="6">
        <f>[1]Results!Q317</f>
        <v>178.28059479999999</v>
      </c>
      <c r="O458" s="6">
        <f>[1]Results!R317</f>
        <v>180.16569659999999</v>
      </c>
      <c r="P458" s="6">
        <f>[1]Results!S317</f>
        <v>182.07715640000001</v>
      </c>
      <c r="Q458" s="6">
        <f>[1]Results!T317</f>
        <v>184.01555239999999</v>
      </c>
      <c r="R458" s="6">
        <f>[1]Results!U317</f>
        <v>185.98094470000001</v>
      </c>
      <c r="S458" s="6">
        <f>[1]Results!V317</f>
        <v>187.97343219999999</v>
      </c>
      <c r="T458" s="6">
        <f>[1]Results!W317</f>
        <v>189.99309289999999</v>
      </c>
      <c r="U458" s="6">
        <f>[1]Results!X317</f>
        <v>192.0399515</v>
      </c>
      <c r="V458" s="6">
        <f>[1]Results!Y317</f>
        <v>194.1140053</v>
      </c>
      <c r="W458" s="6">
        <f>[1]Results!Z317</f>
        <v>196.10985350000001</v>
      </c>
      <c r="X458" s="6">
        <f>[1]Results!AA317</f>
        <v>198.19412299999999</v>
      </c>
      <c r="Y458" s="6">
        <f>[1]Results!AB317</f>
        <v>200.32326470000001</v>
      </c>
      <c r="Z458" s="6">
        <f>[1]Results!AC317</f>
        <v>202.48815759999999</v>
      </c>
      <c r="AA458" s="6">
        <f>[1]Results!AD317</f>
        <v>204.68662140000001</v>
      </c>
      <c r="AB458" s="6">
        <f>[1]Results!AE317</f>
        <v>206.61591039999999</v>
      </c>
      <c r="AC458" s="6">
        <f>[1]Results!AF317</f>
        <v>208.61005109999999</v>
      </c>
      <c r="AD458" s="6">
        <f>[1]Results!AG317</f>
        <v>210.62494570000001</v>
      </c>
      <c r="AE458" s="6">
        <f>[1]Results!AH317</f>
        <v>212.65682340000001</v>
      </c>
      <c r="AF458" s="6">
        <f>[1]Results!AI317</f>
        <v>214.7089503</v>
      </c>
      <c r="AG458" s="6">
        <f>[1]Results!AJ317</f>
        <v>216.78542049999999</v>
      </c>
      <c r="AH458" s="6">
        <f>[1]Results!AK317</f>
        <v>218.88987159999999</v>
      </c>
      <c r="AI458" s="6">
        <f>[1]Results!AL317</f>
        <v>221.02521859999999</v>
      </c>
      <c r="AJ458" s="6">
        <f>[1]Results!AM317</f>
        <v>223.1936527</v>
      </c>
      <c r="AK458" s="6">
        <f>[1]Results!AN317</f>
        <v>225.39673139999999</v>
      </c>
      <c r="AL458" s="6">
        <f>[1]Results!AO317</f>
        <v>227.6354997</v>
      </c>
      <c r="AM458" s="6">
        <f>[1]Results!AP317</f>
        <v>229.83877100000001</v>
      </c>
      <c r="AN458" s="6">
        <f>[1]Results!AQ317</f>
        <v>232.0479641</v>
      </c>
      <c r="AO458" s="6">
        <f>[1]Results!AR317</f>
        <v>234.28066340000001</v>
      </c>
      <c r="AP458" s="6">
        <f>[1]Results!AS317</f>
        <v>236.54629349999999</v>
      </c>
      <c r="AQ458" s="6">
        <f>[1]Results!AT317</f>
        <v>238.84837730000001</v>
      </c>
      <c r="AR458" s="6">
        <f>[1]Results!AU317</f>
        <v>241.17380979999999</v>
      </c>
      <c r="AS458" s="6">
        <f>[1]Results!AV317</f>
        <v>243.51704580000001</v>
      </c>
      <c r="AT458" s="6">
        <f>[1]Results!AW317</f>
        <v>245.87738519999999</v>
      </c>
      <c r="AU458" s="6">
        <f>[1]Results!AX317</f>
        <v>248.25934509999999</v>
      </c>
      <c r="AV458" s="6">
        <f>[1]Results!AY317</f>
        <v>250.67009719999999</v>
      </c>
      <c r="AW458" s="6">
        <f>[1]Results!AZ317</f>
        <v>253.1229592</v>
      </c>
      <c r="AX458" s="6">
        <f>[1]Results!BA317</f>
        <v>255.61937019999999</v>
      </c>
      <c r="AY458" s="6">
        <f>[1]Results!BB317</f>
        <v>258.16143949999997</v>
      </c>
      <c r="AZ458" s="6">
        <f>[1]Results!BC317</f>
        <v>260.75023579999998</v>
      </c>
      <c r="BA458" s="6">
        <f>[1]Results!BD317</f>
        <v>263.385919</v>
      </c>
      <c r="BB458" s="6">
        <f>[1]Results!BE317</f>
        <v>285.81156920000001</v>
      </c>
      <c r="BC458" s="6">
        <f>[1]Results!BF317</f>
        <v>289.59841449999999</v>
      </c>
      <c r="BD458" s="6">
        <f>[1]Results!BG317</f>
        <v>293.44403879999999</v>
      </c>
      <c r="BE458" s="6">
        <f>[1]Results!BH317</f>
        <v>297.34999809999999</v>
      </c>
      <c r="BF458" s="6">
        <f>[1]Results!BI317</f>
        <v>301.31780850000001</v>
      </c>
    </row>
    <row r="459" spans="1:58" x14ac:dyDescent="0.35">
      <c r="A459" t="s">
        <v>38</v>
      </c>
      <c r="B459" s="6" t="str">
        <f>[1]Results!E318</f>
        <v>CF_toe_ccoa_0</v>
      </c>
      <c r="C459" s="6">
        <f>[1]Results!F318</f>
        <v>5.4831126719999999</v>
      </c>
      <c r="D459" s="6">
        <f>[1]Results!G318</f>
        <v>5.5495222980000003</v>
      </c>
      <c r="E459" s="6">
        <f>[1]Results!H318</f>
        <v>5.6231169689999998</v>
      </c>
      <c r="F459" s="6">
        <f>[1]Results!I318</f>
        <v>5.7025018080000001</v>
      </c>
      <c r="G459" s="6">
        <f>[1]Results!J318</f>
        <v>5.7869233580000001</v>
      </c>
      <c r="H459" s="6">
        <f>[1]Results!K318</f>
        <v>5.8759050610000001</v>
      </c>
      <c r="I459" s="6">
        <f>[1]Results!L318</f>
        <v>5.965347092</v>
      </c>
      <c r="J459" s="6">
        <f>[1]Results!M318</f>
        <v>6.0572796330000003</v>
      </c>
      <c r="K459" s="6">
        <f>[1]Results!N318</f>
        <v>6.151951993</v>
      </c>
      <c r="L459" s="6">
        <f>[1]Results!O318</f>
        <v>6.2492581810000001</v>
      </c>
      <c r="M459" s="6">
        <f>[1]Results!P318</f>
        <v>6.3555388019999999</v>
      </c>
      <c r="N459" s="6">
        <f>[1]Results!Q318</f>
        <v>6.4599021219999999</v>
      </c>
      <c r="O459" s="6">
        <f>[1]Results!R318</f>
        <v>6.5654146009999996</v>
      </c>
      <c r="P459" s="6">
        <f>[1]Results!S318</f>
        <v>6.6726204950000003</v>
      </c>
      <c r="Q459" s="6">
        <f>[1]Results!T318</f>
        <v>6.7815791150000004</v>
      </c>
      <c r="R459" s="6">
        <f>[1]Results!U318</f>
        <v>6.8922761020000003</v>
      </c>
      <c r="S459" s="6">
        <f>[1]Results!V318</f>
        <v>7.0047032180000004</v>
      </c>
      <c r="T459" s="6">
        <f>[1]Results!W318</f>
        <v>7.1188701989999998</v>
      </c>
      <c r="U459" s="6">
        <f>[1]Results!X318</f>
        <v>7.2348020540000002</v>
      </c>
      <c r="V459" s="6">
        <f>[1]Results!Y318</f>
        <v>7.3525338659999999</v>
      </c>
      <c r="W459" s="6">
        <f>[1]Results!Z318</f>
        <v>7.4672319590000003</v>
      </c>
      <c r="X459" s="6">
        <f>[1]Results!AA318</f>
        <v>7.5869614480000003</v>
      </c>
      <c r="Y459" s="6">
        <f>[1]Results!AB318</f>
        <v>7.7093743730000002</v>
      </c>
      <c r="Z459" s="6">
        <f>[1]Results!AC318</f>
        <v>7.834025746</v>
      </c>
      <c r="AA459" s="6">
        <f>[1]Results!AD318</f>
        <v>7.9608494509999996</v>
      </c>
      <c r="AB459" s="6">
        <f>[1]Results!AE318</f>
        <v>8.0757025759999994</v>
      </c>
      <c r="AC459" s="6">
        <f>[1]Results!AF318</f>
        <v>8.1951395349999991</v>
      </c>
      <c r="AD459" s="6">
        <f>[1]Results!AG318</f>
        <v>8.316482615</v>
      </c>
      <c r="AE459" s="6">
        <f>[1]Results!AH318</f>
        <v>8.4393377750000003</v>
      </c>
      <c r="AF459" s="6">
        <f>[1]Results!AI318</f>
        <v>8.5637527480000006</v>
      </c>
      <c r="AG459" s="6">
        <f>[1]Results!AJ318</f>
        <v>8.6898418389999996</v>
      </c>
      <c r="AH459" s="6">
        <f>[1]Results!AK318</f>
        <v>8.8177067420000004</v>
      </c>
      <c r="AI459" s="6">
        <f>[1]Results!AL318</f>
        <v>8.947419215</v>
      </c>
      <c r="AJ459" s="6">
        <f>[1]Results!AM318</f>
        <v>9.079019851</v>
      </c>
      <c r="AK459" s="6">
        <f>[1]Results!AN318</f>
        <v>9.2125225220000004</v>
      </c>
      <c r="AL459" s="6">
        <f>[1]Results!AO318</f>
        <v>9.3479208479999993</v>
      </c>
      <c r="AM459" s="6">
        <f>[1]Results!AP318</f>
        <v>9.4817331710000001</v>
      </c>
      <c r="AN459" s="6">
        <f>[1]Results!AQ318</f>
        <v>9.6161146150000008</v>
      </c>
      <c r="AO459" s="6">
        <f>[1]Results!AR318</f>
        <v>9.7515817469999995</v>
      </c>
      <c r="AP459" s="6">
        <f>[1]Results!AS318</f>
        <v>9.8883045169999999</v>
      </c>
      <c r="AQ459" s="6">
        <f>[1]Results!AT318</f>
        <v>10.026364900000001</v>
      </c>
      <c r="AR459" s="6">
        <f>[1]Results!AU318</f>
        <v>10.16590663</v>
      </c>
      <c r="AS459" s="6">
        <f>[1]Results!AV318</f>
        <v>10.307188350000001</v>
      </c>
      <c r="AT459" s="6">
        <f>[1]Results!AW318</f>
        <v>10.450377189999999</v>
      </c>
      <c r="AU459" s="6">
        <f>[1]Results!AX318</f>
        <v>10.595529689999999</v>
      </c>
      <c r="AV459" s="6">
        <f>[1]Results!AY318</f>
        <v>10.742637520000001</v>
      </c>
      <c r="AW459" s="6">
        <f>[1]Results!AZ318</f>
        <v>10.8919876</v>
      </c>
      <c r="AX459" s="6">
        <f>[1]Results!BA318</f>
        <v>11.043352799999999</v>
      </c>
      <c r="AY459" s="6">
        <f>[1]Results!BB318</f>
        <v>11.196669050000001</v>
      </c>
      <c r="AZ459" s="6">
        <f>[1]Results!BC318</f>
        <v>11.35191298</v>
      </c>
      <c r="BA459" s="6">
        <f>[1]Results!BD318</f>
        <v>11.50907432</v>
      </c>
      <c r="BB459" s="6">
        <f>[1]Results!BE318</f>
        <v>12.5681329</v>
      </c>
      <c r="BC459" s="6">
        <f>[1]Results!BF318</f>
        <v>12.78677233</v>
      </c>
      <c r="BD459" s="6">
        <f>[1]Results!BG318</f>
        <v>13.00876092</v>
      </c>
      <c r="BE459" s="6">
        <f>[1]Results!BH318</f>
        <v>13.23413545</v>
      </c>
      <c r="BF459" s="6">
        <f>[1]Results!BI318</f>
        <v>13.462935549999999</v>
      </c>
    </row>
    <row r="460" spans="1:58" x14ac:dyDescent="0.35">
      <c r="B460" s="6" t="s">
        <v>74</v>
      </c>
      <c r="C460" s="6">
        <f>C461+C462+C463</f>
        <v>62.319929184100005</v>
      </c>
      <c r="D460" s="6">
        <f t="shared" ref="D460:AI460" si="274">D461+D462+D463</f>
        <v>62.596085097299998</v>
      </c>
      <c r="E460" s="6">
        <f t="shared" si="274"/>
        <v>62.812546560800001</v>
      </c>
      <c r="F460" s="6">
        <f t="shared" si="274"/>
        <v>63.095639672199994</v>
      </c>
      <c r="G460" s="6">
        <f t="shared" si="274"/>
        <v>63.474882214700003</v>
      </c>
      <c r="H460" s="6">
        <f t="shared" si="274"/>
        <v>63.943239475799999</v>
      </c>
      <c r="I460" s="6">
        <f t="shared" si="274"/>
        <v>64.462281822500003</v>
      </c>
      <c r="J460" s="6">
        <f t="shared" si="274"/>
        <v>65.029998470999999</v>
      </c>
      <c r="K460" s="6">
        <f t="shared" si="274"/>
        <v>65.636880995200002</v>
      </c>
      <c r="L460" s="6">
        <f t="shared" si="274"/>
        <v>66.274447501300003</v>
      </c>
      <c r="M460" s="6">
        <f t="shared" si="274"/>
        <v>66.980336066999996</v>
      </c>
      <c r="N460" s="6">
        <f t="shared" si="274"/>
        <v>67.682782701400001</v>
      </c>
      <c r="O460" s="6">
        <f t="shared" si="274"/>
        <v>68.395149990700006</v>
      </c>
      <c r="P460" s="6">
        <f t="shared" si="274"/>
        <v>69.118327051600005</v>
      </c>
      <c r="Q460" s="6">
        <f t="shared" si="274"/>
        <v>69.851459215100007</v>
      </c>
      <c r="R460" s="6">
        <f t="shared" si="274"/>
        <v>70.593892593699991</v>
      </c>
      <c r="S460" s="6">
        <f t="shared" si="274"/>
        <v>71.345255056500008</v>
      </c>
      <c r="T460" s="6">
        <f t="shared" si="274"/>
        <v>72.105336755500005</v>
      </c>
      <c r="U460" s="6">
        <f t="shared" si="274"/>
        <v>72.874000486200003</v>
      </c>
      <c r="V460" s="6">
        <f t="shared" si="274"/>
        <v>73.651137652299994</v>
      </c>
      <c r="W460" s="6">
        <f t="shared" si="274"/>
        <v>74.404344505799997</v>
      </c>
      <c r="X460" s="6">
        <f t="shared" si="274"/>
        <v>75.182928268199987</v>
      </c>
      <c r="Y460" s="6">
        <f t="shared" si="274"/>
        <v>75.974589185699998</v>
      </c>
      <c r="Z460" s="6">
        <f t="shared" si="274"/>
        <v>76.776955423299995</v>
      </c>
      <c r="AA460" s="6">
        <f t="shared" si="274"/>
        <v>77.589493052199998</v>
      </c>
      <c r="AB460" s="6">
        <f t="shared" si="274"/>
        <v>78.319161089999994</v>
      </c>
      <c r="AC460" s="6">
        <f t="shared" si="274"/>
        <v>79.063776163699998</v>
      </c>
      <c r="AD460" s="6">
        <f t="shared" si="274"/>
        <v>79.810760153499999</v>
      </c>
      <c r="AE460" s="6">
        <f t="shared" si="274"/>
        <v>80.559665537800001</v>
      </c>
      <c r="AF460" s="6">
        <f t="shared" si="274"/>
        <v>81.312126027299996</v>
      </c>
      <c r="AG460" s="6">
        <f t="shared" si="274"/>
        <v>82.069917693699992</v>
      </c>
      <c r="AH460" s="6">
        <f t="shared" si="274"/>
        <v>82.834555795900002</v>
      </c>
      <c r="AI460" s="6">
        <f t="shared" si="274"/>
        <v>83.607229370900001</v>
      </c>
      <c r="AJ460" s="6">
        <f>AJ461+AJ462+AJ463</f>
        <v>84.388827225300005</v>
      </c>
      <c r="AK460" s="6">
        <f t="shared" ref="AK460" si="275">AK461+AK462+AK463</f>
        <v>85.179991217400001</v>
      </c>
      <c r="AL460" s="6">
        <f t="shared" ref="AL460:BC460" si="276">AL461+AL462+AL463</f>
        <v>85.981173988000009</v>
      </c>
      <c r="AM460" s="6">
        <f t="shared" si="276"/>
        <v>86.770525748500006</v>
      </c>
      <c r="AN460" s="6">
        <f t="shared" si="276"/>
        <v>87.559863243099997</v>
      </c>
      <c r="AO460" s="6">
        <f t="shared" si="276"/>
        <v>88.354790847300009</v>
      </c>
      <c r="AP460" s="6">
        <f t="shared" si="276"/>
        <v>89.158460856599987</v>
      </c>
      <c r="AQ460" s="6">
        <f t="shared" si="276"/>
        <v>89.972068315900003</v>
      </c>
      <c r="AR460" s="6">
        <f t="shared" si="276"/>
        <v>90.791587231700007</v>
      </c>
      <c r="AS460" s="6">
        <f t="shared" si="276"/>
        <v>91.617260949699997</v>
      </c>
      <c r="AT460" s="6">
        <f t="shared" si="276"/>
        <v>92.449779413100003</v>
      </c>
      <c r="AU460" s="6">
        <f t="shared" si="276"/>
        <v>93.290291875199998</v>
      </c>
      <c r="AV460" s="6">
        <f t="shared" si="276"/>
        <v>94.140214183899985</v>
      </c>
      <c r="AW460" s="6">
        <f t="shared" si="276"/>
        <v>95.002868764900001</v>
      </c>
      <c r="AX460" s="6">
        <f t="shared" si="276"/>
        <v>95.878259788700007</v>
      </c>
      <c r="AY460" s="6">
        <f t="shared" si="276"/>
        <v>96.766816972399994</v>
      </c>
      <c r="AZ460" s="6">
        <f t="shared" si="276"/>
        <v>97.668824542300001</v>
      </c>
      <c r="BA460" s="6">
        <f t="shared" si="276"/>
        <v>98.58438208070001</v>
      </c>
      <c r="BB460" s="6">
        <f t="shared" si="276"/>
        <v>108.96271776330001</v>
      </c>
      <c r="BC460" s="6">
        <f t="shared" si="276"/>
        <v>110.34745505659998</v>
      </c>
      <c r="BD460" s="6">
        <f t="shared" ref="BD460:BF460" si="277">BD461+BD462+BD463</f>
        <v>111.7525966617</v>
      </c>
      <c r="BE460" s="6">
        <f t="shared" si="277"/>
        <v>113.1788236631</v>
      </c>
      <c r="BF460" s="6">
        <f t="shared" si="277"/>
        <v>114.6268495106</v>
      </c>
    </row>
    <row r="461" spans="1:58" x14ac:dyDescent="0.35">
      <c r="B461" s="6" t="str">
        <f>[1]Results!E321</f>
        <v>CF_toe_ccoi_0</v>
      </c>
      <c r="C461" s="6">
        <f>[1]Results!F321</f>
        <v>8.4924864099999997E-2</v>
      </c>
      <c r="D461" s="6">
        <f>[1]Results!G321</f>
        <v>8.5925227300000004E-2</v>
      </c>
      <c r="E461" s="6">
        <f>[1]Results!H321</f>
        <v>8.7002780799999999E-2</v>
      </c>
      <c r="F461" s="6">
        <f>[1]Results!I321</f>
        <v>8.8160332199999997E-2</v>
      </c>
      <c r="G461" s="6">
        <f>[1]Results!J321</f>
        <v>8.9403904699999995E-2</v>
      </c>
      <c r="H461" s="6">
        <f>[1]Results!K321</f>
        <v>9.0733715800000003E-2</v>
      </c>
      <c r="I461" s="6">
        <f>[1]Results!L321</f>
        <v>9.2086812500000004E-2</v>
      </c>
      <c r="J461" s="6">
        <f>[1]Results!M321</f>
        <v>9.3489631000000004E-2</v>
      </c>
      <c r="K461" s="6">
        <f>[1]Results!N321</f>
        <v>9.4943145199999995E-2</v>
      </c>
      <c r="L461" s="6">
        <f>[1]Results!O321</f>
        <v>9.6444211299999999E-2</v>
      </c>
      <c r="M461" s="6">
        <f>[1]Results!P321</f>
        <v>9.8091407000000005E-2</v>
      </c>
      <c r="N461" s="6">
        <f>[1]Results!Q321</f>
        <v>9.9720851400000005E-2</v>
      </c>
      <c r="O461" s="6">
        <f>[1]Results!R321</f>
        <v>0.1013740207</v>
      </c>
      <c r="P461" s="6">
        <f>[1]Results!S321</f>
        <v>0.1030562716</v>
      </c>
      <c r="Q461" s="6">
        <f>[1]Results!T321</f>
        <v>0.10476710509999999</v>
      </c>
      <c r="R461" s="6">
        <f>[1]Results!U321</f>
        <v>0.10650523369999999</v>
      </c>
      <c r="S461" s="6">
        <f>[1]Results!V321</f>
        <v>0.1082694065</v>
      </c>
      <c r="T461" s="6">
        <f>[1]Results!W321</f>
        <v>0.1100585155</v>
      </c>
      <c r="U461" s="6">
        <f>[1]Results!X321</f>
        <v>0.11187159620000001</v>
      </c>
      <c r="V461" s="6">
        <f>[1]Results!Y321</f>
        <v>0.1137078223</v>
      </c>
      <c r="W461" s="6">
        <f>[1]Results!Z321</f>
        <v>0.1154900558</v>
      </c>
      <c r="X461" s="6">
        <f>[1]Results!AA321</f>
        <v>0.1173377982</v>
      </c>
      <c r="Y461" s="6">
        <f>[1]Results!AB321</f>
        <v>0.1192177957</v>
      </c>
      <c r="Z461" s="6">
        <f>[1]Results!AC321</f>
        <v>0.12112410329999999</v>
      </c>
      <c r="AA461" s="6">
        <f>[1]Results!AD321</f>
        <v>0.1230554322</v>
      </c>
      <c r="AB461" s="6">
        <f>[1]Results!AE321</f>
        <v>0.1247896</v>
      </c>
      <c r="AC461" s="6">
        <f>[1]Results!AF321</f>
        <v>0.12656885370000001</v>
      </c>
      <c r="AD461" s="6">
        <f>[1]Results!AG321</f>
        <v>0.12835656349999999</v>
      </c>
      <c r="AE461" s="6">
        <f>[1]Results!AH321</f>
        <v>0.1301504778</v>
      </c>
      <c r="AF461" s="6">
        <f>[1]Results!AI321</f>
        <v>0.1319537673</v>
      </c>
      <c r="AG461" s="6">
        <f>[1]Results!AJ321</f>
        <v>0.1337700537</v>
      </c>
      <c r="AH461" s="6">
        <f>[1]Results!AK321</f>
        <v>0.13560254590000001</v>
      </c>
      <c r="AI461" s="6">
        <f>[1]Results!AL321</f>
        <v>0.1374539209</v>
      </c>
      <c r="AJ461" s="6">
        <f>[1]Results!AM321</f>
        <v>0.13932634529999999</v>
      </c>
      <c r="AK461" s="6">
        <f>[1]Results!AN321</f>
        <v>0.14122152739999999</v>
      </c>
      <c r="AL461" s="6">
        <f>[1]Results!AO321</f>
        <v>0.143140778</v>
      </c>
      <c r="AM461" s="6">
        <f>[1]Results!AP321</f>
        <v>0.1450312785</v>
      </c>
      <c r="AN461" s="6">
        <f>[1]Results!AQ321</f>
        <v>0.14692367310000001</v>
      </c>
      <c r="AO461" s="6">
        <f>[1]Results!AR321</f>
        <v>0.14882566729999999</v>
      </c>
      <c r="AP461" s="6">
        <f>[1]Results!AS321</f>
        <v>0.15074092659999999</v>
      </c>
      <c r="AQ461" s="6">
        <f>[1]Results!AT321</f>
        <v>0.15267222590000001</v>
      </c>
      <c r="AR461" s="6">
        <f>[1]Results!AU321</f>
        <v>0.1546076717</v>
      </c>
      <c r="AS461" s="6">
        <f>[1]Results!AV321</f>
        <v>0.15655013970000001</v>
      </c>
      <c r="AT461" s="6">
        <f>[1]Results!AW321</f>
        <v>0.15850674310000001</v>
      </c>
      <c r="AU461" s="6">
        <f>[1]Results!AX321</f>
        <v>0.16048455519999999</v>
      </c>
      <c r="AV461" s="6">
        <f>[1]Results!AY321</f>
        <v>0.1624890839</v>
      </c>
      <c r="AW461" s="6">
        <f>[1]Results!AZ321</f>
        <v>0.16452893490000001</v>
      </c>
      <c r="AX461" s="6">
        <f>[1]Results!BA321</f>
        <v>0.16660367870000001</v>
      </c>
      <c r="AY461" s="6">
        <f>[1]Results!BB321</f>
        <v>0.16871394240000001</v>
      </c>
      <c r="AZ461" s="6">
        <f>[1]Results!BC321</f>
        <v>0.17086008229999999</v>
      </c>
      <c r="BA461" s="6">
        <f>[1]Results!BD321</f>
        <v>0.1730421707</v>
      </c>
      <c r="BB461" s="6">
        <f>[1]Results!BE321</f>
        <v>0.1973296433</v>
      </c>
      <c r="BC461" s="6">
        <f>[1]Results!BF321</f>
        <v>0.2006222366</v>
      </c>
      <c r="BD461" s="6">
        <f>[1]Results!BG321</f>
        <v>0.2039584817</v>
      </c>
      <c r="BE461" s="6">
        <f>[1]Results!BH321</f>
        <v>0.20733960309999999</v>
      </c>
      <c r="BF461" s="6">
        <f>[1]Results!BI321</f>
        <v>0.21076692059999999</v>
      </c>
    </row>
    <row r="462" spans="1:58" x14ac:dyDescent="0.35">
      <c r="B462" s="6" t="str">
        <f>[1]Results!E324</f>
        <v>CF_toe_cfut_0</v>
      </c>
      <c r="C462" s="6">
        <f>[1]Results!F324</f>
        <v>47.399293319999998</v>
      </c>
      <c r="D462" s="6">
        <f>[1]Results!G324</f>
        <v>47.580979149999997</v>
      </c>
      <c r="E462" s="6">
        <f>[1]Results!H324</f>
        <v>47.725825180000001</v>
      </c>
      <c r="F462" s="6">
        <f>[1]Results!I324</f>
        <v>47.940680989999997</v>
      </c>
      <c r="G462" s="6">
        <f>[1]Results!J324</f>
        <v>48.247606210000001</v>
      </c>
      <c r="H462" s="6">
        <f>[1]Results!K324</f>
        <v>48.638306100000001</v>
      </c>
      <c r="I462" s="6">
        <f>[1]Results!L324</f>
        <v>49.078875660000001</v>
      </c>
      <c r="J462" s="6">
        <f>[1]Results!M324</f>
        <v>49.563018030000002</v>
      </c>
      <c r="K462" s="6">
        <f>[1]Results!N324</f>
        <v>50.08089708</v>
      </c>
      <c r="L462" s="6">
        <f>[1]Results!O324</f>
        <v>50.624576060000003</v>
      </c>
      <c r="M462" s="6">
        <f>[1]Results!P324</f>
        <v>51.219809959999999</v>
      </c>
      <c r="N462" s="6">
        <f>[1]Results!Q324</f>
        <v>51.815363310000002</v>
      </c>
      <c r="O462" s="6">
        <f>[1]Results!R324</f>
        <v>52.419939550000002</v>
      </c>
      <c r="P462" s="6">
        <f>[1]Results!S324</f>
        <v>53.033498280000003</v>
      </c>
      <c r="Q462" s="6">
        <f>[1]Results!T324</f>
        <v>53.654959230000003</v>
      </c>
      <c r="R462" s="6">
        <f>[1]Results!U324</f>
        <v>54.283445039999997</v>
      </c>
      <c r="S462" s="6">
        <f>[1]Results!V324</f>
        <v>54.918388620000002</v>
      </c>
      <c r="T462" s="6">
        <f>[1]Results!W324</f>
        <v>55.55945578</v>
      </c>
      <c r="U462" s="6">
        <f>[1]Results!X324</f>
        <v>56.206460370000002</v>
      </c>
      <c r="V462" s="6">
        <f>[1]Results!Y324</f>
        <v>56.859302749999998</v>
      </c>
      <c r="W462" s="6">
        <f>[1]Results!Z324</f>
        <v>57.494630710000003</v>
      </c>
      <c r="X462" s="6">
        <f>[1]Results!AA324</f>
        <v>58.147488109999998</v>
      </c>
      <c r="Y462" s="6">
        <f>[1]Results!AB324</f>
        <v>58.809344969999998</v>
      </c>
      <c r="Z462" s="6">
        <f>[1]Results!AC324</f>
        <v>59.478788979999997</v>
      </c>
      <c r="AA462" s="6">
        <f>[1]Results!AD324</f>
        <v>60.155601240000003</v>
      </c>
      <c r="AB462" s="6">
        <f>[1]Results!AE324</f>
        <v>60.772509999999997</v>
      </c>
      <c r="AC462" s="6">
        <f>[1]Results!AF324</f>
        <v>61.398775839999999</v>
      </c>
      <c r="AD462" s="6">
        <f>[1]Results!AG324</f>
        <v>62.025401649999999</v>
      </c>
      <c r="AE462" s="6">
        <f>[1]Results!AH324</f>
        <v>62.65242628</v>
      </c>
      <c r="AF462" s="6">
        <f>[1]Results!AI324</f>
        <v>63.281372410000003</v>
      </c>
      <c r="AG462" s="6">
        <f>[1]Results!AJ324</f>
        <v>63.913799779999998</v>
      </c>
      <c r="AH462" s="6">
        <f>[1]Results!AK324</f>
        <v>64.55101003</v>
      </c>
      <c r="AI462" s="6">
        <f>[1]Results!AL324</f>
        <v>65.194006909999999</v>
      </c>
      <c r="AJ462" s="6">
        <f>[1]Results!AM324</f>
        <v>65.843527080000001</v>
      </c>
      <c r="AK462" s="6">
        <f>[1]Results!AN324</f>
        <v>66.500091679999997</v>
      </c>
      <c r="AL462" s="6">
        <f>[1]Results!AO324</f>
        <v>67.164059800000004</v>
      </c>
      <c r="AM462" s="6">
        <f>[1]Results!AP324</f>
        <v>67.819508859999999</v>
      </c>
      <c r="AN462" s="6">
        <f>[1]Results!AQ324</f>
        <v>68.474704669999994</v>
      </c>
      <c r="AO462" s="6">
        <f>[1]Results!AR324</f>
        <v>69.131956250000002</v>
      </c>
      <c r="AP462" s="6">
        <f>[1]Results!AS324</f>
        <v>69.792537719999999</v>
      </c>
      <c r="AQ462" s="6">
        <f>[1]Results!AT324</f>
        <v>70.45751147</v>
      </c>
      <c r="AR462" s="6">
        <f>[1]Results!AU324</f>
        <v>71.125390719999999</v>
      </c>
      <c r="AS462" s="6">
        <f>[1]Results!AV324</f>
        <v>71.798074069999998</v>
      </c>
      <c r="AT462" s="6">
        <f>[1]Results!AW324</f>
        <v>72.477236959999999</v>
      </c>
      <c r="AU462" s="6">
        <f>[1]Results!AX324</f>
        <v>73.163994430000002</v>
      </c>
      <c r="AV462" s="6">
        <f>[1]Results!AY324</f>
        <v>73.859054259999994</v>
      </c>
      <c r="AW462" s="6">
        <f>[1]Results!AZ324</f>
        <v>74.564339829999994</v>
      </c>
      <c r="AX462" s="6">
        <f>[1]Results!BA324</f>
        <v>75.279439640000007</v>
      </c>
      <c r="AY462" s="6">
        <f>[1]Results!BB324</f>
        <v>76.004390599999994</v>
      </c>
      <c r="AZ462" s="6">
        <f>[1]Results!BC324</f>
        <v>76.7392483</v>
      </c>
      <c r="BA462" s="6">
        <f>[1]Results!BD324</f>
        <v>77.484020220000005</v>
      </c>
      <c r="BB462" s="6">
        <f>[1]Results!BE324</f>
        <v>85.312169370000007</v>
      </c>
      <c r="BC462" s="6">
        <f>[1]Results!BF324</f>
        <v>86.423256069999994</v>
      </c>
      <c r="BD462" s="6">
        <f>[1]Results!BG324</f>
        <v>87.550619229999995</v>
      </c>
      <c r="BE462" s="6">
        <f>[1]Results!BH324</f>
        <v>88.694809750000005</v>
      </c>
      <c r="BF462" s="6">
        <f>[1]Results!BI324</f>
        <v>89.856421949999998</v>
      </c>
    </row>
    <row r="463" spans="1:58" x14ac:dyDescent="0.35">
      <c r="B463" s="6" t="str">
        <f>[1]Results!E327</f>
        <v>CF_toe_cfuh_0</v>
      </c>
      <c r="C463" s="6">
        <f>[1]Results!F327</f>
        <v>14.835711</v>
      </c>
      <c r="D463" s="6">
        <f>[1]Results!G327</f>
        <v>14.92918072</v>
      </c>
      <c r="E463" s="6">
        <f>[1]Results!H327</f>
        <v>14.9997186</v>
      </c>
      <c r="F463" s="6">
        <f>[1]Results!I327</f>
        <v>15.066798349999999</v>
      </c>
      <c r="G463" s="6">
        <f>[1]Results!J327</f>
        <v>15.137872099999999</v>
      </c>
      <c r="H463" s="6">
        <f>[1]Results!K327</f>
        <v>15.21419966</v>
      </c>
      <c r="I463" s="6">
        <f>[1]Results!L327</f>
        <v>15.29131935</v>
      </c>
      <c r="J463" s="6">
        <f>[1]Results!M327</f>
        <v>15.37349081</v>
      </c>
      <c r="K463" s="6">
        <f>[1]Results!N327</f>
        <v>15.46104077</v>
      </c>
      <c r="L463" s="6">
        <f>[1]Results!O327</f>
        <v>15.55342723</v>
      </c>
      <c r="M463" s="6">
        <f>[1]Results!P327</f>
        <v>15.6624347</v>
      </c>
      <c r="N463" s="6">
        <f>[1]Results!Q327</f>
        <v>15.76769854</v>
      </c>
      <c r="O463" s="6">
        <f>[1]Results!R327</f>
        <v>15.87383642</v>
      </c>
      <c r="P463" s="6">
        <f>[1]Results!S327</f>
        <v>15.9817725</v>
      </c>
      <c r="Q463" s="6">
        <f>[1]Results!T327</f>
        <v>16.091732879999999</v>
      </c>
      <c r="R463" s="6">
        <f>[1]Results!U327</f>
        <v>16.203942319999999</v>
      </c>
      <c r="S463" s="6">
        <f>[1]Results!V327</f>
        <v>16.318597029999999</v>
      </c>
      <c r="T463" s="6">
        <f>[1]Results!W327</f>
        <v>16.435822460000001</v>
      </c>
      <c r="U463" s="6">
        <f>[1]Results!X327</f>
        <v>16.555668520000001</v>
      </c>
      <c r="V463" s="6">
        <f>[1]Results!Y327</f>
        <v>16.678127079999999</v>
      </c>
      <c r="W463" s="6">
        <f>[1]Results!Z327</f>
        <v>16.79422374</v>
      </c>
      <c r="X463" s="6">
        <f>[1]Results!AA327</f>
        <v>16.918102359999999</v>
      </c>
      <c r="Y463" s="6">
        <f>[1]Results!AB327</f>
        <v>17.04602642</v>
      </c>
      <c r="Z463" s="6">
        <f>[1]Results!AC327</f>
        <v>17.17704234</v>
      </c>
      <c r="AA463" s="6">
        <f>[1]Results!AD327</f>
        <v>17.310836380000001</v>
      </c>
      <c r="AB463" s="6">
        <f>[1]Results!AE327</f>
        <v>17.421861490000001</v>
      </c>
      <c r="AC463" s="6">
        <f>[1]Results!AF327</f>
        <v>17.538431469999999</v>
      </c>
      <c r="AD463" s="6">
        <f>[1]Results!AG327</f>
        <v>17.657001940000001</v>
      </c>
      <c r="AE463" s="6">
        <f>[1]Results!AH327</f>
        <v>17.77708878</v>
      </c>
      <c r="AF463" s="6">
        <f>[1]Results!AI327</f>
        <v>17.89879985</v>
      </c>
      <c r="AG463" s="6">
        <f>[1]Results!AJ327</f>
        <v>18.02234786</v>
      </c>
      <c r="AH463" s="6">
        <f>[1]Results!AK327</f>
        <v>18.147943219999998</v>
      </c>
      <c r="AI463" s="6">
        <f>[1]Results!AL327</f>
        <v>18.275768540000001</v>
      </c>
      <c r="AJ463" s="6">
        <f>[1]Results!AM327</f>
        <v>18.405973800000002</v>
      </c>
      <c r="AK463" s="6">
        <f>[1]Results!AN327</f>
        <v>18.538678010000002</v>
      </c>
      <c r="AL463" s="6">
        <f>[1]Results!AO327</f>
        <v>18.673973409999999</v>
      </c>
      <c r="AM463" s="6">
        <f>[1]Results!AP327</f>
        <v>18.80598561</v>
      </c>
      <c r="AN463" s="6">
        <f>[1]Results!AQ327</f>
        <v>18.938234900000001</v>
      </c>
      <c r="AO463" s="6">
        <f>[1]Results!AR327</f>
        <v>19.074008930000002</v>
      </c>
      <c r="AP463" s="6">
        <f>[1]Results!AS327</f>
        <v>19.215182209999998</v>
      </c>
      <c r="AQ463" s="6">
        <f>[1]Results!AT327</f>
        <v>19.361884620000001</v>
      </c>
      <c r="AR463" s="6">
        <f>[1]Results!AU327</f>
        <v>19.511588840000002</v>
      </c>
      <c r="AS463" s="6">
        <f>[1]Results!AV327</f>
        <v>19.66263674</v>
      </c>
      <c r="AT463" s="6">
        <f>[1]Results!AW327</f>
        <v>19.814035709999999</v>
      </c>
      <c r="AU463" s="6">
        <f>[1]Results!AX327</f>
        <v>19.965812889999999</v>
      </c>
      <c r="AV463" s="6">
        <f>[1]Results!AY327</f>
        <v>20.11867084</v>
      </c>
      <c r="AW463" s="6">
        <f>[1]Results!AZ327</f>
        <v>20.274000000000001</v>
      </c>
      <c r="AX463" s="6">
        <f>[1]Results!BA327</f>
        <v>20.43221647</v>
      </c>
      <c r="AY463" s="6">
        <f>[1]Results!BB327</f>
        <v>20.59371243</v>
      </c>
      <c r="AZ463" s="6">
        <f>[1]Results!BC327</f>
        <v>20.758716159999999</v>
      </c>
      <c r="BA463" s="6">
        <f>[1]Results!BD327</f>
        <v>20.927319690000001</v>
      </c>
      <c r="BB463" s="6">
        <f>[1]Results!BE327</f>
        <v>23.453218750000001</v>
      </c>
      <c r="BC463" s="6">
        <f>[1]Results!BF327</f>
        <v>23.723576749999999</v>
      </c>
      <c r="BD463" s="6">
        <f>[1]Results!BG327</f>
        <v>23.998018949999999</v>
      </c>
      <c r="BE463" s="6">
        <f>[1]Results!BH327</f>
        <v>24.276674310000001</v>
      </c>
      <c r="BF463" s="6">
        <f>[1]Results!BI327</f>
        <v>24.559660640000001</v>
      </c>
    </row>
    <row r="464" spans="1:58" x14ac:dyDescent="0.35">
      <c r="B464" s="6" t="str">
        <f>[1]Results!E329</f>
        <v>CF_toe_cgas_0</v>
      </c>
      <c r="C464" s="6">
        <f>[1]Results!F329</f>
        <v>34.45703348</v>
      </c>
      <c r="D464" s="6">
        <f>[1]Results!G329</f>
        <v>34.740290199999997</v>
      </c>
      <c r="E464" s="6">
        <f>[1]Results!H329</f>
        <v>35.00361985</v>
      </c>
      <c r="F464" s="6">
        <f>[1]Results!I329</f>
        <v>35.273497720000002</v>
      </c>
      <c r="G464" s="6">
        <f>[1]Results!J329</f>
        <v>35.560104699999997</v>
      </c>
      <c r="H464" s="6">
        <f>[1]Results!K329</f>
        <v>35.863491170000003</v>
      </c>
      <c r="I464" s="6">
        <f>[1]Results!L329</f>
        <v>36.174839050000003</v>
      </c>
      <c r="J464" s="6">
        <f>[1]Results!M329</f>
        <v>36.506194729999997</v>
      </c>
      <c r="K464" s="6">
        <f>[1]Results!N329</f>
        <v>36.85700336</v>
      </c>
      <c r="L464" s="6">
        <f>[1]Results!O329</f>
        <v>37.224288450000003</v>
      </c>
      <c r="M464" s="6">
        <f>[1]Results!P329</f>
        <v>37.640125570000002</v>
      </c>
      <c r="N464" s="6">
        <f>[1]Results!Q329</f>
        <v>38.046634060000002</v>
      </c>
      <c r="O464" s="6">
        <f>[1]Results!R329</f>
        <v>38.456749719999998</v>
      </c>
      <c r="P464" s="6">
        <f>[1]Results!S329</f>
        <v>38.872618959999997</v>
      </c>
      <c r="Q464" s="6">
        <f>[1]Results!T329</f>
        <v>39.29452457</v>
      </c>
      <c r="R464" s="6">
        <f>[1]Results!U329</f>
        <v>39.722650160000001</v>
      </c>
      <c r="S464" s="6">
        <f>[1]Results!V329</f>
        <v>40.157093519999997</v>
      </c>
      <c r="T464" s="6">
        <f>[1]Results!W329</f>
        <v>40.597854269999999</v>
      </c>
      <c r="U464" s="6">
        <f>[1]Results!X329</f>
        <v>41.044856129999999</v>
      </c>
      <c r="V464" s="6">
        <f>[1]Results!Y329</f>
        <v>41.497982</v>
      </c>
      <c r="W464" s="6">
        <f>[1]Results!Z329</f>
        <v>41.93171083</v>
      </c>
      <c r="X464" s="6">
        <f>[1]Results!AA329</f>
        <v>42.38624205</v>
      </c>
      <c r="Y464" s="6">
        <f>[1]Results!AB329</f>
        <v>42.850806900000002</v>
      </c>
      <c r="Z464" s="6">
        <f>[1]Results!AC329</f>
        <v>43.322977510000001</v>
      </c>
      <c r="AA464" s="6">
        <f>[1]Results!AD329</f>
        <v>43.802051550000002</v>
      </c>
      <c r="AB464" s="6">
        <f>[1]Results!AE329</f>
        <v>44.21517343</v>
      </c>
      <c r="AC464" s="6">
        <f>[1]Results!AF329</f>
        <v>44.643072539999999</v>
      </c>
      <c r="AD464" s="6">
        <f>[1]Results!AG329</f>
        <v>45.074927780000003</v>
      </c>
      <c r="AE464" s="6">
        <f>[1]Results!AH329</f>
        <v>45.509559289999999</v>
      </c>
      <c r="AF464" s="6">
        <f>[1]Results!AI329</f>
        <v>45.947463190000001</v>
      </c>
      <c r="AG464" s="6">
        <f>[1]Results!AJ329</f>
        <v>46.389392469999997</v>
      </c>
      <c r="AH464" s="6">
        <f>[1]Results!AK329</f>
        <v>46.836073880000001</v>
      </c>
      <c r="AI464" s="6">
        <f>[1]Results!AL329</f>
        <v>47.288143480000002</v>
      </c>
      <c r="AJ464" s="6">
        <f>[1]Results!AM329</f>
        <v>47.746132490000001</v>
      </c>
      <c r="AK464" s="6">
        <f>[1]Results!AN329</f>
        <v>48.21046896</v>
      </c>
      <c r="AL464" s="6">
        <f>[1]Results!AO329</f>
        <v>48.681486550000002</v>
      </c>
      <c r="AM464" s="6">
        <f>[1]Results!AP329</f>
        <v>49.142313739999999</v>
      </c>
      <c r="AN464" s="6">
        <f>[1]Results!AQ329</f>
        <v>49.603031829999999</v>
      </c>
      <c r="AO464" s="6">
        <f>[1]Results!AR329</f>
        <v>50.067939539999998</v>
      </c>
      <c r="AP464" s="6">
        <f>[1]Results!AS329</f>
        <v>50.539174629999998</v>
      </c>
      <c r="AQ464" s="6">
        <f>[1]Results!AT329</f>
        <v>51.017211600000003</v>
      </c>
      <c r="AR464" s="6">
        <f>[1]Results!AU329</f>
        <v>51.497227840000001</v>
      </c>
      <c r="AS464" s="6">
        <f>[1]Results!AV329</f>
        <v>51.97566484</v>
      </c>
      <c r="AT464" s="6">
        <f>[1]Results!AW329</f>
        <v>52.451246380000001</v>
      </c>
      <c r="AU464" s="6">
        <f>[1]Results!AX329</f>
        <v>52.925619189999999</v>
      </c>
      <c r="AV464" s="6">
        <f>[1]Results!AY329</f>
        <v>53.402075050000001</v>
      </c>
      <c r="AW464" s="6">
        <f>[1]Results!AZ329</f>
        <v>53.885483649999998</v>
      </c>
      <c r="AX464" s="6">
        <f>[1]Results!BA329</f>
        <v>54.377532600000002</v>
      </c>
      <c r="AY464" s="6">
        <f>[1]Results!BB329</f>
        <v>54.879605120000001</v>
      </c>
      <c r="AZ464" s="6">
        <f>[1]Results!BC329</f>
        <v>55.392457319999998</v>
      </c>
      <c r="BA464" s="6">
        <f>[1]Results!BD329</f>
        <v>55.916379939999999</v>
      </c>
      <c r="BB464" s="6">
        <f>[1]Results!BE329</f>
        <v>60.695917489999999</v>
      </c>
      <c r="BC464" s="6">
        <f>[1]Results!BF329</f>
        <v>61.493967240000003</v>
      </c>
      <c r="BD464" s="6">
        <f>[1]Results!BG329</f>
        <v>62.303657729999998</v>
      </c>
      <c r="BE464" s="6">
        <f>[1]Results!BH329</f>
        <v>63.125339080000003</v>
      </c>
      <c r="BF464" s="6">
        <f>[1]Results!BI329</f>
        <v>63.959341160000001</v>
      </c>
    </row>
    <row r="465" spans="1:58" x14ac:dyDescent="0.35">
      <c r="B465" s="6" t="str">
        <f>[1]Results!E335</f>
        <v>CF_toe_cele_0</v>
      </c>
      <c r="C465" s="6">
        <f>[1]Results!F335</f>
        <v>37.993916310000003</v>
      </c>
      <c r="D465" s="6">
        <f>[1]Results!G335</f>
        <v>38.282338770000003</v>
      </c>
      <c r="E465" s="6">
        <f>[1]Results!H335</f>
        <v>38.539900899999999</v>
      </c>
      <c r="F465" s="6">
        <f>[1]Results!I335</f>
        <v>38.808145539999998</v>
      </c>
      <c r="G465" s="6">
        <f>[1]Results!J335</f>
        <v>39.101792699999997</v>
      </c>
      <c r="H465" s="6">
        <f>[1]Results!K335</f>
        <v>39.421850499999998</v>
      </c>
      <c r="I465" s="6">
        <f>[1]Results!L335</f>
        <v>39.749529160000002</v>
      </c>
      <c r="J465" s="6">
        <f>[1]Results!M335</f>
        <v>40.09266934</v>
      </c>
      <c r="K465" s="6">
        <f>[1]Results!N335</f>
        <v>40.450741469999997</v>
      </c>
      <c r="L465" s="6">
        <f>[1]Results!O335</f>
        <v>40.821930649999999</v>
      </c>
      <c r="M465" s="6">
        <f>[1]Results!P335</f>
        <v>41.238309139999998</v>
      </c>
      <c r="N465" s="6">
        <f>[1]Results!Q335</f>
        <v>41.645360910000001</v>
      </c>
      <c r="O465" s="6">
        <f>[1]Results!R335</f>
        <v>42.055554239999999</v>
      </c>
      <c r="P465" s="6">
        <f>[1]Results!S335</f>
        <v>42.471185310000003</v>
      </c>
      <c r="Q465" s="6">
        <f>[1]Results!T335</f>
        <v>42.892690229999999</v>
      </c>
      <c r="R465" s="6">
        <f>[1]Results!U335</f>
        <v>43.320374530000002</v>
      </c>
      <c r="S465" s="6">
        <f>[1]Results!V335</f>
        <v>43.754491379999997</v>
      </c>
      <c r="T465" s="6">
        <f>[1]Results!W335</f>
        <v>44.195222649999998</v>
      </c>
      <c r="U465" s="6">
        <f>[1]Results!X335</f>
        <v>44.642691689999999</v>
      </c>
      <c r="V465" s="6">
        <f>[1]Results!Y335</f>
        <v>45.096994899999999</v>
      </c>
      <c r="W465" s="6">
        <f>[1]Results!Z335</f>
        <v>45.533384320000003</v>
      </c>
      <c r="X465" s="6">
        <f>[1]Results!AA335</f>
        <v>45.991081639999997</v>
      </c>
      <c r="Y465" s="6">
        <f>[1]Results!AB335</f>
        <v>46.460301440000002</v>
      </c>
      <c r="Z465" s="6">
        <f>[1]Results!AC335</f>
        <v>46.939036809999998</v>
      </c>
      <c r="AA465" s="6">
        <f>[1]Results!AD335</f>
        <v>47.426896919999997</v>
      </c>
      <c r="AB465" s="6">
        <f>[1]Results!AE335</f>
        <v>47.852441470000002</v>
      </c>
      <c r="AC465" s="6">
        <f>[1]Results!AF335</f>
        <v>48.294240360000003</v>
      </c>
      <c r="AD465" s="6">
        <f>[1]Results!AG335</f>
        <v>48.742831080000002</v>
      </c>
      <c r="AE465" s="6">
        <f>[1]Results!AH335</f>
        <v>49.197723330000002</v>
      </c>
      <c r="AF465" s="6">
        <f>[1]Results!AI335</f>
        <v>49.659977249999997</v>
      </c>
      <c r="AG465" s="6">
        <f>[1]Results!AJ335</f>
        <v>50.130786280000002</v>
      </c>
      <c r="AH465" s="6">
        <f>[1]Results!AK335</f>
        <v>50.611183820000001</v>
      </c>
      <c r="AI465" s="6">
        <f>[1]Results!AL335</f>
        <v>51.101982589999999</v>
      </c>
      <c r="AJ465" s="6">
        <f>[1]Results!AM335</f>
        <v>51.603775069999998</v>
      </c>
      <c r="AK465" s="6">
        <f>[1]Results!AN335</f>
        <v>52.116957210000002</v>
      </c>
      <c r="AL465" s="6">
        <f>[1]Results!AO335</f>
        <v>52.641762649999997</v>
      </c>
      <c r="AM465" s="6">
        <f>[1]Results!AP335</f>
        <v>53.161190980000001</v>
      </c>
      <c r="AN465" s="6">
        <f>[1]Results!AQ335</f>
        <v>53.68486128</v>
      </c>
      <c r="AO465" s="6">
        <f>[1]Results!AR335</f>
        <v>54.218191060000002</v>
      </c>
      <c r="AP465" s="6">
        <f>[1]Results!AS335</f>
        <v>54.764151519999999</v>
      </c>
      <c r="AQ465" s="6">
        <f>[1]Results!AT335</f>
        <v>55.323478250000001</v>
      </c>
      <c r="AR465" s="6">
        <f>[1]Results!AU335</f>
        <v>55.891813630000001</v>
      </c>
      <c r="AS465" s="6">
        <f>[1]Results!AV335</f>
        <v>56.467229549999999</v>
      </c>
      <c r="AT465" s="6">
        <f>[1]Results!AW335</f>
        <v>57.049793950000002</v>
      </c>
      <c r="AU465" s="6">
        <f>[1]Results!AX335</f>
        <v>57.641038270000003</v>
      </c>
      <c r="AV465" s="6">
        <f>[1]Results!AY335</f>
        <v>58.242991840000002</v>
      </c>
      <c r="AW465" s="6">
        <f>[1]Results!AZ335</f>
        <v>58.85894124</v>
      </c>
      <c r="AX465" s="6">
        <f>[1]Results!BA335</f>
        <v>59.489164469999999</v>
      </c>
      <c r="AY465" s="6">
        <f>[1]Results!BB335</f>
        <v>60.133973099999999</v>
      </c>
      <c r="AZ465" s="6">
        <f>[1]Results!BC335</f>
        <v>60.793393190000003</v>
      </c>
      <c r="BA465" s="6">
        <f>[1]Results!BD335</f>
        <v>61.467239890000002</v>
      </c>
      <c r="BB465" s="6">
        <f>[1]Results!BE335</f>
        <v>65.412551059999998</v>
      </c>
      <c r="BC465" s="6">
        <f>[1]Results!BF335</f>
        <v>66.296898889999994</v>
      </c>
      <c r="BD465" s="6">
        <f>[1]Results!BG335</f>
        <v>67.196138849999997</v>
      </c>
      <c r="BE465" s="6">
        <f>[1]Results!BH335</f>
        <v>68.110568479999998</v>
      </c>
      <c r="BF465" s="6">
        <f>[1]Results!BI335</f>
        <v>69.040456840000004</v>
      </c>
    </row>
    <row r="466" spans="1:58" x14ac:dyDescent="0.35">
      <c r="B466" s="6" t="s">
        <v>75</v>
      </c>
      <c r="C466" s="6">
        <f>SUM(C467:C469)</f>
        <v>22.079157553999998</v>
      </c>
      <c r="D466" s="6">
        <f t="shared" ref="D466:AL466" si="278">SUM(D467:D469)</f>
        <v>22.272086526999999</v>
      </c>
      <c r="E466" s="6">
        <f t="shared" si="278"/>
        <v>22.458521666999999</v>
      </c>
      <c r="F466" s="6">
        <f t="shared" si="278"/>
        <v>22.651367659000002</v>
      </c>
      <c r="G466" s="6">
        <f t="shared" si="278"/>
        <v>22.855123874</v>
      </c>
      <c r="H466" s="6">
        <f t="shared" si="278"/>
        <v>23.069799449999998</v>
      </c>
      <c r="I466" s="6">
        <f t="shared" si="278"/>
        <v>23.279838875999999</v>
      </c>
      <c r="J466" s="6">
        <f t="shared" si="278"/>
        <v>23.494150577999999</v>
      </c>
      <c r="K466" s="6">
        <f t="shared" si="278"/>
        <v>23.714665439000001</v>
      </c>
      <c r="L466" s="6">
        <f t="shared" si="278"/>
        <v>23.941461902</v>
      </c>
      <c r="M466" s="6">
        <f t="shared" si="278"/>
        <v>24.199192304</v>
      </c>
      <c r="N466" s="6">
        <f t="shared" si="278"/>
        <v>24.445915042999999</v>
      </c>
      <c r="O466" s="6">
        <f t="shared" si="278"/>
        <v>24.692828063</v>
      </c>
      <c r="P466" s="6">
        <f t="shared" si="278"/>
        <v>24.942404529999997</v>
      </c>
      <c r="Q466" s="6">
        <f t="shared" si="278"/>
        <v>25.195299314</v>
      </c>
      <c r="R466" s="6">
        <f t="shared" si="278"/>
        <v>25.451751346999998</v>
      </c>
      <c r="S466" s="6">
        <f t="shared" si="278"/>
        <v>25.711888977999998</v>
      </c>
      <c r="T466" s="6">
        <f t="shared" si="278"/>
        <v>25.975809008999999</v>
      </c>
      <c r="U466" s="6">
        <f t="shared" si="278"/>
        <v>26.243601126000001</v>
      </c>
      <c r="V466" s="6">
        <f t="shared" si="278"/>
        <v>26.515356842000003</v>
      </c>
      <c r="W466" s="6">
        <f t="shared" si="278"/>
        <v>26.773181854000001</v>
      </c>
      <c r="X466" s="6">
        <f t="shared" si="278"/>
        <v>27.046909569</v>
      </c>
      <c r="Y466" s="6">
        <f t="shared" si="278"/>
        <v>27.328192815000001</v>
      </c>
      <c r="Z466" s="6">
        <f t="shared" si="278"/>
        <v>27.615162114</v>
      </c>
      <c r="AA466" s="6">
        <f t="shared" si="278"/>
        <v>27.907330414</v>
      </c>
      <c r="AB466" s="6">
        <f t="shared" si="278"/>
        <v>28.153431825000002</v>
      </c>
      <c r="AC466" s="6">
        <f t="shared" si="278"/>
        <v>28.413822498999998</v>
      </c>
      <c r="AD466" s="6">
        <f t="shared" si="278"/>
        <v>28.679944026000001</v>
      </c>
      <c r="AE466" s="6">
        <f t="shared" si="278"/>
        <v>28.950537437999998</v>
      </c>
      <c r="AF466" s="6">
        <f t="shared" si="278"/>
        <v>29.225631077999999</v>
      </c>
      <c r="AG466" s="6">
        <f t="shared" si="278"/>
        <v>29.505482211999997</v>
      </c>
      <c r="AH466" s="6">
        <f t="shared" si="278"/>
        <v>29.790351415</v>
      </c>
      <c r="AI466" s="6">
        <f t="shared" si="278"/>
        <v>30.080443936999998</v>
      </c>
      <c r="AJ466" s="6">
        <f t="shared" si="278"/>
        <v>30.375898034000002</v>
      </c>
      <c r="AK466" s="6">
        <f t="shared" si="278"/>
        <v>30.676791456000004</v>
      </c>
      <c r="AL466" s="6">
        <f t="shared" si="278"/>
        <v>30.983155713999999</v>
      </c>
      <c r="AM466" s="6">
        <f t="shared" ref="AM466:BC466" si="279">SUM(AM467:AM469)</f>
        <v>31.283007386999998</v>
      </c>
      <c r="AN466" s="6">
        <f t="shared" si="279"/>
        <v>31.584093156000002</v>
      </c>
      <c r="AO466" s="6">
        <f t="shared" si="279"/>
        <v>31.888160239999998</v>
      </c>
      <c r="AP466" s="6">
        <f t="shared" si="279"/>
        <v>32.196201985000002</v>
      </c>
      <c r="AQ466" s="6">
        <f t="shared" si="279"/>
        <v>32.509254241000001</v>
      </c>
      <c r="AR466" s="6">
        <f t="shared" si="279"/>
        <v>32.827274459999998</v>
      </c>
      <c r="AS466" s="6">
        <f t="shared" si="279"/>
        <v>33.149702093999998</v>
      </c>
      <c r="AT466" s="6">
        <f t="shared" si="279"/>
        <v>33.476188288000003</v>
      </c>
      <c r="AU466" s="6">
        <f t="shared" si="279"/>
        <v>33.806866096</v>
      </c>
      <c r="AV466" s="6">
        <f t="shared" si="279"/>
        <v>34.142178642999994</v>
      </c>
      <c r="AW466" s="6">
        <f t="shared" si="279"/>
        <v>34.483677978000003</v>
      </c>
      <c r="AX466" s="6">
        <f t="shared" si="279"/>
        <v>34.831060566999994</v>
      </c>
      <c r="AY466" s="6">
        <f t="shared" si="279"/>
        <v>35.184375244000002</v>
      </c>
      <c r="AZ466" s="6">
        <f t="shared" si="279"/>
        <v>35.543647739000001</v>
      </c>
      <c r="BA466" s="6">
        <f t="shared" si="279"/>
        <v>35.908842742000004</v>
      </c>
      <c r="BB466" s="6">
        <f t="shared" si="279"/>
        <v>38.172249958999998</v>
      </c>
      <c r="BC466" s="6">
        <f t="shared" si="279"/>
        <v>38.673320986</v>
      </c>
      <c r="BD466" s="6">
        <f t="shared" ref="BD466:BF466" si="280">SUM(BD467:BD469)</f>
        <v>39.182884635000008</v>
      </c>
      <c r="BE466" s="6">
        <f t="shared" si="280"/>
        <v>39.701131445000001</v>
      </c>
      <c r="BF466" s="6">
        <f t="shared" si="280"/>
        <v>40.228225399999999</v>
      </c>
    </row>
    <row r="467" spans="1:58" x14ac:dyDescent="0.35">
      <c r="B467" s="6" t="str">
        <f>[1]Results!E345</f>
        <v>CF_toe_chea_0</v>
      </c>
      <c r="C467" s="6">
        <f>[1]Results!F345</f>
        <v>5.1418492459999996</v>
      </c>
      <c r="D467" s="6">
        <f>[1]Results!G345</f>
        <v>5.2042125119999998</v>
      </c>
      <c r="E467" s="6">
        <f>[1]Results!H345</f>
        <v>5.2732984519999997</v>
      </c>
      <c r="F467" s="6">
        <f>[1]Results!I345</f>
        <v>5.3465106359999996</v>
      </c>
      <c r="G467" s="6">
        <f>[1]Results!J345</f>
        <v>5.4228407929999998</v>
      </c>
      <c r="H467" s="6">
        <f>[1]Results!K345</f>
        <v>5.5017682050000003</v>
      </c>
      <c r="I467" s="6">
        <f>[1]Results!L345</f>
        <v>5.5779074870000001</v>
      </c>
      <c r="J467" s="6">
        <f>[1]Results!M345</f>
        <v>5.6543193560000002</v>
      </c>
      <c r="K467" s="6">
        <f>[1]Results!N345</f>
        <v>5.7319968760000002</v>
      </c>
      <c r="L467" s="6">
        <f>[1]Results!O345</f>
        <v>5.8110585610000003</v>
      </c>
      <c r="M467" s="6">
        <f>[1]Results!P345</f>
        <v>5.8995609150000003</v>
      </c>
      <c r="N467" s="6">
        <f>[1]Results!Q345</f>
        <v>5.9841564470000002</v>
      </c>
      <c r="O467" s="6">
        <f>[1]Results!R345</f>
        <v>6.0677968699999996</v>
      </c>
      <c r="P467" s="6">
        <f>[1]Results!S345</f>
        <v>6.151507831</v>
      </c>
      <c r="Q467" s="6">
        <f>[1]Results!T345</f>
        <v>6.2356461840000001</v>
      </c>
      <c r="R467" s="6">
        <f>[1]Results!U345</f>
        <v>6.3202301089999997</v>
      </c>
      <c r="S467" s="6">
        <f>[1]Results!V345</f>
        <v>6.4051667549999998</v>
      </c>
      <c r="T467" s="6">
        <f>[1]Results!W345</f>
        <v>6.4903591589999996</v>
      </c>
      <c r="U467" s="6">
        <f>[1]Results!X345</f>
        <v>6.575742913</v>
      </c>
      <c r="V467" s="6">
        <f>[1]Results!Y345</f>
        <v>6.6612896250000002</v>
      </c>
      <c r="W467" s="6">
        <f>[1]Results!Z345</f>
        <v>6.7413277320000002</v>
      </c>
      <c r="X467" s="6">
        <f>[1]Results!AA345</f>
        <v>6.8249691710000002</v>
      </c>
      <c r="Y467" s="6">
        <f>[1]Results!AB345</f>
        <v>6.9100985420000001</v>
      </c>
      <c r="Z467" s="6">
        <f>[1]Results!AC345</f>
        <v>6.9960086390000003</v>
      </c>
      <c r="AA467" s="6">
        <f>[1]Results!AD345</f>
        <v>7.0824396700000003</v>
      </c>
      <c r="AB467" s="6">
        <f>[1]Results!AE345</f>
        <v>7.1534836610000001</v>
      </c>
      <c r="AC467" s="6">
        <f>[1]Results!AF345</f>
        <v>7.2270376059999997</v>
      </c>
      <c r="AD467" s="6">
        <f>[1]Results!AG345</f>
        <v>7.3015541519999996</v>
      </c>
      <c r="AE467" s="6">
        <f>[1]Results!AH345</f>
        <v>7.376654941</v>
      </c>
      <c r="AF467" s="6">
        <f>[1]Results!AI345</f>
        <v>7.4522491469999999</v>
      </c>
      <c r="AG467" s="6">
        <f>[1]Results!AJ345</f>
        <v>7.5283344019999996</v>
      </c>
      <c r="AH467" s="6">
        <f>[1]Results!AK345</f>
        <v>7.604937606</v>
      </c>
      <c r="AI467" s="6">
        <f>[1]Results!AL345</f>
        <v>7.6820923710000004</v>
      </c>
      <c r="AJ467" s="6">
        <f>[1]Results!AM345</f>
        <v>7.7598300580000004</v>
      </c>
      <c r="AK467" s="6">
        <f>[1]Results!AN345</f>
        <v>7.8381772979999997</v>
      </c>
      <c r="AL467" s="6">
        <f>[1]Results!AO345</f>
        <v>7.9171568859999999</v>
      </c>
      <c r="AM467" s="6">
        <f>[1]Results!AP345</f>
        <v>7.993244818</v>
      </c>
      <c r="AN467" s="6">
        <f>[1]Results!AQ345</f>
        <v>8.0685983809999993</v>
      </c>
      <c r="AO467" s="6">
        <f>[1]Results!AR345</f>
        <v>8.1413899260000004</v>
      </c>
      <c r="AP467" s="6">
        <f>[1]Results!AS345</f>
        <v>8.2106830370000008</v>
      </c>
      <c r="AQ467" s="6">
        <f>[1]Results!AT345</f>
        <v>8.2773360979999993</v>
      </c>
      <c r="AR467" s="6">
        <f>[1]Results!AU345</f>
        <v>8.3423390850000008</v>
      </c>
      <c r="AS467" s="6">
        <f>[1]Results!AV345</f>
        <v>8.4062303880000009</v>
      </c>
      <c r="AT467" s="6">
        <f>[1]Results!AW345</f>
        <v>8.4694805730000002</v>
      </c>
      <c r="AU467" s="6">
        <f>[1]Results!AX345</f>
        <v>8.5325758490000005</v>
      </c>
      <c r="AV467" s="6">
        <f>[1]Results!AY345</f>
        <v>8.5959682599999994</v>
      </c>
      <c r="AW467" s="6">
        <f>[1]Results!AZ345</f>
        <v>8.6603177670000004</v>
      </c>
      <c r="AX467" s="6">
        <f>[1]Results!BA345</f>
        <v>8.725688366</v>
      </c>
      <c r="AY467" s="6">
        <f>[1]Results!BB345</f>
        <v>8.7921574620000005</v>
      </c>
      <c r="AZ467" s="6">
        <f>[1]Results!BC345</f>
        <v>8.8597631850000003</v>
      </c>
      <c r="BA467" s="6">
        <f>[1]Results!BD345</f>
        <v>8.9285087440000002</v>
      </c>
      <c r="BB467" s="6">
        <f>[1]Results!BE345</f>
        <v>8.8248155520000005</v>
      </c>
      <c r="BC467" s="6">
        <f>[1]Results!BF345</f>
        <v>8.9214467200000005</v>
      </c>
      <c r="BD467" s="6">
        <f>[1]Results!BG345</f>
        <v>9.0193785480000006</v>
      </c>
      <c r="BE467" s="6">
        <f>[1]Results!BH345</f>
        <v>9.1186607859999995</v>
      </c>
      <c r="BF467" s="6">
        <f>[1]Results!BI345</f>
        <v>9.2193318049999995</v>
      </c>
    </row>
    <row r="468" spans="1:58" x14ac:dyDescent="0.35">
      <c r="B468" s="6" t="str">
        <f>[1]Results!E347</f>
        <v>CF_toe_cbio_0</v>
      </c>
      <c r="C468" s="6">
        <f>[1]Results!F347</f>
        <v>8.2068056120000001</v>
      </c>
      <c r="D468" s="6">
        <f>[1]Results!G347</f>
        <v>8.2277074740000007</v>
      </c>
      <c r="E468" s="6">
        <f>[1]Results!H347</f>
        <v>8.2234862379999996</v>
      </c>
      <c r="F468" s="6">
        <f>[1]Results!I347</f>
        <v>8.212272252</v>
      </c>
      <c r="G468" s="6">
        <f>[1]Results!J347</f>
        <v>8.2006975210000004</v>
      </c>
      <c r="H468" s="6">
        <f>[1]Results!K347</f>
        <v>8.1902718960000005</v>
      </c>
      <c r="I468" s="6">
        <f>[1]Results!L347</f>
        <v>8.178325375</v>
      </c>
      <c r="J468" s="6">
        <f>[1]Results!M347</f>
        <v>8.1668783539999996</v>
      </c>
      <c r="K468" s="6">
        <f>[1]Results!N347</f>
        <v>8.1566326789999994</v>
      </c>
      <c r="L468" s="6">
        <f>[1]Results!O347</f>
        <v>8.1477978520000001</v>
      </c>
      <c r="M468" s="6">
        <f>[1]Results!P347</f>
        <v>8.1457283789999995</v>
      </c>
      <c r="N468" s="6">
        <f>[1]Results!Q347</f>
        <v>8.1417820760000001</v>
      </c>
      <c r="O468" s="6">
        <f>[1]Results!R347</f>
        <v>8.1377223329999993</v>
      </c>
      <c r="P468" s="6">
        <f>[1]Results!S347</f>
        <v>8.1340301789999998</v>
      </c>
      <c r="Q468" s="6">
        <f>[1]Results!T347</f>
        <v>8.1308787000000002</v>
      </c>
      <c r="R468" s="6">
        <f>[1]Results!U347</f>
        <v>8.1284702580000001</v>
      </c>
      <c r="S468" s="6">
        <f>[1]Results!V347</f>
        <v>8.126997223</v>
      </c>
      <c r="T468" s="6">
        <f>[1]Results!W347</f>
        <v>8.1266005000000003</v>
      </c>
      <c r="U468" s="6">
        <f>[1]Results!X347</f>
        <v>8.1273619630000002</v>
      </c>
      <c r="V468" s="6">
        <f>[1]Results!Y347</f>
        <v>8.1293167369999999</v>
      </c>
      <c r="W468" s="6">
        <f>[1]Results!Z347</f>
        <v>8.1287469219999995</v>
      </c>
      <c r="X468" s="6">
        <f>[1]Results!AA347</f>
        <v>8.1315296579999998</v>
      </c>
      <c r="Y468" s="6">
        <f>[1]Results!AB347</f>
        <v>8.1362880430000004</v>
      </c>
      <c r="Z468" s="6">
        <f>[1]Results!AC347</f>
        <v>8.1425608549999993</v>
      </c>
      <c r="AA468" s="6">
        <f>[1]Results!AD347</f>
        <v>8.1501723740000003</v>
      </c>
      <c r="AB468" s="6">
        <f>[1]Results!AE347</f>
        <v>8.1486436740000006</v>
      </c>
      <c r="AC468" s="6">
        <f>[1]Results!AF347</f>
        <v>8.1494867529999997</v>
      </c>
      <c r="AD468" s="6">
        <f>[1]Results!AG347</f>
        <v>8.1516860439999999</v>
      </c>
      <c r="AE468" s="6">
        <f>[1]Results!AH347</f>
        <v>8.1550221769999993</v>
      </c>
      <c r="AF468" s="6">
        <f>[1]Results!AI347</f>
        <v>8.1594740110000004</v>
      </c>
      <c r="AG468" s="6">
        <f>[1]Results!AJ347</f>
        <v>8.1650761900000006</v>
      </c>
      <c r="AH468" s="6">
        <f>[1]Results!AK347</f>
        <v>8.1718756589999995</v>
      </c>
      <c r="AI468" s="6">
        <f>[1]Results!AL347</f>
        <v>8.1799156659999994</v>
      </c>
      <c r="AJ468" s="6">
        <f>[1]Results!AM347</f>
        <v>8.1892301060000001</v>
      </c>
      <c r="AK468" s="6">
        <f>[1]Results!AN347</f>
        <v>8.1998426779999996</v>
      </c>
      <c r="AL468" s="6">
        <f>[1]Results!AO347</f>
        <v>8.2117685779999992</v>
      </c>
      <c r="AM468" s="6">
        <f>[1]Results!AP347</f>
        <v>8.2226702189999994</v>
      </c>
      <c r="AN468" s="6">
        <f>[1]Results!AQ347</f>
        <v>8.2339079549999994</v>
      </c>
      <c r="AO468" s="6">
        <f>[1]Results!AR347</f>
        <v>8.2482881839999997</v>
      </c>
      <c r="AP468" s="6">
        <f>[1]Results!AS347</f>
        <v>8.2675239880000007</v>
      </c>
      <c r="AQ468" s="6">
        <f>[1]Results!AT347</f>
        <v>8.2916688430000001</v>
      </c>
      <c r="AR468" s="6">
        <f>[1]Results!AU347</f>
        <v>8.3196333849999995</v>
      </c>
      <c r="AS468" s="6">
        <f>[1]Results!AV347</f>
        <v>8.3498915359999994</v>
      </c>
      <c r="AT468" s="6">
        <f>[1]Results!AW347</f>
        <v>8.3812971550000004</v>
      </c>
      <c r="AU468" s="6">
        <f>[1]Results!AX347</f>
        <v>8.4133339370000009</v>
      </c>
      <c r="AV468" s="6">
        <f>[1]Results!AY347</f>
        <v>8.4459408029999992</v>
      </c>
      <c r="AW468" s="6">
        <f>[1]Results!AZ347</f>
        <v>8.4794565310000003</v>
      </c>
      <c r="AX468" s="6">
        <f>[1]Results!BA347</f>
        <v>8.5139339510000003</v>
      </c>
      <c r="AY468" s="6">
        <f>[1]Results!BB347</f>
        <v>8.5494570719999992</v>
      </c>
      <c r="AZ468" s="6">
        <f>[1]Results!BC347</f>
        <v>8.5860781839999998</v>
      </c>
      <c r="BA468" s="6">
        <f>[1]Results!BD347</f>
        <v>8.6238150480000009</v>
      </c>
      <c r="BB468" s="6">
        <f>[1]Results!BE347</f>
        <v>9.484807537</v>
      </c>
      <c r="BC468" s="6">
        <f>[1]Results!BF347</f>
        <v>9.5424931760000007</v>
      </c>
      <c r="BD468" s="6">
        <f>[1]Results!BG347</f>
        <v>9.6013940170000005</v>
      </c>
      <c r="BE468" s="6">
        <f>[1]Results!BH347</f>
        <v>9.6615604289999997</v>
      </c>
      <c r="BF468" s="6">
        <f>[1]Results!BI347</f>
        <v>9.7230260650000009</v>
      </c>
    </row>
    <row r="469" spans="1:58" x14ac:dyDescent="0.35">
      <c r="B469" s="6" t="str">
        <f>[1]Results!E350</f>
        <v>CF_toe_cote_0</v>
      </c>
      <c r="C469" s="6">
        <f>[1]Results!F350</f>
        <v>8.7305026960000003</v>
      </c>
      <c r="D469" s="6">
        <f>[1]Results!G350</f>
        <v>8.8401665410000003</v>
      </c>
      <c r="E469" s="6">
        <f>[1]Results!H350</f>
        <v>8.9617369769999993</v>
      </c>
      <c r="F469" s="6">
        <f>[1]Results!I350</f>
        <v>9.0925847710000003</v>
      </c>
      <c r="G469" s="6">
        <f>[1]Results!J350</f>
        <v>9.2315855599999992</v>
      </c>
      <c r="H469" s="6">
        <f>[1]Results!K350</f>
        <v>9.3777593489999997</v>
      </c>
      <c r="I469" s="6">
        <f>[1]Results!L350</f>
        <v>9.5236060140000003</v>
      </c>
      <c r="J469" s="6">
        <f>[1]Results!M350</f>
        <v>9.6729528679999994</v>
      </c>
      <c r="K469" s="6">
        <f>[1]Results!N350</f>
        <v>9.8260358839999995</v>
      </c>
      <c r="L469" s="6">
        <f>[1]Results!O350</f>
        <v>9.9826054890000009</v>
      </c>
      <c r="M469" s="6">
        <f>[1]Results!P350</f>
        <v>10.153903010000001</v>
      </c>
      <c r="N469" s="6">
        <f>[1]Results!Q350</f>
        <v>10.319976520000001</v>
      </c>
      <c r="O469" s="6">
        <f>[1]Results!R350</f>
        <v>10.487308860000001</v>
      </c>
      <c r="P469" s="6">
        <f>[1]Results!S350</f>
        <v>10.656866519999999</v>
      </c>
      <c r="Q469" s="6">
        <f>[1]Results!T350</f>
        <v>10.828774429999999</v>
      </c>
      <c r="R469" s="6">
        <f>[1]Results!U350</f>
        <v>11.003050979999999</v>
      </c>
      <c r="S469" s="6">
        <f>[1]Results!V350</f>
        <v>11.179724999999999</v>
      </c>
      <c r="T469" s="6">
        <f>[1]Results!W350</f>
        <v>11.35884935</v>
      </c>
      <c r="U469" s="6">
        <f>[1]Results!X350</f>
        <v>11.54049625</v>
      </c>
      <c r="V469" s="6">
        <f>[1]Results!Y350</f>
        <v>11.724750480000001</v>
      </c>
      <c r="W469" s="6">
        <f>[1]Results!Z350</f>
        <v>11.903107200000001</v>
      </c>
      <c r="X469" s="6">
        <f>[1]Results!AA350</f>
        <v>12.090410739999999</v>
      </c>
      <c r="Y469" s="6">
        <f>[1]Results!AB350</f>
        <v>12.281806230000001</v>
      </c>
      <c r="Z469" s="6">
        <f>[1]Results!AC350</f>
        <v>12.47659262</v>
      </c>
      <c r="AA469" s="6">
        <f>[1]Results!AD350</f>
        <v>12.674718370000001</v>
      </c>
      <c r="AB469" s="6">
        <f>[1]Results!AE350</f>
        <v>12.85130449</v>
      </c>
      <c r="AC469" s="6">
        <f>[1]Results!AF350</f>
        <v>13.037298140000001</v>
      </c>
      <c r="AD469" s="6">
        <f>[1]Results!AG350</f>
        <v>13.22670383</v>
      </c>
      <c r="AE469" s="6">
        <f>[1]Results!AH350</f>
        <v>13.41886032</v>
      </c>
      <c r="AF469" s="6">
        <f>[1]Results!AI350</f>
        <v>13.613907920000001</v>
      </c>
      <c r="AG469" s="6">
        <f>[1]Results!AJ350</f>
        <v>13.812071619999999</v>
      </c>
      <c r="AH469" s="6">
        <f>[1]Results!AK350</f>
        <v>14.01353815</v>
      </c>
      <c r="AI469" s="6">
        <f>[1]Results!AL350</f>
        <v>14.218435899999999</v>
      </c>
      <c r="AJ469" s="6">
        <f>[1]Results!AM350</f>
        <v>14.42683787</v>
      </c>
      <c r="AK469" s="6">
        <f>[1]Results!AN350</f>
        <v>14.638771480000001</v>
      </c>
      <c r="AL469" s="6">
        <f>[1]Results!AO350</f>
        <v>14.854230250000001</v>
      </c>
      <c r="AM469" s="6">
        <f>[1]Results!AP350</f>
        <v>15.067092349999999</v>
      </c>
      <c r="AN469" s="6">
        <f>[1]Results!AQ350</f>
        <v>15.281586819999999</v>
      </c>
      <c r="AO469" s="6">
        <f>[1]Results!AR350</f>
        <v>15.498482129999999</v>
      </c>
      <c r="AP469" s="6">
        <f>[1]Results!AS350</f>
        <v>15.71799496</v>
      </c>
      <c r="AQ469" s="6">
        <f>[1]Results!AT350</f>
        <v>15.9402493</v>
      </c>
      <c r="AR469" s="6">
        <f>[1]Results!AU350</f>
        <v>16.16530199</v>
      </c>
      <c r="AS469" s="6">
        <f>[1]Results!AV350</f>
        <v>16.39358017</v>
      </c>
      <c r="AT469" s="6">
        <f>[1]Results!AW350</f>
        <v>16.625410559999999</v>
      </c>
      <c r="AU469" s="6">
        <f>[1]Results!AX350</f>
        <v>16.860956309999999</v>
      </c>
      <c r="AV469" s="6">
        <f>[1]Results!AY350</f>
        <v>17.100269579999999</v>
      </c>
      <c r="AW469" s="6">
        <f>[1]Results!AZ350</f>
        <v>17.34390368</v>
      </c>
      <c r="AX469" s="6">
        <f>[1]Results!BA350</f>
        <v>17.591438249999999</v>
      </c>
      <c r="AY469" s="6">
        <f>[1]Results!BB350</f>
        <v>17.84276071</v>
      </c>
      <c r="AZ469" s="6">
        <f>[1]Results!BC350</f>
        <v>18.097806370000001</v>
      </c>
      <c r="BA469" s="6">
        <f>[1]Results!BD350</f>
        <v>18.356518950000002</v>
      </c>
      <c r="BB469" s="6">
        <f>[1]Results!BE350</f>
        <v>19.86262687</v>
      </c>
      <c r="BC469" s="6">
        <f>[1]Results!BF350</f>
        <v>20.209381090000001</v>
      </c>
      <c r="BD469" s="6">
        <f>[1]Results!BG350</f>
        <v>20.562112070000001</v>
      </c>
      <c r="BE469" s="6">
        <f>[1]Results!BH350</f>
        <v>20.92091023</v>
      </c>
      <c r="BF469" s="6">
        <f>[1]Results!BI350</f>
        <v>21.285867530000001</v>
      </c>
    </row>
    <row r="471" spans="1:58" x14ac:dyDescent="0.35">
      <c r="C471" s="2">
        <v>42005</v>
      </c>
      <c r="D471" s="2">
        <v>42370</v>
      </c>
      <c r="E471" s="2">
        <v>42736</v>
      </c>
      <c r="F471" s="2">
        <v>43101</v>
      </c>
      <c r="G471" s="2">
        <v>43466</v>
      </c>
      <c r="H471" s="2">
        <v>43831</v>
      </c>
      <c r="I471" s="2">
        <v>44197</v>
      </c>
      <c r="J471" s="2">
        <v>44562</v>
      </c>
      <c r="K471" s="2">
        <v>44927</v>
      </c>
      <c r="L471" s="2">
        <v>45292</v>
      </c>
      <c r="M471" s="2">
        <v>45658</v>
      </c>
      <c r="N471" s="2">
        <v>46023</v>
      </c>
      <c r="O471" s="2">
        <v>46388</v>
      </c>
      <c r="P471" s="2">
        <v>46753</v>
      </c>
      <c r="Q471" s="2">
        <v>47119</v>
      </c>
      <c r="R471" s="2">
        <v>47484</v>
      </c>
      <c r="S471" s="2">
        <v>47849</v>
      </c>
      <c r="T471" s="2">
        <v>48214</v>
      </c>
      <c r="U471" s="2">
        <v>48580</v>
      </c>
      <c r="V471" s="2">
        <v>48945</v>
      </c>
      <c r="W471" s="2">
        <v>49310</v>
      </c>
      <c r="X471" s="2">
        <v>49675</v>
      </c>
      <c r="Y471" s="2">
        <v>50041</v>
      </c>
      <c r="Z471" s="2">
        <v>50406</v>
      </c>
      <c r="AA471" s="2">
        <v>50771</v>
      </c>
      <c r="AB471" s="2">
        <v>51136</v>
      </c>
      <c r="AC471" s="2">
        <v>51502</v>
      </c>
      <c r="AD471" s="2">
        <v>51867</v>
      </c>
      <c r="AE471" s="2">
        <v>52232</v>
      </c>
      <c r="AF471" s="2">
        <v>52597</v>
      </c>
      <c r="AG471" s="2">
        <v>52963</v>
      </c>
      <c r="AH471" s="2">
        <v>53328</v>
      </c>
      <c r="AI471" s="2">
        <v>53693</v>
      </c>
      <c r="AJ471" s="2">
        <v>54058</v>
      </c>
      <c r="AK471" s="2">
        <v>54424</v>
      </c>
      <c r="AL471" s="2">
        <v>54789</v>
      </c>
      <c r="AM471" s="2">
        <v>54790</v>
      </c>
      <c r="AN471" s="2">
        <v>54791</v>
      </c>
      <c r="AO471" s="2">
        <v>54792</v>
      </c>
      <c r="AP471" s="2">
        <v>54793</v>
      </c>
      <c r="AQ471" s="2">
        <v>54794</v>
      </c>
      <c r="AR471" s="2">
        <v>54795</v>
      </c>
      <c r="AS471" s="2">
        <v>54796</v>
      </c>
      <c r="AT471" s="2">
        <v>54797</v>
      </c>
      <c r="AU471" s="2">
        <v>54798</v>
      </c>
      <c r="AV471" s="2">
        <v>54799</v>
      </c>
      <c r="AW471" s="2">
        <v>54800</v>
      </c>
      <c r="AX471" s="2">
        <v>54801</v>
      </c>
      <c r="AY471" s="2">
        <v>54802</v>
      </c>
      <c r="AZ471" s="2">
        <v>54803</v>
      </c>
      <c r="BA471" s="2">
        <v>54804</v>
      </c>
      <c r="BB471" s="2">
        <v>54805</v>
      </c>
      <c r="BC471" s="2">
        <v>54806</v>
      </c>
      <c r="BD471" s="2">
        <v>54807</v>
      </c>
      <c r="BE471" s="2">
        <v>54808</v>
      </c>
      <c r="BF471" s="2">
        <v>54809</v>
      </c>
    </row>
    <row r="472" spans="1:58" x14ac:dyDescent="0.35">
      <c r="A472" s="12" t="s">
        <v>93</v>
      </c>
      <c r="B472" t="s">
        <v>77</v>
      </c>
      <c r="C472" s="4">
        <f>C445/C458-1</f>
        <v>1.1996687119042448E-4</v>
      </c>
      <c r="D472" s="4">
        <f t="shared" ref="D472:AL472" si="281">D445/D458-1</f>
        <v>6.7066069165244713E-4</v>
      </c>
      <c r="E472" s="4">
        <f t="shared" si="281"/>
        <v>1.0752606832615808E-3</v>
      </c>
      <c r="F472" s="4">
        <f t="shared" si="281"/>
        <v>1.4357267291036369E-3</v>
      </c>
      <c r="G472" s="4">
        <f t="shared" si="281"/>
        <v>1.8303372547767705E-3</v>
      </c>
      <c r="H472" s="4">
        <f t="shared" si="281"/>
        <v>2.3316870255629674E-3</v>
      </c>
      <c r="I472" s="4">
        <f t="shared" si="281"/>
        <v>2.8378888736428909E-3</v>
      </c>
      <c r="J472" s="4">
        <f t="shared" si="281"/>
        <v>3.3070459849102729E-3</v>
      </c>
      <c r="K472" s="4">
        <f t="shared" si="281"/>
        <v>3.7323098178299041E-3</v>
      </c>
      <c r="L472" s="4">
        <f t="shared" si="281"/>
        <v>4.1186555994514595E-3</v>
      </c>
      <c r="M472" s="4">
        <f t="shared" si="281"/>
        <v>4.4714094528157666E-3</v>
      </c>
      <c r="N472" s="4">
        <f t="shared" si="281"/>
        <v>4.8066257629515441E-3</v>
      </c>
      <c r="O472" s="4">
        <f t="shared" si="281"/>
        <v>5.1292905222224405E-3</v>
      </c>
      <c r="P472" s="4">
        <f t="shared" si="281"/>
        <v>5.4444677168736799E-3</v>
      </c>
      <c r="Q472" s="4">
        <f t="shared" si="281"/>
        <v>5.7538354024473382E-3</v>
      </c>
      <c r="R472" s="4">
        <f t="shared" si="281"/>
        <v>6.0538637537095319E-3</v>
      </c>
      <c r="S472" s="4">
        <f t="shared" si="281"/>
        <v>6.3439401304925536E-3</v>
      </c>
      <c r="T472" s="4">
        <f t="shared" si="281"/>
        <v>6.620485412393684E-3</v>
      </c>
      <c r="U472" s="4">
        <f t="shared" si="281"/>
        <v>6.8831427506375054E-3</v>
      </c>
      <c r="V472" s="4">
        <f t="shared" si="281"/>
        <v>7.1334110996266187E-3</v>
      </c>
      <c r="W472" s="4">
        <f t="shared" si="281"/>
        <v>7.3770694036032758E-3</v>
      </c>
      <c r="X472" s="4">
        <f t="shared" si="281"/>
        <v>7.6116131859267355E-3</v>
      </c>
      <c r="Y472" s="4">
        <f t="shared" si="281"/>
        <v>7.8407408263450051E-3</v>
      </c>
      <c r="Z472" s="4">
        <f t="shared" si="281"/>
        <v>8.0660722056962175E-3</v>
      </c>
      <c r="AA472" s="4">
        <f t="shared" si="281"/>
        <v>8.2881293774679232E-3</v>
      </c>
      <c r="AB472" s="4">
        <f t="shared" si="281"/>
        <v>8.517357141534232E-3</v>
      </c>
      <c r="AC472" s="4">
        <f t="shared" si="281"/>
        <v>8.7406814311450365E-3</v>
      </c>
      <c r="AD472" s="4">
        <f t="shared" si="281"/>
        <v>8.9602525177052694E-3</v>
      </c>
      <c r="AE472" s="4">
        <f t="shared" si="281"/>
        <v>9.1757276761803563E-3</v>
      </c>
      <c r="AF472" s="4">
        <f t="shared" si="281"/>
        <v>9.3860465396724546E-3</v>
      </c>
      <c r="AG472" s="4">
        <f t="shared" si="281"/>
        <v>9.5899378067263452E-3</v>
      </c>
      <c r="AH472" s="4">
        <f t="shared" si="281"/>
        <v>9.7853906365943377E-3</v>
      </c>
      <c r="AI472" s="4">
        <f t="shared" si="281"/>
        <v>9.9717842785564947E-3</v>
      </c>
      <c r="AJ472" s="4">
        <f t="shared" si="281"/>
        <v>1.0148462434299343E-2</v>
      </c>
      <c r="AK472" s="4">
        <f t="shared" si="281"/>
        <v>1.0314890928360576E-2</v>
      </c>
      <c r="AL472" s="4">
        <f t="shared" si="281"/>
        <v>1.0470665617362762E-2</v>
      </c>
      <c r="AM472" s="4">
        <f t="shared" ref="AM472:BC472" si="282">AM445/AM458-1</f>
        <v>1.061137635477527E-2</v>
      </c>
      <c r="AN472" s="4">
        <f t="shared" si="282"/>
        <v>1.0739258625540371E-2</v>
      </c>
      <c r="AO472" s="4">
        <f t="shared" si="282"/>
        <v>1.082961078895428E-2</v>
      </c>
      <c r="AP472" s="4">
        <f t="shared" si="282"/>
        <v>1.0865918302795263E-2</v>
      </c>
      <c r="AQ472" s="4">
        <f t="shared" si="282"/>
        <v>1.084945700403539E-2</v>
      </c>
      <c r="AR472" s="4">
        <f t="shared" si="282"/>
        <v>1.0846588616605146E-2</v>
      </c>
      <c r="AS472" s="4">
        <f t="shared" si="282"/>
        <v>1.0889125199793348E-2</v>
      </c>
      <c r="AT472" s="4">
        <f t="shared" si="282"/>
        <v>1.0985458861142883E-2</v>
      </c>
      <c r="AU472" s="4">
        <f t="shared" si="282"/>
        <v>1.1120629915816194E-2</v>
      </c>
      <c r="AV472" s="4">
        <f t="shared" si="282"/>
        <v>1.1268081161457388E-2</v>
      </c>
      <c r="AW472" s="4">
        <f t="shared" si="282"/>
        <v>1.133955374522988E-2</v>
      </c>
      <c r="AX472" s="4">
        <f t="shared" si="282"/>
        <v>1.1338398563975449E-2</v>
      </c>
      <c r="AY472" s="4">
        <f t="shared" si="282"/>
        <v>1.1286354792734432E-2</v>
      </c>
      <c r="AZ472" s="4">
        <f t="shared" si="282"/>
        <v>1.1204972417516945E-2</v>
      </c>
      <c r="BA472" s="4">
        <f t="shared" si="282"/>
        <v>1.1110623571338296E-2</v>
      </c>
      <c r="BB472" s="4">
        <f t="shared" si="282"/>
        <v>-6.458486285795928E-3</v>
      </c>
      <c r="BC472" s="4">
        <f t="shared" si="282"/>
        <v>-6.4784218630451473E-3</v>
      </c>
      <c r="BD472" s="4">
        <f t="shared" ref="BD472:BF472" si="283">BD445/BD458-1</f>
        <v>-6.4910318430363434E-3</v>
      </c>
      <c r="BE472" s="4">
        <f t="shared" si="283"/>
        <v>-6.4976697909722159E-3</v>
      </c>
      <c r="BF472" s="4">
        <f t="shared" si="283"/>
        <v>-6.4989958932348824E-3</v>
      </c>
    </row>
    <row r="473" spans="1:58" x14ac:dyDescent="0.35">
      <c r="A473" t="s">
        <v>88</v>
      </c>
      <c r="B473" t="s">
        <v>76</v>
      </c>
      <c r="C473" s="4">
        <f>(C446-C459)/C$458</f>
        <v>1.6403920044193372E-6</v>
      </c>
      <c r="D473" s="4">
        <f t="shared" ref="D473:AL473" si="284">(D446-D459)/D$458</f>
        <v>3.211172069945385E-6</v>
      </c>
      <c r="E473" s="4">
        <f t="shared" si="284"/>
        <v>4.2604705299548834E-6</v>
      </c>
      <c r="F473" s="4">
        <f t="shared" si="284"/>
        <v>5.0723624394950388E-6</v>
      </c>
      <c r="G473" s="4">
        <f t="shared" si="284"/>
        <v>5.6504954380692146E-6</v>
      </c>
      <c r="H473" s="4">
        <f t="shared" si="284"/>
        <v>5.9312099697552147E-6</v>
      </c>
      <c r="I473" s="4">
        <f t="shared" si="284"/>
        <v>5.9341337318302898E-6</v>
      </c>
      <c r="J473" s="4">
        <f t="shared" si="284"/>
        <v>5.6859933119584163E-6</v>
      </c>
      <c r="K473" s="4">
        <f t="shared" si="284"/>
        <v>5.2080696997095574E-6</v>
      </c>
      <c r="L473" s="4">
        <f t="shared" si="284"/>
        <v>4.5212866330383599E-6</v>
      </c>
      <c r="M473" s="4">
        <f t="shared" si="284"/>
        <v>3.6441711834761502E-6</v>
      </c>
      <c r="N473" s="4">
        <f t="shared" si="284"/>
        <v>2.6348689296625045E-6</v>
      </c>
      <c r="O473" s="4">
        <f t="shared" si="284"/>
        <v>1.5086168184595358E-6</v>
      </c>
      <c r="P473" s="4">
        <f t="shared" si="284"/>
        <v>2.8187500845714567E-7</v>
      </c>
      <c r="Q473" s="4">
        <f t="shared" si="284"/>
        <v>-1.0347712327407399E-6</v>
      </c>
      <c r="R473" s="4">
        <f t="shared" si="284"/>
        <v>-2.4388089905240318E-6</v>
      </c>
      <c r="S473" s="4">
        <f t="shared" si="284"/>
        <v>-3.9026312996181306E-6</v>
      </c>
      <c r="T473" s="4">
        <f t="shared" si="284"/>
        <v>-5.4366134275401388E-6</v>
      </c>
      <c r="U473" s="4">
        <f t="shared" si="284"/>
        <v>-7.0437062154768095E-6</v>
      </c>
      <c r="V473" s="4">
        <f t="shared" si="284"/>
        <v>-8.724017606985934E-6</v>
      </c>
      <c r="W473" s="4">
        <f t="shared" si="284"/>
        <v>-1.0465980996716493E-5</v>
      </c>
      <c r="X473" s="4">
        <f t="shared" si="284"/>
        <v>-1.2281423702961849E-5</v>
      </c>
      <c r="Y473" s="4">
        <f t="shared" si="284"/>
        <v>-1.4163037948930876E-5</v>
      </c>
      <c r="Z473" s="4">
        <f t="shared" si="284"/>
        <v>-1.6106146841644118E-5</v>
      </c>
      <c r="AA473" s="4">
        <f t="shared" si="284"/>
        <v>-1.8106581537427191E-5</v>
      </c>
      <c r="AB473" s="4">
        <f t="shared" si="284"/>
        <v>-2.0126218701884758E-5</v>
      </c>
      <c r="AC473" s="4">
        <f t="shared" si="284"/>
        <v>-2.2208579958494123E-5</v>
      </c>
      <c r="AD473" s="4">
        <f t="shared" si="284"/>
        <v>-2.4340915474000529E-5</v>
      </c>
      <c r="AE473" s="4">
        <f t="shared" si="284"/>
        <v>-2.651879168434858E-5</v>
      </c>
      <c r="AF473" s="4">
        <f t="shared" si="284"/>
        <v>-2.8737879773430999E-5</v>
      </c>
      <c r="AG473" s="4">
        <f t="shared" si="284"/>
        <v>-3.0993504934520966E-5</v>
      </c>
      <c r="AH473" s="4">
        <f t="shared" si="284"/>
        <v>-3.3287926694552754E-5</v>
      </c>
      <c r="AI473" s="4">
        <f t="shared" si="284"/>
        <v>-3.5614121546216365E-5</v>
      </c>
      <c r="AJ473" s="4">
        <f t="shared" si="284"/>
        <v>-3.7966675563978607E-5</v>
      </c>
      <c r="AK473" s="4">
        <f t="shared" si="284"/>
        <v>-4.0340487386500113E-5</v>
      </c>
      <c r="AL473" s="4">
        <f t="shared" si="284"/>
        <v>-4.2730597876074169E-5</v>
      </c>
      <c r="AM473" s="4">
        <f t="shared" ref="AM473:BC473" si="285">(AM446-AM459)/AM$458</f>
        <v>-4.5181376296170622E-5</v>
      </c>
      <c r="AN473" s="4">
        <f t="shared" si="285"/>
        <v>-4.7664361300902915E-5</v>
      </c>
      <c r="AO473" s="4">
        <f t="shared" si="285"/>
        <v>-5.0271421589291608E-5</v>
      </c>
      <c r="AP473" s="4">
        <f t="shared" si="285"/>
        <v>-5.3045329158795331E-5</v>
      </c>
      <c r="AQ473" s="4">
        <f t="shared" si="285"/>
        <v>-5.5952818901572497E-5</v>
      </c>
      <c r="AR473" s="4">
        <f t="shared" si="285"/>
        <v>-5.9310834836758656E-5</v>
      </c>
      <c r="AS473" s="4">
        <f t="shared" si="285"/>
        <v>-6.3926120444091587E-5</v>
      </c>
      <c r="AT473" s="4">
        <f t="shared" si="285"/>
        <v>-7.0245947938444065E-5</v>
      </c>
      <c r="AU473" s="4">
        <f t="shared" si="285"/>
        <v>-7.8294575344867919E-5</v>
      </c>
      <c r="AV473" s="4">
        <f t="shared" si="285"/>
        <v>-8.7870113930767229E-5</v>
      </c>
      <c r="AW473" s="4">
        <f t="shared" si="285"/>
        <v>-9.8230875929174001E-5</v>
      </c>
      <c r="AX473" s="4">
        <f t="shared" si="285"/>
        <v>-1.0795688127393316E-4</v>
      </c>
      <c r="AY473" s="4">
        <f t="shared" si="285"/>
        <v>-1.1620968669103366E-4</v>
      </c>
      <c r="AZ473" s="4">
        <f t="shared" si="285"/>
        <v>-1.2278543066997056E-4</v>
      </c>
      <c r="BA473" s="4">
        <f t="shared" si="285"/>
        <v>-1.2782144971083519E-4</v>
      </c>
      <c r="BB473" s="4">
        <f t="shared" si="285"/>
        <v>6.0997985661663914E-5</v>
      </c>
      <c r="BC473" s="4">
        <f t="shared" si="285"/>
        <v>6.4757018895901747E-5</v>
      </c>
      <c r="BD473" s="4">
        <f t="shared" ref="BD473:BF473" si="286">(BD446-BD459)/BD$458</f>
        <v>6.8663483785173939E-5</v>
      </c>
      <c r="BE473" s="4">
        <f t="shared" si="286"/>
        <v>7.2721338954668705E-5</v>
      </c>
      <c r="BF473" s="4">
        <f t="shared" si="286"/>
        <v>7.6927149163177053E-5</v>
      </c>
    </row>
    <row r="474" spans="1:58" x14ac:dyDescent="0.35">
      <c r="B474" t="s">
        <v>74</v>
      </c>
      <c r="C474" s="4">
        <f>(C447-C460)/C$458</f>
        <v>9.035260495023199E-5</v>
      </c>
      <c r="D474" s="4">
        <f t="shared" ref="D474:AL474" si="287">(D447-D460)/D$458</f>
        <v>2.8114286294035813E-4</v>
      </c>
      <c r="E474" s="4">
        <f t="shared" si="287"/>
        <v>4.1046447851223692E-4</v>
      </c>
      <c r="F474" s="4">
        <f t="shared" si="287"/>
        <v>5.1569671123732083E-4</v>
      </c>
      <c r="G474" s="4">
        <f t="shared" si="287"/>
        <v>6.2203321902727421E-4</v>
      </c>
      <c r="H474" s="4">
        <f t="shared" si="287"/>
        <v>7.4693271612331989E-4</v>
      </c>
      <c r="I474" s="4">
        <f t="shared" si="287"/>
        <v>8.778178920376572E-4</v>
      </c>
      <c r="J474" s="4">
        <f t="shared" si="287"/>
        <v>1.0087771423650154E-3</v>
      </c>
      <c r="K474" s="4">
        <f t="shared" si="287"/>
        <v>1.1376156241102765E-3</v>
      </c>
      <c r="L474" s="4">
        <f t="shared" si="287"/>
        <v>1.2633653893255833E-3</v>
      </c>
      <c r="M474" s="4">
        <f t="shared" si="287"/>
        <v>1.3850549820076017E-3</v>
      </c>
      <c r="N474" s="4">
        <f t="shared" si="287"/>
        <v>1.5055515009982595E-3</v>
      </c>
      <c r="O474" s="4">
        <f t="shared" si="287"/>
        <v>1.6242796271573497E-3</v>
      </c>
      <c r="P474" s="4">
        <f t="shared" si="287"/>
        <v>1.7415324841924902E-3</v>
      </c>
      <c r="Q474" s="4">
        <f t="shared" si="287"/>
        <v>1.8571940362796917E-3</v>
      </c>
      <c r="R474" s="4">
        <f t="shared" si="287"/>
        <v>1.9701678851618554E-3</v>
      </c>
      <c r="S474" s="4">
        <f t="shared" si="287"/>
        <v>2.080919030535189E-3</v>
      </c>
      <c r="T474" s="4">
        <f t="shared" si="287"/>
        <v>2.187850802654062E-3</v>
      </c>
      <c r="U474" s="4">
        <f t="shared" si="287"/>
        <v>2.2905838371865645E-3</v>
      </c>
      <c r="V474" s="4">
        <f t="shared" si="287"/>
        <v>2.3892824419506592E-3</v>
      </c>
      <c r="W474" s="4">
        <f t="shared" si="287"/>
        <v>2.4852962617709505E-3</v>
      </c>
      <c r="X474" s="4">
        <f t="shared" si="287"/>
        <v>2.5778277224699493E-3</v>
      </c>
      <c r="Y474" s="4">
        <f t="shared" si="287"/>
        <v>2.6678309596259498E-3</v>
      </c>
      <c r="Z474" s="4">
        <f t="shared" si="287"/>
        <v>2.7557962550201196E-3</v>
      </c>
      <c r="AA474" s="4">
        <f t="shared" si="287"/>
        <v>2.8419850497371263E-3</v>
      </c>
      <c r="AB474" s="4">
        <f t="shared" si="287"/>
        <v>2.9293214221900194E-3</v>
      </c>
      <c r="AC474" s="4">
        <f t="shared" si="287"/>
        <v>3.0141728247724234E-3</v>
      </c>
      <c r="AD474" s="4">
        <f t="shared" si="287"/>
        <v>3.0975059669772495E-3</v>
      </c>
      <c r="AE474" s="4">
        <f t="shared" si="287"/>
        <v>3.1794638201107978E-3</v>
      </c>
      <c r="AF474" s="4">
        <f t="shared" si="287"/>
        <v>3.2599614302152758E-3</v>
      </c>
      <c r="AG474" s="4">
        <f t="shared" si="287"/>
        <v>3.3388271403611601E-3</v>
      </c>
      <c r="AH474" s="4">
        <f t="shared" si="287"/>
        <v>3.4154810715326367E-3</v>
      </c>
      <c r="AI474" s="4">
        <f t="shared" si="287"/>
        <v>3.4899856929719564E-3</v>
      </c>
      <c r="AJ474" s="4">
        <f t="shared" si="287"/>
        <v>3.5622731550913715E-3</v>
      </c>
      <c r="AK474" s="4">
        <f t="shared" si="287"/>
        <v>3.6322839178491804E-3</v>
      </c>
      <c r="AL474" s="4">
        <f t="shared" si="287"/>
        <v>3.6999809603949058E-3</v>
      </c>
      <c r="AM474" s="4">
        <f t="shared" ref="AM474:BC474" si="288">(AM447-AM460)/AM$458</f>
        <v>3.7626401265432878E-3</v>
      </c>
      <c r="AN474" s="4">
        <f t="shared" si="288"/>
        <v>3.8220383205680836E-3</v>
      </c>
      <c r="AO474" s="4">
        <f t="shared" si="288"/>
        <v>3.8691727283199869E-3</v>
      </c>
      <c r="AP474" s="4">
        <f t="shared" si="288"/>
        <v>3.8986714433554216E-3</v>
      </c>
      <c r="AQ474" s="4">
        <f t="shared" si="288"/>
        <v>3.9118355777081918E-3</v>
      </c>
      <c r="AR474" s="4">
        <f t="shared" si="288"/>
        <v>3.9303584534575269E-3</v>
      </c>
      <c r="AS474" s="4">
        <f t="shared" si="288"/>
        <v>3.9575020682187005E-3</v>
      </c>
      <c r="AT474" s="4">
        <f t="shared" si="288"/>
        <v>3.9934784579773704E-3</v>
      </c>
      <c r="AU474" s="4">
        <f t="shared" si="288"/>
        <v>4.0357722517814186E-3</v>
      </c>
      <c r="AV474" s="4">
        <f t="shared" si="288"/>
        <v>4.080197164418784E-3</v>
      </c>
      <c r="AW474" s="4">
        <f t="shared" si="288"/>
        <v>4.0998527165606409E-3</v>
      </c>
      <c r="AX474" s="4">
        <f t="shared" si="288"/>
        <v>4.1018927281591061E-3</v>
      </c>
      <c r="AY474" s="4">
        <f t="shared" si="288"/>
        <v>4.0935174770746815E-3</v>
      </c>
      <c r="AZ474" s="4">
        <f t="shared" si="288"/>
        <v>4.079572801291338E-3</v>
      </c>
      <c r="BA474" s="4">
        <f t="shared" si="288"/>
        <v>4.0632408374875455E-3</v>
      </c>
      <c r="BB474" s="4">
        <f t="shared" si="288"/>
        <v>2.3950669873721675E-4</v>
      </c>
      <c r="BC474" s="4">
        <f t="shared" si="288"/>
        <v>2.8874343578292038E-4</v>
      </c>
      <c r="BD474" s="4">
        <f t="shared" ref="BD474:BF474" si="289">(BD447-BD460)/BD$458</f>
        <v>3.3972792941266245E-4</v>
      </c>
      <c r="BE474" s="4">
        <f t="shared" si="289"/>
        <v>3.9240162248381299E-4</v>
      </c>
      <c r="BF474" s="4">
        <f t="shared" si="289"/>
        <v>4.4679491753305683E-4</v>
      </c>
    </row>
    <row r="475" spans="1:58" x14ac:dyDescent="0.35">
      <c r="B475" t="s">
        <v>54</v>
      </c>
      <c r="C475" s="4">
        <f>(C451-C464)/C$458</f>
        <v>2.1762591420245079E-5</v>
      </c>
      <c r="D475" s="4">
        <f t="shared" ref="D475:AL475" si="290">(D451-D464)/D$458</f>
        <v>3.4977739266325993E-4</v>
      </c>
      <c r="E475" s="4">
        <f t="shared" si="290"/>
        <v>5.8854652265009249E-4</v>
      </c>
      <c r="F475" s="4">
        <f t="shared" si="290"/>
        <v>7.7938815823766982E-4</v>
      </c>
      <c r="G475" s="4">
        <f t="shared" si="290"/>
        <v>9.6418761952821468E-4</v>
      </c>
      <c r="H475" s="4">
        <f t="shared" si="290"/>
        <v>1.1823026283262477E-3</v>
      </c>
      <c r="I475" s="4">
        <f t="shared" si="290"/>
        <v>1.3712043416189729E-3</v>
      </c>
      <c r="J475" s="4">
        <f t="shared" si="290"/>
        <v>1.5192809040457452E-3</v>
      </c>
      <c r="K475" s="4">
        <f t="shared" si="290"/>
        <v>1.63443456922343E-3</v>
      </c>
      <c r="L475" s="4">
        <f t="shared" si="290"/>
        <v>1.7269603760474556E-3</v>
      </c>
      <c r="M475" s="4">
        <f t="shared" si="290"/>
        <v>1.8040839083870493E-3</v>
      </c>
      <c r="N475" s="4">
        <f t="shared" si="290"/>
        <v>1.8745403579952405E-3</v>
      </c>
      <c r="O475" s="4">
        <f t="shared" si="290"/>
        <v>1.9417081975193434E-3</v>
      </c>
      <c r="P475" s="4">
        <f t="shared" si="290"/>
        <v>2.0078842795460093E-3</v>
      </c>
      <c r="Q475" s="4">
        <f t="shared" si="290"/>
        <v>2.0736731489441364E-3</v>
      </c>
      <c r="R475" s="4">
        <f t="shared" si="290"/>
        <v>2.1376251241291876E-3</v>
      </c>
      <c r="S475" s="4">
        <f t="shared" si="290"/>
        <v>2.1995322166597415E-3</v>
      </c>
      <c r="T475" s="4">
        <f t="shared" si="290"/>
        <v>2.2586154235925962E-3</v>
      </c>
      <c r="U475" s="4">
        <f t="shared" si="290"/>
        <v>2.3149693932306712E-3</v>
      </c>
      <c r="V475" s="4">
        <f t="shared" si="290"/>
        <v>2.3693384168195363E-3</v>
      </c>
      <c r="W475" s="4">
        <f t="shared" si="290"/>
        <v>2.423756438123079E-3</v>
      </c>
      <c r="X475" s="4">
        <f t="shared" si="290"/>
        <v>2.4779553125296194E-3</v>
      </c>
      <c r="Y475" s="4">
        <f t="shared" si="290"/>
        <v>2.5333357099586026E-3</v>
      </c>
      <c r="Z475" s="4">
        <f t="shared" si="290"/>
        <v>2.5905075448224607E-3</v>
      </c>
      <c r="AA475" s="4">
        <f t="shared" si="290"/>
        <v>2.6496085884389823E-3</v>
      </c>
      <c r="AB475" s="4">
        <f t="shared" si="290"/>
        <v>2.7133329128171471E-3</v>
      </c>
      <c r="AC475" s="4">
        <f t="shared" si="290"/>
        <v>2.7778981738622497E-3</v>
      </c>
      <c r="AD475" s="4">
        <f t="shared" si="290"/>
        <v>2.8437242227381319E-3</v>
      </c>
      <c r="AE475" s="4">
        <f t="shared" si="290"/>
        <v>2.9105789793340778E-3</v>
      </c>
      <c r="AF475" s="4">
        <f t="shared" si="290"/>
        <v>2.9779910856375658E-3</v>
      </c>
      <c r="AG475" s="4">
        <f t="shared" si="290"/>
        <v>3.0454033231446117E-3</v>
      </c>
      <c r="AH475" s="4">
        <f t="shared" si="290"/>
        <v>3.1119873890044355E-3</v>
      </c>
      <c r="AI475" s="4">
        <f t="shared" si="290"/>
        <v>3.177342406664159E-3</v>
      </c>
      <c r="AJ475" s="4">
        <f t="shared" si="290"/>
        <v>3.2411661409222346E-3</v>
      </c>
      <c r="AK475" s="4">
        <f t="shared" si="290"/>
        <v>3.3032328613439538E-3</v>
      </c>
      <c r="AL475" s="4">
        <f t="shared" si="290"/>
        <v>3.3633850651985913E-3</v>
      </c>
      <c r="AM475" s="4">
        <f t="shared" ref="AM475:BC475" si="291">(AM451-AM464)/AM$458</f>
        <v>3.4198114033598026E-3</v>
      </c>
      <c r="AN475" s="4">
        <f t="shared" si="291"/>
        <v>3.4728255131457023E-3</v>
      </c>
      <c r="AO475" s="4">
        <f t="shared" si="291"/>
        <v>3.516871764159444E-3</v>
      </c>
      <c r="AP475" s="4">
        <f t="shared" si="291"/>
        <v>3.5489607449714872E-3</v>
      </c>
      <c r="AQ475" s="4">
        <f t="shared" si="291"/>
        <v>3.5710915001472511E-3</v>
      </c>
      <c r="AR475" s="4">
        <f t="shared" si="291"/>
        <v>3.6060021638386073E-3</v>
      </c>
      <c r="AS475" s="4">
        <f t="shared" si="291"/>
        <v>3.6701491965947758E-3</v>
      </c>
      <c r="AT475" s="4">
        <f t="shared" si="291"/>
        <v>3.7695806356736919E-3</v>
      </c>
      <c r="AU475" s="4">
        <f t="shared" si="291"/>
        <v>3.8978917776900253E-3</v>
      </c>
      <c r="AV475" s="4">
        <f t="shared" si="291"/>
        <v>4.0420057729965214E-3</v>
      </c>
      <c r="AW475" s="4">
        <f t="shared" si="291"/>
        <v>4.1708270689338536E-3</v>
      </c>
      <c r="AX475" s="4">
        <f t="shared" si="291"/>
        <v>4.2762442421509289E-3</v>
      </c>
      <c r="AY475" s="4">
        <f t="shared" si="291"/>
        <v>4.3598448791574785E-3</v>
      </c>
      <c r="AZ475" s="4">
        <f t="shared" si="291"/>
        <v>4.4263388543405568E-3</v>
      </c>
      <c r="BA475" s="4">
        <f t="shared" si="291"/>
        <v>4.4804917988041822E-3</v>
      </c>
      <c r="BB475" s="4">
        <f t="shared" si="291"/>
        <v>-8.661421253622131E-4</v>
      </c>
      <c r="BC475" s="4">
        <f t="shared" si="291"/>
        <v>-8.3995684306484059E-4</v>
      </c>
      <c r="BD475" s="4">
        <f t="shared" ref="BD475:BF475" si="292">(BD451-BD464)/BD$458</f>
        <v>-8.1262219868272971E-4</v>
      </c>
      <c r="BE475" s="4">
        <f t="shared" si="292"/>
        <v>-7.8445734484772862E-4</v>
      </c>
      <c r="BF475" s="4">
        <f t="shared" si="292"/>
        <v>-7.5553111557959596E-4</v>
      </c>
    </row>
    <row r="476" spans="1:58" x14ac:dyDescent="0.35">
      <c r="B476" t="s">
        <v>11</v>
      </c>
      <c r="C476" s="4">
        <f>(C452-C465)/C$458</f>
        <v>1.805903485789665E-5</v>
      </c>
      <c r="D476" s="4">
        <f t="shared" ref="D476:AL476" si="293">(D452-D465)/D$458</f>
        <v>2.7064844963052147E-4</v>
      </c>
      <c r="E476" s="4">
        <f t="shared" si="293"/>
        <v>4.2269587513139173E-4</v>
      </c>
      <c r="F476" s="4">
        <f t="shared" si="293"/>
        <v>5.2825017365129166E-4</v>
      </c>
      <c r="G476" s="4">
        <f t="shared" si="293"/>
        <v>6.3045772666391205E-4</v>
      </c>
      <c r="H476" s="4">
        <f t="shared" si="293"/>
        <v>7.584192759856861E-4</v>
      </c>
      <c r="I476" s="4">
        <f t="shared" si="293"/>
        <v>8.9883345953999322E-4</v>
      </c>
      <c r="J476" s="4">
        <f t="shared" si="293"/>
        <v>1.0421560045374379E-3</v>
      </c>
      <c r="K476" s="4">
        <f t="shared" si="293"/>
        <v>1.1829931669729472E-3</v>
      </c>
      <c r="L476" s="4">
        <f t="shared" si="293"/>
        <v>1.318783572533487E-3</v>
      </c>
      <c r="M476" s="4">
        <f t="shared" si="293"/>
        <v>1.4477611251364165E-3</v>
      </c>
      <c r="N476" s="4">
        <f t="shared" si="293"/>
        <v>1.5730954920507227E-3</v>
      </c>
      <c r="O476" s="4">
        <f t="shared" si="293"/>
        <v>1.695189127362427E-3</v>
      </c>
      <c r="P476" s="4">
        <f t="shared" si="293"/>
        <v>1.8148611639894816E-3</v>
      </c>
      <c r="Q476" s="4">
        <f t="shared" si="293"/>
        <v>1.9322072257627323E-3</v>
      </c>
      <c r="R476" s="4">
        <f t="shared" si="293"/>
        <v>2.0458440009203786E-3</v>
      </c>
      <c r="S476" s="4">
        <f t="shared" si="293"/>
        <v>2.155375019002309E-3</v>
      </c>
      <c r="T476" s="4">
        <f t="shared" si="293"/>
        <v>2.259713200342343E-3</v>
      </c>
      <c r="U476" s="4">
        <f t="shared" si="293"/>
        <v>2.3585633950756373E-3</v>
      </c>
      <c r="V476" s="4">
        <f t="shared" si="293"/>
        <v>2.4522351659496838E-3</v>
      </c>
      <c r="W476" s="4">
        <f t="shared" si="293"/>
        <v>2.5427269517591744E-3</v>
      </c>
      <c r="X476" s="4">
        <f t="shared" si="293"/>
        <v>2.6286660376907325E-3</v>
      </c>
      <c r="Y476" s="4">
        <f t="shared" si="293"/>
        <v>2.7112475468756554E-3</v>
      </c>
      <c r="Z476" s="4">
        <f t="shared" si="293"/>
        <v>2.79096904578683E-3</v>
      </c>
      <c r="AA476" s="4">
        <f t="shared" si="293"/>
        <v>2.86800380984746E-3</v>
      </c>
      <c r="AB476" s="4">
        <f t="shared" si="293"/>
        <v>2.9466954351256036E-3</v>
      </c>
      <c r="AC476" s="4">
        <f t="shared" si="293"/>
        <v>3.0219027639172068E-3</v>
      </c>
      <c r="AD476" s="4">
        <f t="shared" si="293"/>
        <v>3.0944212606626451E-3</v>
      </c>
      <c r="AE476" s="4">
        <f t="shared" si="293"/>
        <v>3.1642542630024007E-3</v>
      </c>
      <c r="AF476" s="4">
        <f t="shared" si="293"/>
        <v>3.2311541229681092E-3</v>
      </c>
      <c r="AG476" s="4">
        <f t="shared" si="293"/>
        <v>3.2947823629126227E-3</v>
      </c>
      <c r="AH476" s="4">
        <f t="shared" si="293"/>
        <v>3.3545726653895973E-3</v>
      </c>
      <c r="AI476" s="4">
        <f t="shared" si="293"/>
        <v>3.4103183101658946E-3</v>
      </c>
      <c r="AJ476" s="4">
        <f t="shared" si="293"/>
        <v>3.4618466101209405E-3</v>
      </c>
      <c r="AK476" s="4">
        <f t="shared" si="293"/>
        <v>3.5090109119479199E-3</v>
      </c>
      <c r="AL476" s="4">
        <f t="shared" si="293"/>
        <v>3.5516869779340589E-3</v>
      </c>
      <c r="AM476" s="4">
        <f t="shared" ref="AM476:BC476" si="294">(AM452-AM465)/AM$458</f>
        <v>3.5889941736592262E-3</v>
      </c>
      <c r="AN476" s="4">
        <f t="shared" si="294"/>
        <v>3.6210861976702933E-3</v>
      </c>
      <c r="AO476" s="4">
        <f t="shared" si="294"/>
        <v>3.637098459744228E-3</v>
      </c>
      <c r="AP476" s="4">
        <f t="shared" si="294"/>
        <v>3.630389795137507E-3</v>
      </c>
      <c r="AQ476" s="4">
        <f t="shared" si="294"/>
        <v>3.601947100186562E-3</v>
      </c>
      <c r="AR476" s="4">
        <f t="shared" si="294"/>
        <v>3.5728032853756322E-3</v>
      </c>
      <c r="AS476" s="4">
        <f t="shared" si="294"/>
        <v>3.5528806090665789E-3</v>
      </c>
      <c r="AT476" s="4">
        <f t="shared" si="294"/>
        <v>3.542990256266948E-3</v>
      </c>
      <c r="AU476" s="4">
        <f t="shared" si="294"/>
        <v>3.5374822230609232E-3</v>
      </c>
      <c r="AV476" s="4">
        <f t="shared" si="294"/>
        <v>3.5285303268314983E-3</v>
      </c>
      <c r="AW476" s="4">
        <f t="shared" si="294"/>
        <v>3.4893487054334449E-3</v>
      </c>
      <c r="AX476" s="4">
        <f t="shared" si="294"/>
        <v>3.4212207365809507E-3</v>
      </c>
      <c r="AY476" s="4">
        <f t="shared" si="294"/>
        <v>3.3342099101519897E-3</v>
      </c>
      <c r="AZ476" s="4">
        <f t="shared" si="294"/>
        <v>3.2386563233934183E-3</v>
      </c>
      <c r="BA476" s="4">
        <f t="shared" si="294"/>
        <v>3.142236088938378E-3</v>
      </c>
      <c r="BB476" s="4">
        <f t="shared" si="294"/>
        <v>-3.684713823683807E-3</v>
      </c>
      <c r="BC476" s="4">
        <f t="shared" si="294"/>
        <v>-3.753445307622707E-3</v>
      </c>
      <c r="BD476" s="4">
        <f t="shared" ref="BD476:BF476" si="295">(BD452-BD465)/BD$458</f>
        <v>-3.8196067454071307E-3</v>
      </c>
      <c r="BE476" s="4">
        <f t="shared" si="295"/>
        <v>-3.8837634685695037E-3</v>
      </c>
      <c r="BF476" s="4">
        <f t="shared" si="295"/>
        <v>-3.9463448772560899E-3</v>
      </c>
    </row>
    <row r="477" spans="1:58" x14ac:dyDescent="0.35">
      <c r="B477" t="s">
        <v>75</v>
      </c>
      <c r="C477" s="4">
        <f>(C453-C466)/C$458</f>
        <v>-1.1847623294911476E-5</v>
      </c>
      <c r="D477" s="4">
        <f t="shared" ref="D477:AL477" si="296">(D453-D466)/D$458</f>
        <v>-2.3411898802605069E-4</v>
      </c>
      <c r="E477" s="4">
        <f t="shared" si="296"/>
        <v>-3.5070724615356581E-4</v>
      </c>
      <c r="F477" s="4">
        <f t="shared" si="296"/>
        <v>-3.9268080997182568E-4</v>
      </c>
      <c r="G477" s="4">
        <f t="shared" si="296"/>
        <v>-3.9199179688678579E-4</v>
      </c>
      <c r="H477" s="4">
        <f t="shared" si="296"/>
        <v>-3.6189843617690209E-4</v>
      </c>
      <c r="I477" s="4">
        <f t="shared" si="296"/>
        <v>-3.1590084304694576E-4</v>
      </c>
      <c r="J477" s="4">
        <f t="shared" si="296"/>
        <v>-2.6885374038803972E-4</v>
      </c>
      <c r="K477" s="4">
        <f t="shared" si="296"/>
        <v>-2.2794152884843543E-4</v>
      </c>
      <c r="L477" s="4">
        <f t="shared" si="296"/>
        <v>-1.9497505373958324E-4</v>
      </c>
      <c r="M477" s="4">
        <f t="shared" si="296"/>
        <v>-1.6913466757727879E-4</v>
      </c>
      <c r="N477" s="4">
        <f t="shared" si="296"/>
        <v>-1.4919642841576024E-4</v>
      </c>
      <c r="O477" s="4">
        <f t="shared" si="296"/>
        <v>-1.3339528807949054E-4</v>
      </c>
      <c r="P477" s="4">
        <f t="shared" si="296"/>
        <v>-1.2009192933550793E-4</v>
      </c>
      <c r="Q477" s="4">
        <f t="shared" si="296"/>
        <v>-1.0820456064887606E-4</v>
      </c>
      <c r="R477" s="4">
        <f t="shared" si="296"/>
        <v>-9.7334649144833847E-5</v>
      </c>
      <c r="S477" s="4">
        <f t="shared" si="296"/>
        <v>-8.7983343212043341E-5</v>
      </c>
      <c r="T477" s="4">
        <f t="shared" si="296"/>
        <v>-8.0257154443113301E-5</v>
      </c>
      <c r="U477" s="4">
        <f t="shared" si="296"/>
        <v>-7.3929934313703068E-5</v>
      </c>
      <c r="V477" s="4">
        <f t="shared" si="296"/>
        <v>-6.8720796211421277E-5</v>
      </c>
      <c r="W477" s="4">
        <f t="shared" si="296"/>
        <v>-6.4244359858242221E-5</v>
      </c>
      <c r="X477" s="4">
        <f t="shared" si="296"/>
        <v>-6.0554525120812424E-5</v>
      </c>
      <c r="Y477" s="4">
        <f t="shared" si="296"/>
        <v>-5.7510344678414082E-5</v>
      </c>
      <c r="Z477" s="4">
        <f t="shared" si="296"/>
        <v>-5.5094520747431021E-5</v>
      </c>
      <c r="AA477" s="4">
        <f t="shared" si="296"/>
        <v>-5.3361298971544827E-5</v>
      </c>
      <c r="AB477" s="4">
        <f t="shared" si="296"/>
        <v>-5.1866155802126498E-5</v>
      </c>
      <c r="AC477" s="4">
        <f t="shared" si="296"/>
        <v>-5.1083837733633567E-5</v>
      </c>
      <c r="AD477" s="4">
        <f t="shared" si="296"/>
        <v>-5.1058078444884694E-5</v>
      </c>
      <c r="AE477" s="4">
        <f t="shared" si="296"/>
        <v>-5.2050420123032776E-5</v>
      </c>
      <c r="AF477" s="4">
        <f t="shared" si="296"/>
        <v>-5.4322034473669551E-5</v>
      </c>
      <c r="AG477" s="4">
        <f t="shared" si="296"/>
        <v>-5.8081544279857798E-5</v>
      </c>
      <c r="AH477" s="4">
        <f t="shared" si="296"/>
        <v>-6.3362950047080388E-5</v>
      </c>
      <c r="AI477" s="4">
        <f t="shared" si="296"/>
        <v>-7.0248060824678175E-5</v>
      </c>
      <c r="AJ477" s="4">
        <f t="shared" si="296"/>
        <v>-7.8856897528622663E-5</v>
      </c>
      <c r="AK477" s="4">
        <f t="shared" si="296"/>
        <v>-8.9296033154476526E-5</v>
      </c>
      <c r="AL477" s="4">
        <f t="shared" si="296"/>
        <v>-1.0165679356028426E-4</v>
      </c>
      <c r="AM477" s="4">
        <f t="shared" ref="AM477:BC477" si="297">(AM453-AM466)/AM$458</f>
        <v>-1.1488810562773944E-4</v>
      </c>
      <c r="AN477" s="4">
        <f t="shared" si="297"/>
        <v>-1.2902715227916604E-4</v>
      </c>
      <c r="AO477" s="4">
        <f t="shared" si="297"/>
        <v>-1.4326084156032954E-4</v>
      </c>
      <c r="AP477" s="4">
        <f t="shared" si="297"/>
        <v>-1.590584424016958E-4</v>
      </c>
      <c r="AQ477" s="4">
        <f t="shared" si="297"/>
        <v>-1.7946443046654441E-4</v>
      </c>
      <c r="AR477" s="4">
        <f t="shared" si="297"/>
        <v>-2.0326456691399013E-4</v>
      </c>
      <c r="AS477" s="4">
        <f t="shared" si="297"/>
        <v>-2.2748063002330995E-4</v>
      </c>
      <c r="AT477" s="4">
        <f t="shared" si="297"/>
        <v>-2.5034480072224502E-4</v>
      </c>
      <c r="AU477" s="4">
        <f t="shared" si="297"/>
        <v>-2.7222195793989099E-4</v>
      </c>
      <c r="AV477" s="4">
        <f t="shared" si="297"/>
        <v>-2.9478218912180095E-4</v>
      </c>
      <c r="AW477" s="4">
        <f t="shared" si="297"/>
        <v>-3.2224412300566703E-4</v>
      </c>
      <c r="AX477" s="4">
        <f t="shared" si="297"/>
        <v>-3.5300237978598347E-4</v>
      </c>
      <c r="AY477" s="4">
        <f t="shared" si="297"/>
        <v>-3.8500772691886981E-4</v>
      </c>
      <c r="AZ477" s="4">
        <f t="shared" si="297"/>
        <v>-4.1681012355195251E-4</v>
      </c>
      <c r="BA477" s="4">
        <f t="shared" si="297"/>
        <v>-4.4752358610336372E-4</v>
      </c>
      <c r="BB477" s="4">
        <f t="shared" si="297"/>
        <v>-2.2081348168183248E-3</v>
      </c>
      <c r="BC477" s="4">
        <f t="shared" si="297"/>
        <v>-2.2385202975619312E-3</v>
      </c>
      <c r="BD477" s="4">
        <f t="shared" ref="BD477:BF477" si="298">(BD453-BD466)/BD$458</f>
        <v>-2.2671941938934635E-3</v>
      </c>
      <c r="BE477" s="4">
        <f t="shared" si="298"/>
        <v>-2.2945721350586448E-3</v>
      </c>
      <c r="BF477" s="4">
        <f t="shared" si="298"/>
        <v>-2.3208418263801216E-3</v>
      </c>
    </row>
    <row r="479" spans="1:58" x14ac:dyDescent="0.35">
      <c r="A479" s="12" t="s">
        <v>94</v>
      </c>
      <c r="B479" s="3" t="str">
        <f>[1]Results!E205</f>
        <v>YG_toe_2</v>
      </c>
      <c r="C479" s="3">
        <f>[1]Results!F205</f>
        <v>148.75861549999999</v>
      </c>
      <c r="D479" s="3">
        <f>[1]Results!G205</f>
        <v>150.0164058</v>
      </c>
      <c r="E479" s="3">
        <f>[1]Results!H205</f>
        <v>151.1706269</v>
      </c>
      <c r="F479" s="3">
        <f>[1]Results!I205</f>
        <v>152.3847069</v>
      </c>
      <c r="G479" s="3">
        <f>[1]Results!J205</f>
        <v>153.72155470000001</v>
      </c>
      <c r="H479" s="3">
        <f>[1]Results!K205</f>
        <v>155.18758450000001</v>
      </c>
      <c r="I479" s="3">
        <f>[1]Results!L205</f>
        <v>156.6798919</v>
      </c>
      <c r="J479" s="3">
        <f>[1]Results!M205</f>
        <v>158.2375007</v>
      </c>
      <c r="K479" s="3">
        <f>[1]Results!N205</f>
        <v>159.8526138</v>
      </c>
      <c r="L479" s="3">
        <f>[1]Results!O205</f>
        <v>161.51584220000001</v>
      </c>
      <c r="M479" s="3">
        <f>[1]Results!P205</f>
        <v>163.37123700000001</v>
      </c>
      <c r="N479" s="3">
        <f>[1]Results!Q205</f>
        <v>165.1563093</v>
      </c>
      <c r="O479" s="3">
        <f>[1]Results!R205</f>
        <v>166.954812</v>
      </c>
      <c r="P479" s="3">
        <f>[1]Results!S205</f>
        <v>168.77493079999999</v>
      </c>
      <c r="Q479" s="3">
        <f>[1]Results!T205</f>
        <v>170.61850459999999</v>
      </c>
      <c r="R479" s="3">
        <f>[1]Results!U205</f>
        <v>172.4859113</v>
      </c>
      <c r="S479" s="3">
        <f>[1]Results!V205</f>
        <v>174.3775919</v>
      </c>
      <c r="T479" s="3">
        <f>[1]Results!W205</f>
        <v>176.29367149999999</v>
      </c>
      <c r="U479" s="3">
        <f>[1]Results!X205</f>
        <v>178.23454330000001</v>
      </c>
      <c r="V479" s="3">
        <f>[1]Results!Y205</f>
        <v>180.20082249999999</v>
      </c>
      <c r="W479" s="3">
        <f>[1]Results!Z205</f>
        <v>182.08247940000001</v>
      </c>
      <c r="X479" s="3">
        <f>[1]Results!AA205</f>
        <v>184.06936300000001</v>
      </c>
      <c r="Y479" s="3">
        <f>[1]Results!AB205</f>
        <v>186.09790810000001</v>
      </c>
      <c r="Z479" s="3">
        <f>[1]Results!AC205</f>
        <v>188.16150339999999</v>
      </c>
      <c r="AA479" s="3">
        <f>[1]Results!AD205</f>
        <v>190.25858070000001</v>
      </c>
      <c r="AB479" s="3">
        <f>[1]Results!AE205</f>
        <v>192.07088010000001</v>
      </c>
      <c r="AC479" s="3">
        <f>[1]Results!AF205</f>
        <v>193.99048239999999</v>
      </c>
      <c r="AD479" s="3">
        <f>[1]Results!AG205</f>
        <v>195.93686360000001</v>
      </c>
      <c r="AE479" s="3">
        <f>[1]Results!AH205</f>
        <v>197.9073357</v>
      </c>
      <c r="AF479" s="3">
        <f>[1]Results!AI205</f>
        <v>199.90387240000001</v>
      </c>
      <c r="AG479" s="3">
        <f>[1]Results!AJ205</f>
        <v>201.92910259999999</v>
      </c>
      <c r="AH479" s="3">
        <f>[1]Results!AK205</f>
        <v>203.98527870000001</v>
      </c>
      <c r="AI479" s="3">
        <f>[1]Results!AL205</f>
        <v>206.0742698</v>
      </c>
      <c r="AJ479" s="3">
        <f>[1]Results!AM205</f>
        <v>208.1974079</v>
      </c>
      <c r="AK479" s="3">
        <f>[1]Results!AN205</f>
        <v>210.3555552</v>
      </c>
      <c r="AL479" s="3">
        <f>[1]Results!AO205</f>
        <v>212.54920000000001</v>
      </c>
      <c r="AM479" s="3">
        <f>[1]Results!AP205</f>
        <v>214.7018435</v>
      </c>
      <c r="AN479" s="3">
        <f>[1]Results!AQ205</f>
        <v>216.86716910000001</v>
      </c>
      <c r="AO479" s="3">
        <f>[1]Results!AR205</f>
        <v>219.05432339999999</v>
      </c>
      <c r="AP479" s="3">
        <f>[1]Results!AS205</f>
        <v>221.267383</v>
      </c>
      <c r="AQ479" s="3">
        <f>[1]Results!AT205</f>
        <v>223.50880240000001</v>
      </c>
      <c r="AR479" s="3">
        <f>[1]Results!AU205</f>
        <v>225.78020179999999</v>
      </c>
      <c r="AS479" s="3">
        <f>[1]Results!AV205</f>
        <v>228.08296730000001</v>
      </c>
      <c r="AT479" s="3">
        <f>[1]Results!AW205</f>
        <v>230.41812479999999</v>
      </c>
      <c r="AU479" s="3">
        <f>[1]Results!AX205</f>
        <v>232.78639949999999</v>
      </c>
      <c r="AV479" s="3">
        <f>[1]Results!AY205</f>
        <v>235.1882732</v>
      </c>
      <c r="AW479" s="3">
        <f>[1]Results!AZ205</f>
        <v>237.62225649999999</v>
      </c>
      <c r="AX479" s="3">
        <f>[1]Results!BA205</f>
        <v>240.08708630000001</v>
      </c>
      <c r="AY479" s="3">
        <f>[1]Results!BB205</f>
        <v>242.58780530000001</v>
      </c>
      <c r="AZ479" s="3">
        <f>[1]Results!BC205</f>
        <v>245.1288543</v>
      </c>
      <c r="BA479" s="3">
        <f>[1]Results!BD205</f>
        <v>247.71310020000001</v>
      </c>
      <c r="BB479" s="3">
        <f>[1]Results!BE205</f>
        <v>260.51870730000002</v>
      </c>
      <c r="BC479" s="3">
        <f>[1]Results!BF205</f>
        <v>264.01853419999998</v>
      </c>
      <c r="BD479" s="3">
        <f>[1]Results!BG205</f>
        <v>267.57925560000001</v>
      </c>
      <c r="BE479" s="3">
        <f>[1]Results!BH205</f>
        <v>271.20175319999998</v>
      </c>
      <c r="BF479" s="3">
        <f>[1]Results!BI205</f>
        <v>274.88702260000002</v>
      </c>
    </row>
    <row r="480" spans="1:58" x14ac:dyDescent="0.35">
      <c r="A480" t="s">
        <v>39</v>
      </c>
      <c r="B480" s="3" t="str">
        <f>[1]Results!E206</f>
        <v>YG_toe_ccoa_2</v>
      </c>
      <c r="C480" s="3">
        <f>[1]Results!F206</f>
        <v>2.3955988709999998</v>
      </c>
      <c r="D480" s="3">
        <f>[1]Results!G206</f>
        <v>2.4209896689999999</v>
      </c>
      <c r="E480" s="3">
        <f>[1]Results!H206</f>
        <v>2.4479949890000001</v>
      </c>
      <c r="F480" s="3">
        <f>[1]Results!I206</f>
        <v>2.4776516389999999</v>
      </c>
      <c r="G480" s="3">
        <f>[1]Results!J206</f>
        <v>2.5100293749999998</v>
      </c>
      <c r="H480" s="3">
        <f>[1]Results!K206</f>
        <v>2.5448242219999999</v>
      </c>
      <c r="I480" s="3">
        <f>[1]Results!L206</f>
        <v>2.5801478549999999</v>
      </c>
      <c r="J480" s="3">
        <f>[1]Results!M206</f>
        <v>2.616737455</v>
      </c>
      <c r="K480" s="3">
        <f>[1]Results!N206</f>
        <v>2.6545778590000002</v>
      </c>
      <c r="L480" s="3">
        <f>[1]Results!O206</f>
        <v>2.693544073</v>
      </c>
      <c r="M480" s="3">
        <f>[1]Results!P206</f>
        <v>2.7361969479999999</v>
      </c>
      <c r="N480" s="3">
        <f>[1]Results!Q206</f>
        <v>2.7779197760000001</v>
      </c>
      <c r="O480" s="3">
        <f>[1]Results!R206</f>
        <v>2.8200995400000002</v>
      </c>
      <c r="P480" s="3">
        <f>[1]Results!S206</f>
        <v>2.8629783820000001</v>
      </c>
      <c r="Q480" s="3">
        <f>[1]Results!T206</f>
        <v>2.906578917</v>
      </c>
      <c r="R480" s="3">
        <f>[1]Results!U206</f>
        <v>2.9508913849999998</v>
      </c>
      <c r="S480" s="3">
        <f>[1]Results!V206</f>
        <v>2.9959110500000001</v>
      </c>
      <c r="T480" s="3">
        <f>[1]Results!W206</f>
        <v>3.0416356819999999</v>
      </c>
      <c r="U480" s="3">
        <f>[1]Results!X206</f>
        <v>3.0880699360000001</v>
      </c>
      <c r="V480" s="3">
        <f>[1]Results!Y206</f>
        <v>3.1352217420000001</v>
      </c>
      <c r="W480" s="3">
        <f>[1]Results!Z206</f>
        <v>3.1810996650000001</v>
      </c>
      <c r="X480" s="3">
        <f>[1]Results!AA206</f>
        <v>3.2290980930000002</v>
      </c>
      <c r="Y480" s="3">
        <f>[1]Results!AB206</f>
        <v>3.2781421499999999</v>
      </c>
      <c r="Z480" s="3">
        <f>[1]Results!AC206</f>
        <v>3.328025024</v>
      </c>
      <c r="AA480" s="3">
        <f>[1]Results!AD206</f>
        <v>3.378713785</v>
      </c>
      <c r="AB480" s="3">
        <f>[1]Results!AE206</f>
        <v>3.4244028659999999</v>
      </c>
      <c r="AC480" s="3">
        <f>[1]Results!AF206</f>
        <v>3.4721523809999999</v>
      </c>
      <c r="AD480" s="3">
        <f>[1]Results!AG206</f>
        <v>3.520691748</v>
      </c>
      <c r="AE480" s="3">
        <f>[1]Results!AH206</f>
        <v>3.5697993669999999</v>
      </c>
      <c r="AF480" s="3">
        <f>[1]Results!AI206</f>
        <v>3.6194669309999998</v>
      </c>
      <c r="AG480" s="3">
        <f>[1]Results!AJ206</f>
        <v>3.6697239009999998</v>
      </c>
      <c r="AH480" s="3">
        <f>[1]Results!AK206</f>
        <v>3.7205996099999998</v>
      </c>
      <c r="AI480" s="3">
        <f>[1]Results!AL206</f>
        <v>3.7721171349999998</v>
      </c>
      <c r="AJ480" s="3">
        <f>[1]Results!AM206</f>
        <v>3.824290435</v>
      </c>
      <c r="AK480" s="3">
        <f>[1]Results!AN206</f>
        <v>3.8771258899999999</v>
      </c>
      <c r="AL480" s="3">
        <f>[1]Results!AO206</f>
        <v>3.930624302</v>
      </c>
      <c r="AM480" s="3">
        <f>[1]Results!AP206</f>
        <v>3.9833569930000001</v>
      </c>
      <c r="AN480" s="3">
        <f>[1]Results!AQ206</f>
        <v>4.0362872650000003</v>
      </c>
      <c r="AO480" s="3">
        <f>[1]Results!AR206</f>
        <v>4.089619312</v>
      </c>
      <c r="AP480" s="3">
        <f>[1]Results!AS206</f>
        <v>4.1434070470000002</v>
      </c>
      <c r="AQ480" s="3">
        <f>[1]Results!AT206</f>
        <v>4.1976769520000001</v>
      </c>
      <c r="AR480" s="3">
        <f>[1]Results!AU206</f>
        <v>4.2524493379999999</v>
      </c>
      <c r="AS480" s="3">
        <f>[1]Results!AV206</f>
        <v>4.3077446110000004</v>
      </c>
      <c r="AT480" s="3">
        <f>[1]Results!AW206</f>
        <v>4.3635800849999997</v>
      </c>
      <c r="AU480" s="3">
        <f>[1]Results!AX206</f>
        <v>4.4199702270000003</v>
      </c>
      <c r="AV480" s="3">
        <f>[1]Results!AY206</f>
        <v>4.476926948</v>
      </c>
      <c r="AW480" s="3">
        <f>[1]Results!AZ206</f>
        <v>4.5345899269999999</v>
      </c>
      <c r="AX480" s="3">
        <f>[1]Results!BA206</f>
        <v>4.5929735779999996</v>
      </c>
      <c r="AY480" s="3">
        <f>[1]Results!BB206</f>
        <v>4.6521196209999998</v>
      </c>
      <c r="AZ480" s="3">
        <f>[1]Results!BC206</f>
        <v>4.7120368020000001</v>
      </c>
      <c r="BA480" s="3">
        <f>[1]Results!BD206</f>
        <v>4.7727151289999998</v>
      </c>
      <c r="BB480" s="3">
        <f>[1]Results!BE206</f>
        <v>5.3030612970000002</v>
      </c>
      <c r="BC480" s="3">
        <f>[1]Results!BF206</f>
        <v>5.3926175350000003</v>
      </c>
      <c r="BD480" s="3">
        <f>[1]Results!BG206</f>
        <v>5.4835762130000001</v>
      </c>
      <c r="BE480" s="3">
        <f>[1]Results!BH206</f>
        <v>5.5759606100000001</v>
      </c>
      <c r="BF480" s="3">
        <f>[1]Results!BI206</f>
        <v>5.6697948240000002</v>
      </c>
    </row>
    <row r="481" spans="1:58" x14ac:dyDescent="0.35">
      <c r="B481" s="3" t="s">
        <v>74</v>
      </c>
      <c r="C481" s="3">
        <f>SUM(C482:C484)</f>
        <v>51.452572793000002</v>
      </c>
      <c r="D481" s="3">
        <f t="shared" ref="D481:AL481" si="299">SUM(D482:D484)</f>
        <v>51.806626784000002</v>
      </c>
      <c r="E481" s="3">
        <f t="shared" si="299"/>
        <v>52.126375328999998</v>
      </c>
      <c r="F481" s="3">
        <f t="shared" si="299"/>
        <v>52.492895693000001</v>
      </c>
      <c r="G481" s="3">
        <f t="shared" si="299"/>
        <v>52.929024673000001</v>
      </c>
      <c r="H481" s="3">
        <f t="shared" si="299"/>
        <v>53.431458605000003</v>
      </c>
      <c r="I481" s="3">
        <f t="shared" si="299"/>
        <v>53.962582094000005</v>
      </c>
      <c r="J481" s="3">
        <f t="shared" si="299"/>
        <v>54.529500745999997</v>
      </c>
      <c r="K481" s="3">
        <f t="shared" si="299"/>
        <v>55.125403544999998</v>
      </c>
      <c r="L481" s="3">
        <f t="shared" si="299"/>
        <v>55.744336889000003</v>
      </c>
      <c r="M481" s="3">
        <f t="shared" si="299"/>
        <v>56.428541836000001</v>
      </c>
      <c r="N481" s="3">
        <f t="shared" si="299"/>
        <v>57.095891440999999</v>
      </c>
      <c r="O481" s="3">
        <f t="shared" si="299"/>
        <v>57.772188344</v>
      </c>
      <c r="P481" s="3">
        <f t="shared" si="299"/>
        <v>58.458299396000001</v>
      </c>
      <c r="Q481" s="3">
        <f t="shared" si="299"/>
        <v>59.153716639999999</v>
      </c>
      <c r="R481" s="3">
        <f t="shared" si="299"/>
        <v>59.857919198999994</v>
      </c>
      <c r="S481" s="3">
        <f t="shared" si="299"/>
        <v>60.570706993999998</v>
      </c>
      <c r="T481" s="3">
        <f t="shared" si="299"/>
        <v>61.291852765999998</v>
      </c>
      <c r="U481" s="3">
        <f t="shared" si="299"/>
        <v>62.021292404</v>
      </c>
      <c r="V481" s="3">
        <f t="shared" si="299"/>
        <v>62.759047026000005</v>
      </c>
      <c r="W481" s="3">
        <f t="shared" si="299"/>
        <v>63.470710883999999</v>
      </c>
      <c r="X481" s="3">
        <f t="shared" si="299"/>
        <v>64.215053228000002</v>
      </c>
      <c r="Y481" s="3">
        <f t="shared" si="299"/>
        <v>64.971370272000001</v>
      </c>
      <c r="Z481" s="3">
        <f t="shared" si="299"/>
        <v>65.738043630999996</v>
      </c>
      <c r="AA481" s="3">
        <f t="shared" si="299"/>
        <v>66.514796700000005</v>
      </c>
      <c r="AB481" s="3">
        <f t="shared" si="299"/>
        <v>67.202161464</v>
      </c>
      <c r="AC481" s="3">
        <f t="shared" si="299"/>
        <v>67.922269717999995</v>
      </c>
      <c r="AD481" s="3">
        <f t="shared" si="299"/>
        <v>68.647540817999996</v>
      </c>
      <c r="AE481" s="3">
        <f t="shared" si="299"/>
        <v>69.377462199000007</v>
      </c>
      <c r="AF481" s="3">
        <f t="shared" si="299"/>
        <v>70.113064027999997</v>
      </c>
      <c r="AG481" s="3">
        <f t="shared" si="299"/>
        <v>70.855513133999992</v>
      </c>
      <c r="AH481" s="3">
        <f t="shared" si="299"/>
        <v>71.60577181699999</v>
      </c>
      <c r="AI481" s="3">
        <f t="shared" si="299"/>
        <v>72.364641930000005</v>
      </c>
      <c r="AJ481" s="3">
        <f t="shared" si="299"/>
        <v>73.132714389</v>
      </c>
      <c r="AK481" s="3">
        <f t="shared" si="299"/>
        <v>73.91041567500001</v>
      </c>
      <c r="AL481" s="3">
        <f t="shared" si="299"/>
        <v>74.698049533000002</v>
      </c>
      <c r="AM481" s="3">
        <f t="shared" ref="AM481:BC481" si="300">SUM(AM482:AM484)</f>
        <v>75.471538660999997</v>
      </c>
      <c r="AN481" s="3">
        <f t="shared" si="300"/>
        <v>76.247946326000005</v>
      </c>
      <c r="AO481" s="3">
        <f t="shared" si="300"/>
        <v>77.029740181000008</v>
      </c>
      <c r="AP481" s="3">
        <f t="shared" si="300"/>
        <v>77.818147745999994</v>
      </c>
      <c r="AQ481" s="3">
        <f t="shared" si="300"/>
        <v>78.61409226100001</v>
      </c>
      <c r="AR481" s="3">
        <f t="shared" si="300"/>
        <v>79.418297050999996</v>
      </c>
      <c r="AS481" s="3">
        <f t="shared" si="300"/>
        <v>80.231449868999988</v>
      </c>
      <c r="AT481" s="3">
        <f t="shared" si="300"/>
        <v>81.054094858999989</v>
      </c>
      <c r="AU481" s="3">
        <f t="shared" si="300"/>
        <v>81.886653824000007</v>
      </c>
      <c r="AV481" s="3">
        <f t="shared" si="300"/>
        <v>82.729443384000007</v>
      </c>
      <c r="AW481" s="3">
        <f t="shared" si="300"/>
        <v>83.582335142000005</v>
      </c>
      <c r="AX481" s="3">
        <f t="shared" si="300"/>
        <v>84.445223207999987</v>
      </c>
      <c r="AY481" s="3">
        <f t="shared" si="300"/>
        <v>85.319193712000001</v>
      </c>
      <c r="AZ481" s="3">
        <f t="shared" si="300"/>
        <v>86.204965294999994</v>
      </c>
      <c r="BA481" s="3">
        <f t="shared" si="300"/>
        <v>87.102952500000001</v>
      </c>
      <c r="BB481" s="3">
        <f t="shared" si="300"/>
        <v>95.014426126000018</v>
      </c>
      <c r="BC481" s="3">
        <f t="shared" si="300"/>
        <v>96.327141432000005</v>
      </c>
      <c r="BD481" s="3">
        <f t="shared" ref="BD481:BF481" si="301">SUM(BD482:BD484)</f>
        <v>97.660754142000002</v>
      </c>
      <c r="BE481" s="3">
        <f t="shared" si="301"/>
        <v>99.01581788099999</v>
      </c>
      <c r="BF481" s="3">
        <f t="shared" si="301"/>
        <v>100.392923688</v>
      </c>
    </row>
    <row r="482" spans="1:58" x14ac:dyDescent="0.35">
      <c r="B482" s="3" t="str">
        <f>[1]Results!E209</f>
        <v>YG_toe_ccoi_2</v>
      </c>
      <c r="C482" s="3">
        <f>[1]Results!F209</f>
        <v>1.0975851219999999</v>
      </c>
      <c r="D482" s="3">
        <f>[1]Results!G209</f>
        <v>1.106419906</v>
      </c>
      <c r="E482" s="3">
        <f>[1]Results!H209</f>
        <v>1.1141230129999999</v>
      </c>
      <c r="F482" s="3">
        <f>[1]Results!I209</f>
        <v>1.122574803</v>
      </c>
      <c r="G482" s="3">
        <f>[1]Results!J209</f>
        <v>1.132387743</v>
      </c>
      <c r="H482" s="3">
        <f>[1]Results!K209</f>
        <v>1.1435579730000001</v>
      </c>
      <c r="I482" s="3">
        <f>[1]Results!L209</f>
        <v>1.155297013</v>
      </c>
      <c r="J482" s="3">
        <f>[1]Results!M209</f>
        <v>1.1677361449999999</v>
      </c>
      <c r="K482" s="3">
        <f>[1]Results!N209</f>
        <v>1.1807751470000001</v>
      </c>
      <c r="L482" s="3">
        <f>[1]Results!O209</f>
        <v>1.194295498</v>
      </c>
      <c r="M482" s="3">
        <f>[1]Results!P209</f>
        <v>1.20921755</v>
      </c>
      <c r="N482" s="3">
        <f>[1]Results!Q209</f>
        <v>1.2238207299999999</v>
      </c>
      <c r="O482" s="3">
        <f>[1]Results!R209</f>
        <v>1.238535137</v>
      </c>
      <c r="P482" s="3">
        <f>[1]Results!S209</f>
        <v>1.2534475730000001</v>
      </c>
      <c r="Q482" s="3">
        <f>[1]Results!T209</f>
        <v>1.268564381</v>
      </c>
      <c r="R482" s="3">
        <f>[1]Results!U209</f>
        <v>1.2838795119999999</v>
      </c>
      <c r="S482" s="3">
        <f>[1]Results!V209</f>
        <v>1.299391857</v>
      </c>
      <c r="T482" s="3">
        <f>[1]Results!W209</f>
        <v>1.315097806</v>
      </c>
      <c r="U482" s="3">
        <f>[1]Results!X209</f>
        <v>1.3309969109999999</v>
      </c>
      <c r="V482" s="3">
        <f>[1]Results!Y209</f>
        <v>1.3470907910000001</v>
      </c>
      <c r="W482" s="3">
        <f>[1]Results!Z209</f>
        <v>1.3626341239999999</v>
      </c>
      <c r="X482" s="3">
        <f>[1]Results!AA209</f>
        <v>1.378860432</v>
      </c>
      <c r="Y482" s="3">
        <f>[1]Results!AB209</f>
        <v>1.3954201989999999</v>
      </c>
      <c r="Z482" s="3">
        <f>[1]Results!AC209</f>
        <v>1.412231461</v>
      </c>
      <c r="AA482" s="3">
        <f>[1]Results!AD209</f>
        <v>1.4292790049999999</v>
      </c>
      <c r="AB482" s="3">
        <f>[1]Results!AE209</f>
        <v>1.4444037009999999</v>
      </c>
      <c r="AC482" s="3">
        <f>[1]Results!AF209</f>
        <v>1.4601321519999999</v>
      </c>
      <c r="AD482" s="3">
        <f>[1]Results!AG209</f>
        <v>1.4760923379999999</v>
      </c>
      <c r="AE482" s="3">
        <f>[1]Results!AH209</f>
        <v>1.4922107490000001</v>
      </c>
      <c r="AF482" s="3">
        <f>[1]Results!AI209</f>
        <v>1.5084914380000001</v>
      </c>
      <c r="AG482" s="3">
        <f>[1]Results!AJ209</f>
        <v>1.524952584</v>
      </c>
      <c r="AH482" s="3">
        <f>[1]Results!AK209</f>
        <v>1.541610897</v>
      </c>
      <c r="AI482" s="3">
        <f>[1]Results!AL209</f>
        <v>1.5584813</v>
      </c>
      <c r="AJ482" s="3">
        <f>[1]Results!AM209</f>
        <v>1.5755749290000001</v>
      </c>
      <c r="AK482" s="3">
        <f>[1]Results!AN209</f>
        <v>1.5928997149999999</v>
      </c>
      <c r="AL482" s="3">
        <f>[1]Results!AO209</f>
        <v>1.6104611529999999</v>
      </c>
      <c r="AM482" s="3">
        <f>[1]Results!AP209</f>
        <v>1.6277326809999999</v>
      </c>
      <c r="AN482" s="3">
        <f>[1]Results!AQ209</f>
        <v>1.645054236</v>
      </c>
      <c r="AO482" s="3">
        <f>[1]Results!AR209</f>
        <v>1.6625179210000001</v>
      </c>
      <c r="AP482" s="3">
        <f>[1]Results!AS209</f>
        <v>1.680155206</v>
      </c>
      <c r="AQ482" s="3">
        <f>[1]Results!AT209</f>
        <v>1.697983791</v>
      </c>
      <c r="AR482" s="3">
        <f>[1]Results!AU209</f>
        <v>1.716015571</v>
      </c>
      <c r="AS482" s="3">
        <f>[1]Results!AV209</f>
        <v>1.734262569</v>
      </c>
      <c r="AT482" s="3">
        <f>[1]Results!AW209</f>
        <v>1.752734349</v>
      </c>
      <c r="AU482" s="3">
        <f>[1]Results!AX209</f>
        <v>1.7714382740000001</v>
      </c>
      <c r="AV482" s="3">
        <f>[1]Results!AY209</f>
        <v>1.7903798339999999</v>
      </c>
      <c r="AW482" s="3">
        <f>[1]Results!AZ209</f>
        <v>1.809553902</v>
      </c>
      <c r="AX482" s="3">
        <f>[1]Results!BA209</f>
        <v>1.8289587380000001</v>
      </c>
      <c r="AY482" s="3">
        <f>[1]Results!BB209</f>
        <v>1.848620642</v>
      </c>
      <c r="AZ482" s="3">
        <f>[1]Results!BC209</f>
        <v>1.868559455</v>
      </c>
      <c r="BA482" s="3">
        <f>[1]Results!BD209</f>
        <v>1.88878601</v>
      </c>
      <c r="BB482" s="3">
        <f>[1]Results!BE209</f>
        <v>2.0573651060000002</v>
      </c>
      <c r="BC482" s="3">
        <f>[1]Results!BF209</f>
        <v>2.086709532</v>
      </c>
      <c r="BD482" s="3">
        <f>[1]Results!BG209</f>
        <v>2.1165431620000001</v>
      </c>
      <c r="BE482" s="3">
        <f>[1]Results!BH209</f>
        <v>2.146877581</v>
      </c>
      <c r="BF482" s="3">
        <f>[1]Results!BI209</f>
        <v>2.1777251980000001</v>
      </c>
    </row>
    <row r="483" spans="1:58" x14ac:dyDescent="0.35">
      <c r="B483" s="3" t="str">
        <f>[1]Results!E212</f>
        <v>YG_toe_cfut_2</v>
      </c>
      <c r="C483" s="3">
        <f>[1]Results!F212</f>
        <v>42.409971220000003</v>
      </c>
      <c r="D483" s="3">
        <f>[1]Results!G212</f>
        <v>42.683900829999999</v>
      </c>
      <c r="E483" s="3">
        <f>[1]Results!H212</f>
        <v>42.937552410000002</v>
      </c>
      <c r="F483" s="3">
        <f>[1]Results!I212</f>
        <v>43.23948042</v>
      </c>
      <c r="G483" s="3">
        <f>[1]Results!J212</f>
        <v>43.606777610000002</v>
      </c>
      <c r="H483" s="3">
        <f>[1]Results!K212</f>
        <v>44.03430445</v>
      </c>
      <c r="I483" s="3">
        <f>[1]Results!L212</f>
        <v>44.489183060000002</v>
      </c>
      <c r="J483" s="3">
        <f>[1]Results!M212</f>
        <v>44.976276249999998</v>
      </c>
      <c r="K483" s="3">
        <f>[1]Results!N212</f>
        <v>45.488876939999997</v>
      </c>
      <c r="L483" s="3">
        <f>[1]Results!O212</f>
        <v>46.021494709999999</v>
      </c>
      <c r="M483" s="3">
        <f>[1]Results!P212</f>
        <v>46.608583090000003</v>
      </c>
      <c r="N483" s="3">
        <f>[1]Results!Q212</f>
        <v>47.181684990000001</v>
      </c>
      <c r="O483" s="3">
        <f>[1]Results!R212</f>
        <v>47.763006070000003</v>
      </c>
      <c r="P483" s="3">
        <f>[1]Results!S212</f>
        <v>48.352808869999997</v>
      </c>
      <c r="Q483" s="3">
        <f>[1]Results!T212</f>
        <v>48.950468129999997</v>
      </c>
      <c r="R483" s="3">
        <f>[1]Results!U212</f>
        <v>49.55544922</v>
      </c>
      <c r="S483" s="3">
        <f>[1]Results!V212</f>
        <v>50.167487289999997</v>
      </c>
      <c r="T483" s="3">
        <f>[1]Results!W212</f>
        <v>50.786374520000003</v>
      </c>
      <c r="U483" s="3">
        <f>[1]Results!X212</f>
        <v>51.412046109999999</v>
      </c>
      <c r="V483" s="3">
        <f>[1]Results!Y212</f>
        <v>52.044508100000002</v>
      </c>
      <c r="W483" s="3">
        <f>[1]Results!Z212</f>
        <v>52.655312819999999</v>
      </c>
      <c r="X483" s="3">
        <f>[1]Results!AA212</f>
        <v>53.293436049999997</v>
      </c>
      <c r="Y483" s="3">
        <f>[1]Results!AB212</f>
        <v>53.940963580000002</v>
      </c>
      <c r="Z483" s="3">
        <f>[1]Results!AC212</f>
        <v>54.596805570000001</v>
      </c>
      <c r="AA483" s="3">
        <f>[1]Results!AD212</f>
        <v>55.260830830000003</v>
      </c>
      <c r="AB483" s="3">
        <f>[1]Results!AE212</f>
        <v>55.850757690000002</v>
      </c>
      <c r="AC483" s="3">
        <f>[1]Results!AF212</f>
        <v>56.46892416</v>
      </c>
      <c r="AD483" s="3">
        <f>[1]Results!AG212</f>
        <v>57.090804419999998</v>
      </c>
      <c r="AE483" s="3">
        <f>[1]Results!AH212</f>
        <v>57.716189530000001</v>
      </c>
      <c r="AF483" s="3">
        <f>[1]Results!AI212</f>
        <v>58.346033169999998</v>
      </c>
      <c r="AG483" s="3">
        <f>[1]Results!AJ212</f>
        <v>58.98136873</v>
      </c>
      <c r="AH483" s="3">
        <f>[1]Results!AK212</f>
        <v>59.623056159999997</v>
      </c>
      <c r="AI483" s="3">
        <f>[1]Results!AL212</f>
        <v>60.27179426</v>
      </c>
      <c r="AJ483" s="3">
        <f>[1]Results!AM212</f>
        <v>60.928097270000002</v>
      </c>
      <c r="AK483" s="3">
        <f>[1]Results!AN212</f>
        <v>61.592336690000003</v>
      </c>
      <c r="AL483" s="3">
        <f>[1]Results!AO212</f>
        <v>62.264778219999997</v>
      </c>
      <c r="AM483" s="3">
        <f>[1]Results!AP212</f>
        <v>62.925556299999997</v>
      </c>
      <c r="AN483" s="3">
        <f>[1]Results!AQ212</f>
        <v>63.589100299999998</v>
      </c>
      <c r="AO483" s="3">
        <f>[1]Results!AR212</f>
        <v>64.257186540000006</v>
      </c>
      <c r="AP483" s="3">
        <f>[1]Results!AS212</f>
        <v>64.930734729999998</v>
      </c>
      <c r="AQ483" s="3">
        <f>[1]Results!AT212</f>
        <v>65.610483130000006</v>
      </c>
      <c r="AR483" s="3">
        <f>[1]Results!AU212</f>
        <v>66.297054529999997</v>
      </c>
      <c r="AS483" s="3">
        <f>[1]Results!AV212</f>
        <v>66.991030039999998</v>
      </c>
      <c r="AT483" s="3">
        <f>[1]Results!AW212</f>
        <v>67.692875000000001</v>
      </c>
      <c r="AU483" s="3">
        <f>[1]Results!AX212</f>
        <v>68.402953280000006</v>
      </c>
      <c r="AV483" s="3">
        <f>[1]Results!AY212</f>
        <v>69.121539889999994</v>
      </c>
      <c r="AW483" s="3">
        <f>[1]Results!AZ212</f>
        <v>69.848899180000004</v>
      </c>
      <c r="AX483" s="3">
        <f>[1]Results!BA212</f>
        <v>70.584809379999996</v>
      </c>
      <c r="AY483" s="3">
        <f>[1]Results!BB212</f>
        <v>71.330053599999999</v>
      </c>
      <c r="AZ483" s="3">
        <f>[1]Results!BC212</f>
        <v>72.08510948</v>
      </c>
      <c r="BA483" s="3">
        <f>[1]Results!BD212</f>
        <v>72.850226190000001</v>
      </c>
      <c r="BB483" s="3">
        <f>[1]Results!BE212</f>
        <v>79.759657880000006</v>
      </c>
      <c r="BC483" s="3">
        <f>[1]Results!BF212</f>
        <v>80.877687420000001</v>
      </c>
      <c r="BD483" s="3">
        <f>[1]Results!BG212</f>
        <v>82.013431510000004</v>
      </c>
      <c r="BE483" s="3">
        <f>[1]Results!BH212</f>
        <v>83.167382599999996</v>
      </c>
      <c r="BF483" s="3">
        <f>[1]Results!BI212</f>
        <v>84.340058659999997</v>
      </c>
    </row>
    <row r="484" spans="1:58" x14ac:dyDescent="0.35">
      <c r="B484" s="3" t="str">
        <f>[1]Results!E215</f>
        <v>YG_toe_cfuh_2</v>
      </c>
      <c r="C484" s="3">
        <f>[1]Results!F215</f>
        <v>7.9450164509999999</v>
      </c>
      <c r="D484" s="3">
        <f>[1]Results!G215</f>
        <v>8.0163060480000006</v>
      </c>
      <c r="E484" s="3">
        <f>[1]Results!H215</f>
        <v>8.0746999059999993</v>
      </c>
      <c r="F484" s="3">
        <f>[1]Results!I215</f>
        <v>8.1308404700000008</v>
      </c>
      <c r="G484" s="3">
        <f>[1]Results!J215</f>
        <v>8.1898593200000001</v>
      </c>
      <c r="H484" s="3">
        <f>[1]Results!K215</f>
        <v>8.2535961820000008</v>
      </c>
      <c r="I484" s="3">
        <f>[1]Results!L215</f>
        <v>8.3181020209999996</v>
      </c>
      <c r="J484" s="3">
        <f>[1]Results!M215</f>
        <v>8.3854883509999993</v>
      </c>
      <c r="K484" s="3">
        <f>[1]Results!N215</f>
        <v>8.4557514579999999</v>
      </c>
      <c r="L484" s="3">
        <f>[1]Results!O215</f>
        <v>8.5285466809999999</v>
      </c>
      <c r="M484" s="3">
        <f>[1]Results!P215</f>
        <v>8.6107411959999993</v>
      </c>
      <c r="N484" s="3">
        <f>[1]Results!Q215</f>
        <v>8.6903857210000002</v>
      </c>
      <c r="O484" s="3">
        <f>[1]Results!R215</f>
        <v>8.7706471369999992</v>
      </c>
      <c r="P484" s="3">
        <f>[1]Results!S215</f>
        <v>8.8520429529999998</v>
      </c>
      <c r="Q484" s="3">
        <f>[1]Results!T215</f>
        <v>8.9346841290000008</v>
      </c>
      <c r="R484" s="3">
        <f>[1]Results!U215</f>
        <v>9.0185904669999992</v>
      </c>
      <c r="S484" s="3">
        <f>[1]Results!V215</f>
        <v>9.1038278469999998</v>
      </c>
      <c r="T484" s="3">
        <f>[1]Results!W215</f>
        <v>9.1903804400000002</v>
      </c>
      <c r="U484" s="3">
        <f>[1]Results!X215</f>
        <v>9.2782493830000003</v>
      </c>
      <c r="V484" s="3">
        <f>[1]Results!Y215</f>
        <v>9.3674481350000001</v>
      </c>
      <c r="W484" s="3">
        <f>[1]Results!Z215</f>
        <v>9.4527639400000005</v>
      </c>
      <c r="X484" s="3">
        <f>[1]Results!AA215</f>
        <v>9.5427567460000002</v>
      </c>
      <c r="Y484" s="3">
        <f>[1]Results!AB215</f>
        <v>9.6349864929999995</v>
      </c>
      <c r="Z484" s="3">
        <f>[1]Results!AC215</f>
        <v>9.7290065999999999</v>
      </c>
      <c r="AA484" s="3">
        <f>[1]Results!AD215</f>
        <v>9.8246868650000003</v>
      </c>
      <c r="AB484" s="3">
        <f>[1]Results!AE215</f>
        <v>9.9070000730000007</v>
      </c>
      <c r="AC484" s="3">
        <f>[1]Results!AF215</f>
        <v>9.9932134060000006</v>
      </c>
      <c r="AD484" s="3">
        <f>[1]Results!AG215</f>
        <v>10.080644059999999</v>
      </c>
      <c r="AE484" s="3">
        <f>[1]Results!AH215</f>
        <v>10.169061920000001</v>
      </c>
      <c r="AF484" s="3">
        <f>[1]Results!AI215</f>
        <v>10.25853942</v>
      </c>
      <c r="AG484" s="3">
        <f>[1]Results!AJ215</f>
        <v>10.34919182</v>
      </c>
      <c r="AH484" s="3">
        <f>[1]Results!AK215</f>
        <v>10.44110476</v>
      </c>
      <c r="AI484" s="3">
        <f>[1]Results!AL215</f>
        <v>10.534366370000001</v>
      </c>
      <c r="AJ484" s="3">
        <f>[1]Results!AM215</f>
        <v>10.62904219</v>
      </c>
      <c r="AK484" s="3">
        <f>[1]Results!AN215</f>
        <v>10.72517927</v>
      </c>
      <c r="AL484" s="3">
        <f>[1]Results!AO215</f>
        <v>10.82281016</v>
      </c>
      <c r="AM484" s="3">
        <f>[1]Results!AP215</f>
        <v>10.918249680000001</v>
      </c>
      <c r="AN484" s="3">
        <f>[1]Results!AQ215</f>
        <v>11.013791790000001</v>
      </c>
      <c r="AO484" s="3">
        <f>[1]Results!AR215</f>
        <v>11.110035720000001</v>
      </c>
      <c r="AP484" s="3">
        <f>[1]Results!AS215</f>
        <v>11.20725781</v>
      </c>
      <c r="AQ484" s="3">
        <f>[1]Results!AT215</f>
        <v>11.305625340000001</v>
      </c>
      <c r="AR484" s="3">
        <f>[1]Results!AU215</f>
        <v>11.405226949999999</v>
      </c>
      <c r="AS484" s="3">
        <f>[1]Results!AV215</f>
        <v>11.50615726</v>
      </c>
      <c r="AT484" s="3">
        <f>[1]Results!AW215</f>
        <v>11.60848551</v>
      </c>
      <c r="AU484" s="3">
        <f>[1]Results!AX215</f>
        <v>11.71226227</v>
      </c>
      <c r="AV484" s="3">
        <f>[1]Results!AY215</f>
        <v>11.817523660000001</v>
      </c>
      <c r="AW484" s="3">
        <f>[1]Results!AZ215</f>
        <v>11.92388206</v>
      </c>
      <c r="AX484" s="3">
        <f>[1]Results!BA215</f>
        <v>12.03145509</v>
      </c>
      <c r="AY484" s="3">
        <f>[1]Results!BB215</f>
        <v>12.140519469999999</v>
      </c>
      <c r="AZ484" s="3">
        <f>[1]Results!BC215</f>
        <v>12.25129636</v>
      </c>
      <c r="BA484" s="3">
        <f>[1]Results!BD215</f>
        <v>12.363940299999999</v>
      </c>
      <c r="BB484" s="3">
        <f>[1]Results!BE215</f>
        <v>13.19740314</v>
      </c>
      <c r="BC484" s="3">
        <f>[1]Results!BF215</f>
        <v>13.36274448</v>
      </c>
      <c r="BD484" s="3">
        <f>[1]Results!BG215</f>
        <v>13.530779470000001</v>
      </c>
      <c r="BE484" s="3">
        <f>[1]Results!BH215</f>
        <v>13.7015577</v>
      </c>
      <c r="BF484" s="3">
        <f>[1]Results!BI215</f>
        <v>13.87513983</v>
      </c>
    </row>
    <row r="485" spans="1:58" x14ac:dyDescent="0.35">
      <c r="B485" s="3" t="str">
        <f>[1]Results!E217</f>
        <v>YG_toe_cgas_2</v>
      </c>
      <c r="C485" s="3">
        <f>[1]Results!F217</f>
        <v>6.6016979869999997</v>
      </c>
      <c r="D485" s="3">
        <f>[1]Results!G217</f>
        <v>6.6668333500000001</v>
      </c>
      <c r="E485" s="3">
        <f>[1]Results!H217</f>
        <v>6.7086624800000001</v>
      </c>
      <c r="F485" s="3">
        <f>[1]Results!I217</f>
        <v>6.7367874639999998</v>
      </c>
      <c r="G485" s="3">
        <f>[1]Results!J217</f>
        <v>6.7586432470000002</v>
      </c>
      <c r="H485" s="3">
        <f>[1]Results!K217</f>
        <v>6.7776901860000001</v>
      </c>
      <c r="I485" s="3">
        <f>[1]Results!L217</f>
        <v>6.7909483750000001</v>
      </c>
      <c r="J485" s="3">
        <f>[1]Results!M217</f>
        <v>6.803560804</v>
      </c>
      <c r="K485" s="3">
        <f>[1]Results!N217</f>
        <v>6.8156424769999999</v>
      </c>
      <c r="L485" s="3">
        <f>[1]Results!O217</f>
        <v>6.8272878209999996</v>
      </c>
      <c r="M485" s="3">
        <f>[1]Results!P217</f>
        <v>6.8461245870000003</v>
      </c>
      <c r="N485" s="3">
        <f>[1]Results!Q217</f>
        <v>6.8566353400000004</v>
      </c>
      <c r="O485" s="3">
        <f>[1]Results!R217</f>
        <v>6.8671001250000003</v>
      </c>
      <c r="P485" s="3">
        <f>[1]Results!S217</f>
        <v>6.8775218130000004</v>
      </c>
      <c r="Q485" s="3">
        <f>[1]Results!T217</f>
        <v>6.8881747249999998</v>
      </c>
      <c r="R485" s="3">
        <f>[1]Results!U217</f>
        <v>6.899258895</v>
      </c>
      <c r="S485" s="3">
        <f>[1]Results!V217</f>
        <v>6.9109253439999998</v>
      </c>
      <c r="T485" s="3">
        <f>[1]Results!W217</f>
        <v>6.9233256299999999</v>
      </c>
      <c r="U485" s="3">
        <f>[1]Results!X217</f>
        <v>6.9365536719999996</v>
      </c>
      <c r="V485" s="3">
        <f>[1]Results!Y217</f>
        <v>6.950698407</v>
      </c>
      <c r="W485" s="3">
        <f>[1]Results!Z217</f>
        <v>6.960523985</v>
      </c>
      <c r="X485" s="3">
        <f>[1]Results!AA217</f>
        <v>6.9772543929999999</v>
      </c>
      <c r="Y485" s="3">
        <f>[1]Results!AB217</f>
        <v>6.9949853370000001</v>
      </c>
      <c r="Z485" s="3">
        <f>[1]Results!AC217</f>
        <v>7.013869262</v>
      </c>
      <c r="AA485" s="3">
        <f>[1]Results!AD217</f>
        <v>7.0337943989999996</v>
      </c>
      <c r="AB485" s="3">
        <f>[1]Results!AE217</f>
        <v>7.0396351790000002</v>
      </c>
      <c r="AC485" s="3">
        <f>[1]Results!AF217</f>
        <v>7.0558632299999999</v>
      </c>
      <c r="AD485" s="3">
        <f>[1]Results!AG217</f>
        <v>7.0730968240000003</v>
      </c>
      <c r="AE485" s="3">
        <f>[1]Results!AH217</f>
        <v>7.0915368240000003</v>
      </c>
      <c r="AF485" s="3">
        <f>[1]Results!AI217</f>
        <v>7.1109127250000004</v>
      </c>
      <c r="AG485" s="3">
        <f>[1]Results!AJ217</f>
        <v>7.1309430489999999</v>
      </c>
      <c r="AH485" s="3">
        <f>[1]Results!AK217</f>
        <v>7.1513970899999997</v>
      </c>
      <c r="AI485" s="3">
        <f>[1]Results!AL217</f>
        <v>7.1720960949999997</v>
      </c>
      <c r="AJ485" s="3">
        <f>[1]Results!AM217</f>
        <v>7.1929307720000004</v>
      </c>
      <c r="AK485" s="3">
        <f>[1]Results!AN217</f>
        <v>7.2138360930000003</v>
      </c>
      <c r="AL485" s="3">
        <f>[1]Results!AO217</f>
        <v>7.2347797859999998</v>
      </c>
      <c r="AM485" s="3">
        <f>[1]Results!AP217</f>
        <v>7.2522589069999999</v>
      </c>
      <c r="AN485" s="3">
        <f>[1]Results!AQ217</f>
        <v>7.2700929460000001</v>
      </c>
      <c r="AO485" s="3">
        <f>[1]Results!AR217</f>
        <v>7.2882065899999997</v>
      </c>
      <c r="AP485" s="3">
        <f>[1]Results!AS217</f>
        <v>7.3066701529999998</v>
      </c>
      <c r="AQ485" s="3">
        <f>[1]Results!AT217</f>
        <v>7.3254931560000003</v>
      </c>
      <c r="AR485" s="3">
        <f>[1]Results!AU217</f>
        <v>7.344638926</v>
      </c>
      <c r="AS485" s="3">
        <f>[1]Results!AV217</f>
        <v>7.3640460340000002</v>
      </c>
      <c r="AT485" s="3">
        <f>[1]Results!AW217</f>
        <v>7.3836861499999999</v>
      </c>
      <c r="AU485" s="3">
        <f>[1]Results!AX217</f>
        <v>7.4035454930000002</v>
      </c>
      <c r="AV485" s="3">
        <f>[1]Results!AY217</f>
        <v>7.423622022</v>
      </c>
      <c r="AW485" s="3">
        <f>[1]Results!AZ217</f>
        <v>7.4452139629999996</v>
      </c>
      <c r="AX485" s="3">
        <f>[1]Results!BA217</f>
        <v>7.4672535480000004</v>
      </c>
      <c r="AY485" s="3">
        <f>[1]Results!BB217</f>
        <v>7.4892235920000001</v>
      </c>
      <c r="AZ485" s="3">
        <f>[1]Results!BC217</f>
        <v>7.5108356250000003</v>
      </c>
      <c r="BA485" s="3">
        <f>[1]Results!BD217</f>
        <v>7.5319721719999997</v>
      </c>
      <c r="BB485" s="3">
        <f>[1]Results!BE217</f>
        <v>6.2656216210000002</v>
      </c>
      <c r="BC485" s="3">
        <f>[1]Results!BF217</f>
        <v>6.2765990770000002</v>
      </c>
      <c r="BD485" s="3">
        <f>[1]Results!BG217</f>
        <v>6.2882836400000004</v>
      </c>
      <c r="BE485" s="3">
        <f>[1]Results!BH217</f>
        <v>6.3006207659999998</v>
      </c>
      <c r="BF485" s="3">
        <f>[1]Results!BI217</f>
        <v>6.3135823980000003</v>
      </c>
    </row>
    <row r="486" spans="1:58" x14ac:dyDescent="0.35">
      <c r="B486" s="3" t="str">
        <f>[1]Results!E223</f>
        <v>YG_toe_cele_2</v>
      </c>
      <c r="C486" s="3">
        <f>[1]Results!F223</f>
        <v>57.535094219999998</v>
      </c>
      <c r="D486" s="3">
        <f>[1]Results!G223</f>
        <v>58.089408319999997</v>
      </c>
      <c r="E486" s="3">
        <f>[1]Results!H223</f>
        <v>58.589083379999998</v>
      </c>
      <c r="F486" s="3">
        <f>[1]Results!I223</f>
        <v>59.094446859999998</v>
      </c>
      <c r="G486" s="3">
        <f>[1]Results!J223</f>
        <v>59.635102920000001</v>
      </c>
      <c r="H486" s="3">
        <f>[1]Results!K223</f>
        <v>60.218666380000002</v>
      </c>
      <c r="I486" s="3">
        <f>[1]Results!L223</f>
        <v>60.809583430000004</v>
      </c>
      <c r="J486" s="3">
        <f>[1]Results!M223</f>
        <v>61.422593769999999</v>
      </c>
      <c r="K486" s="3">
        <f>[1]Results!N223</f>
        <v>62.0557515</v>
      </c>
      <c r="L486" s="3">
        <f>[1]Results!O223</f>
        <v>62.706062230000001</v>
      </c>
      <c r="M486" s="3">
        <f>[1]Results!P223</f>
        <v>63.428488139999999</v>
      </c>
      <c r="N486" s="3">
        <f>[1]Results!Q223</f>
        <v>64.126351740000004</v>
      </c>
      <c r="O486" s="3">
        <f>[1]Results!R223</f>
        <v>64.828360799999999</v>
      </c>
      <c r="P486" s="3">
        <f>[1]Results!S223</f>
        <v>65.538221329999999</v>
      </c>
      <c r="Q486" s="3">
        <f>[1]Results!T223</f>
        <v>66.256862089999998</v>
      </c>
      <c r="R486" s="3">
        <f>[1]Results!U223</f>
        <v>66.984574429999995</v>
      </c>
      <c r="S486" s="3">
        <f>[1]Results!V223</f>
        <v>67.721772319999999</v>
      </c>
      <c r="T486" s="3">
        <f>[1]Results!W223</f>
        <v>68.468583890000005</v>
      </c>
      <c r="U486" s="3">
        <f>[1]Results!X223</f>
        <v>69.225238939999997</v>
      </c>
      <c r="V486" s="3">
        <f>[1]Results!Y223</f>
        <v>69.992082659999994</v>
      </c>
      <c r="W486" s="3">
        <f>[1]Results!Z223</f>
        <v>70.727301949999998</v>
      </c>
      <c r="X486" s="3">
        <f>[1]Results!AA223</f>
        <v>71.501747649999999</v>
      </c>
      <c r="Y486" s="3">
        <f>[1]Results!AB223</f>
        <v>72.293923329999998</v>
      </c>
      <c r="Z486" s="3">
        <f>[1]Results!AC223</f>
        <v>73.101209519999998</v>
      </c>
      <c r="AA486" s="3">
        <f>[1]Results!AD223</f>
        <v>73.923153479999996</v>
      </c>
      <c r="AB486" s="3">
        <f>[1]Results!AE223</f>
        <v>74.638226450000005</v>
      </c>
      <c r="AC486" s="3">
        <f>[1]Results!AF223</f>
        <v>75.391333180000004</v>
      </c>
      <c r="AD486" s="3">
        <f>[1]Results!AG223</f>
        <v>76.156941759999995</v>
      </c>
      <c r="AE486" s="3">
        <f>[1]Results!AH223</f>
        <v>76.934372600000003</v>
      </c>
      <c r="AF486" s="3">
        <f>[1]Results!AI223</f>
        <v>77.724939680000006</v>
      </c>
      <c r="AG486" s="3">
        <f>[1]Results!AJ223</f>
        <v>78.530137909999993</v>
      </c>
      <c r="AH486" s="3">
        <f>[1]Results!AK223</f>
        <v>79.351174139999998</v>
      </c>
      <c r="AI486" s="3">
        <f>[1]Results!AL223</f>
        <v>80.189039080000001</v>
      </c>
      <c r="AJ486" s="3">
        <f>[1]Results!AM223</f>
        <v>81.044415380000004</v>
      </c>
      <c r="AK486" s="3">
        <f>[1]Results!AN223</f>
        <v>81.917708230000002</v>
      </c>
      <c r="AL486" s="3">
        <f>[1]Results!AO223</f>
        <v>82.809095529999993</v>
      </c>
      <c r="AM486" s="3">
        <f>[1]Results!AP223</f>
        <v>83.688746179999995</v>
      </c>
      <c r="AN486" s="3">
        <f>[1]Results!AQ223</f>
        <v>84.575963099999996</v>
      </c>
      <c r="AO486" s="3">
        <f>[1]Results!AR223</f>
        <v>85.474775769999994</v>
      </c>
      <c r="AP486" s="3">
        <f>[1]Results!AS223</f>
        <v>86.386989619999994</v>
      </c>
      <c r="AQ486" s="3">
        <f>[1]Results!AT223</f>
        <v>87.313674980000002</v>
      </c>
      <c r="AR486" s="3">
        <f>[1]Results!AU223</f>
        <v>88.255460200000002</v>
      </c>
      <c r="AS486" s="3">
        <f>[1]Results!AV223</f>
        <v>89.21289376</v>
      </c>
      <c r="AT486" s="3">
        <f>[1]Results!AW223</f>
        <v>90.186347900000001</v>
      </c>
      <c r="AU486" s="3">
        <f>[1]Results!AX223</f>
        <v>91.176043579999998</v>
      </c>
      <c r="AV486" s="3">
        <f>[1]Results!AY223</f>
        <v>92.182080429999999</v>
      </c>
      <c r="AW486" s="3">
        <f>[1]Results!AZ223</f>
        <v>93.201124759999999</v>
      </c>
      <c r="AX486" s="3">
        <f>[1]Results!BA223</f>
        <v>94.233404919999998</v>
      </c>
      <c r="AY486" s="3">
        <f>[1]Results!BB223</f>
        <v>95.282601889999995</v>
      </c>
      <c r="AZ486" s="3">
        <f>[1]Results!BC223</f>
        <v>96.352087949999998</v>
      </c>
      <c r="BA486" s="3">
        <f>[1]Results!BD223</f>
        <v>97.444063450000002</v>
      </c>
      <c r="BB486" s="3">
        <f>[1]Results!BE223</f>
        <v>100.3150411</v>
      </c>
      <c r="BC486" s="3">
        <f>[1]Results!BF223</f>
        <v>101.6970796</v>
      </c>
      <c r="BD486" s="3">
        <f>[1]Results!BG223</f>
        <v>103.1047011</v>
      </c>
      <c r="BE486" s="3">
        <f>[1]Results!BH223</f>
        <v>104.53813890000001</v>
      </c>
      <c r="BF486" s="3">
        <f>[1]Results!BI223</f>
        <v>105.99762610000001</v>
      </c>
    </row>
    <row r="487" spans="1:58" x14ac:dyDescent="0.35">
      <c r="B487" s="3" t="s">
        <v>75</v>
      </c>
      <c r="C487" s="3">
        <f>SUM(C488:C490)</f>
        <v>30.773651606999998</v>
      </c>
      <c r="D487" s="3">
        <f t="shared" ref="D487:AL487" si="302">SUM(D488:D490)</f>
        <v>31.032547694999998</v>
      </c>
      <c r="E487" s="3">
        <f t="shared" si="302"/>
        <v>31.298510687</v>
      </c>
      <c r="F487" s="3">
        <f t="shared" si="302"/>
        <v>31.582925205000002</v>
      </c>
      <c r="G487" s="3">
        <f t="shared" si="302"/>
        <v>31.888754536</v>
      </c>
      <c r="H487" s="3">
        <f t="shared" si="302"/>
        <v>32.214945071000002</v>
      </c>
      <c r="I487" s="3">
        <f t="shared" si="302"/>
        <v>32.536630156999998</v>
      </c>
      <c r="J487" s="3">
        <f t="shared" si="302"/>
        <v>32.865107936000001</v>
      </c>
      <c r="K487" s="3">
        <f t="shared" si="302"/>
        <v>33.201238443999998</v>
      </c>
      <c r="L487" s="3">
        <f t="shared" si="302"/>
        <v>33.544611215000003</v>
      </c>
      <c r="M487" s="3">
        <f t="shared" si="302"/>
        <v>33.931885534000003</v>
      </c>
      <c r="N487" s="3">
        <f t="shared" si="302"/>
        <v>34.299510994999999</v>
      </c>
      <c r="O487" s="3">
        <f t="shared" si="302"/>
        <v>34.667063213999995</v>
      </c>
      <c r="P487" s="3">
        <f t="shared" si="302"/>
        <v>35.037909866</v>
      </c>
      <c r="Q487" s="3">
        <f t="shared" si="302"/>
        <v>35.413172236999998</v>
      </c>
      <c r="R487" s="3">
        <f t="shared" si="302"/>
        <v>35.793267424999996</v>
      </c>
      <c r="S487" s="3">
        <f t="shared" si="302"/>
        <v>36.178276242999999</v>
      </c>
      <c r="T487" s="3">
        <f t="shared" si="302"/>
        <v>36.568273575999996</v>
      </c>
      <c r="U487" s="3">
        <f t="shared" si="302"/>
        <v>36.963388385999998</v>
      </c>
      <c r="V487" s="3">
        <f t="shared" si="302"/>
        <v>37.363772717000003</v>
      </c>
      <c r="W487" s="3">
        <f t="shared" si="302"/>
        <v>37.742842951999997</v>
      </c>
      <c r="X487" s="3">
        <f t="shared" si="302"/>
        <v>38.146209646000003</v>
      </c>
      <c r="Y487" s="3">
        <f t="shared" si="302"/>
        <v>38.559487001999997</v>
      </c>
      <c r="Z487" s="3">
        <f t="shared" si="302"/>
        <v>38.980355951999996</v>
      </c>
      <c r="AA487" s="3">
        <f t="shared" si="302"/>
        <v>39.408122343000002</v>
      </c>
      <c r="AB487" s="3">
        <f t="shared" si="302"/>
        <v>39.766454146000001</v>
      </c>
      <c r="AC487" s="3">
        <f t="shared" si="302"/>
        <v>40.148863876</v>
      </c>
      <c r="AD487" s="3">
        <f t="shared" si="302"/>
        <v>40.538592469999998</v>
      </c>
      <c r="AE487" s="3">
        <f t="shared" si="302"/>
        <v>40.934164668999998</v>
      </c>
      <c r="AF487" s="3">
        <f t="shared" si="302"/>
        <v>41.335489014000004</v>
      </c>
      <c r="AG487" s="3">
        <f t="shared" si="302"/>
        <v>41.742784581999999</v>
      </c>
      <c r="AH487" s="3">
        <f t="shared" si="302"/>
        <v>42.156336072000002</v>
      </c>
      <c r="AI487" s="3">
        <f t="shared" si="302"/>
        <v>42.576375536</v>
      </c>
      <c r="AJ487" s="3">
        <f t="shared" si="302"/>
        <v>43.003056938</v>
      </c>
      <c r="AK487" s="3">
        <f t="shared" si="302"/>
        <v>43.436469303000003</v>
      </c>
      <c r="AL487" s="3">
        <f t="shared" si="302"/>
        <v>43.876650855999998</v>
      </c>
      <c r="AM487" s="3">
        <f t="shared" ref="AM487:BC487" si="303">SUM(AM488:AM490)</f>
        <v>44.305942768999998</v>
      </c>
      <c r="AN487" s="3">
        <f t="shared" si="303"/>
        <v>44.736879422000001</v>
      </c>
      <c r="AO487" s="3">
        <f t="shared" si="303"/>
        <v>45.171981506000002</v>
      </c>
      <c r="AP487" s="3">
        <f t="shared" si="303"/>
        <v>45.612168424999993</v>
      </c>
      <c r="AQ487" s="3">
        <f t="shared" si="303"/>
        <v>46.057865062000005</v>
      </c>
      <c r="AR487" s="3">
        <f t="shared" si="303"/>
        <v>46.509356335000007</v>
      </c>
      <c r="AS487" s="3">
        <f t="shared" si="303"/>
        <v>46.966833016999999</v>
      </c>
      <c r="AT487" s="3">
        <f t="shared" si="303"/>
        <v>47.430415815000003</v>
      </c>
      <c r="AU487" s="3">
        <f t="shared" si="303"/>
        <v>47.900186344000005</v>
      </c>
      <c r="AV487" s="3">
        <f t="shared" si="303"/>
        <v>48.376200452999996</v>
      </c>
      <c r="AW487" s="3">
        <f t="shared" si="303"/>
        <v>48.858992658999995</v>
      </c>
      <c r="AX487" s="3">
        <f t="shared" si="303"/>
        <v>49.348231072000004</v>
      </c>
      <c r="AY487" s="3">
        <f t="shared" si="303"/>
        <v>49.844666457999999</v>
      </c>
      <c r="AZ487" s="3">
        <f t="shared" si="303"/>
        <v>50.348928629</v>
      </c>
      <c r="BA487" s="3">
        <f t="shared" si="303"/>
        <v>50.861396955000004</v>
      </c>
      <c r="BB487" s="3">
        <f t="shared" si="303"/>
        <v>53.620557218000002</v>
      </c>
      <c r="BC487" s="3">
        <f t="shared" si="303"/>
        <v>54.325096646000006</v>
      </c>
      <c r="BD487" s="3">
        <f t="shared" ref="BD487:BF487" si="304">SUM(BD488:BD490)</f>
        <v>55.041940492999998</v>
      </c>
      <c r="BE487" s="3">
        <f t="shared" si="304"/>
        <v>55.771215057999996</v>
      </c>
      <c r="BF487" s="3">
        <f t="shared" si="304"/>
        <v>56.513095601000003</v>
      </c>
    </row>
    <row r="488" spans="1:58" x14ac:dyDescent="0.35">
      <c r="B488" s="3" t="str">
        <f>[1]Results!E233</f>
        <v>YG_toe_chea_2</v>
      </c>
      <c r="C488" s="3">
        <f>[1]Results!F233</f>
        <v>5.7132597870000001</v>
      </c>
      <c r="D488" s="3">
        <f>[1]Results!G233</f>
        <v>5.7875906849999996</v>
      </c>
      <c r="E488" s="3">
        <f>[1]Results!H233</f>
        <v>5.8630350169999996</v>
      </c>
      <c r="F488" s="3">
        <f>[1]Results!I233</f>
        <v>5.9385154350000002</v>
      </c>
      <c r="G488" s="3">
        <f>[1]Results!J233</f>
        <v>6.0146577160000003</v>
      </c>
      <c r="H488" s="3">
        <f>[1]Results!K233</f>
        <v>6.0921616209999998</v>
      </c>
      <c r="I488" s="3">
        <f>[1]Results!L233</f>
        <v>6.1660135770000002</v>
      </c>
      <c r="J488" s="3">
        <f>[1]Results!M233</f>
        <v>6.2395417159999997</v>
      </c>
      <c r="K488" s="3">
        <f>[1]Results!N233</f>
        <v>6.313872044</v>
      </c>
      <c r="L488" s="3">
        <f>[1]Results!O233</f>
        <v>6.3893052949999998</v>
      </c>
      <c r="M488" s="3">
        <f>[1]Results!P233</f>
        <v>6.4749866640000002</v>
      </c>
      <c r="N488" s="3">
        <f>[1]Results!Q233</f>
        <v>6.556167705</v>
      </c>
      <c r="O488" s="3">
        <f>[1]Results!R233</f>
        <v>6.6361397139999996</v>
      </c>
      <c r="P488" s="3">
        <f>[1]Results!S233</f>
        <v>6.7160000059999998</v>
      </c>
      <c r="Q488" s="3">
        <f>[1]Results!T233</f>
        <v>6.7961501970000002</v>
      </c>
      <c r="R488" s="3">
        <f>[1]Results!U233</f>
        <v>6.8767377549999997</v>
      </c>
      <c r="S488" s="3">
        <f>[1]Results!V233</f>
        <v>6.9578450829999996</v>
      </c>
      <c r="T488" s="3">
        <f>[1]Results!W233</f>
        <v>7.0394720160000004</v>
      </c>
      <c r="U488" s="3">
        <f>[1]Results!X233</f>
        <v>7.1216055359999997</v>
      </c>
      <c r="V488" s="3">
        <f>[1]Results!Y233</f>
        <v>7.2042412269999998</v>
      </c>
      <c r="W488" s="3">
        <f>[1]Results!Z233</f>
        <v>7.2810602119999999</v>
      </c>
      <c r="X488" s="3">
        <f>[1]Results!AA233</f>
        <v>7.3622087760000001</v>
      </c>
      <c r="Y488" s="3">
        <f>[1]Results!AB233</f>
        <v>7.4453116320000001</v>
      </c>
      <c r="Z488" s="3">
        <f>[1]Results!AC233</f>
        <v>7.5295654320000001</v>
      </c>
      <c r="AA488" s="3">
        <f>[1]Results!AD233</f>
        <v>7.6146669630000003</v>
      </c>
      <c r="AB488" s="3">
        <f>[1]Results!AE233</f>
        <v>7.6828499959999998</v>
      </c>
      <c r="AC488" s="3">
        <f>[1]Results!AF233</f>
        <v>7.7540220460000002</v>
      </c>
      <c r="AD488" s="3">
        <f>[1]Results!AG233</f>
        <v>7.8264268799999996</v>
      </c>
      <c r="AE488" s="3">
        <f>[1]Results!AH233</f>
        <v>7.8996203490000001</v>
      </c>
      <c r="AF488" s="3">
        <f>[1]Results!AI233</f>
        <v>7.9734853040000004</v>
      </c>
      <c r="AG488" s="3">
        <f>[1]Results!AJ233</f>
        <v>8.0480076319999991</v>
      </c>
      <c r="AH488" s="3">
        <f>[1]Results!AK233</f>
        <v>8.1231992119999994</v>
      </c>
      <c r="AI488" s="3">
        <f>[1]Results!AL233</f>
        <v>8.1990963160000003</v>
      </c>
      <c r="AJ488" s="3">
        <f>[1]Results!AM233</f>
        <v>8.275735568</v>
      </c>
      <c r="AK488" s="3">
        <f>[1]Results!AN233</f>
        <v>8.3531461730000007</v>
      </c>
      <c r="AL488" s="3">
        <f>[1]Results!AO233</f>
        <v>8.4313487259999995</v>
      </c>
      <c r="AM488" s="3">
        <f>[1]Results!AP233</f>
        <v>8.5062955890000005</v>
      </c>
      <c r="AN488" s="3">
        <f>[1]Results!AQ233</f>
        <v>8.5803992719999993</v>
      </c>
      <c r="AO488" s="3">
        <f>[1]Results!AR233</f>
        <v>8.6545655660000005</v>
      </c>
      <c r="AP488" s="3">
        <f>[1]Results!AS233</f>
        <v>8.7291775749999996</v>
      </c>
      <c r="AQ488" s="3">
        <f>[1]Results!AT233</f>
        <v>8.8044058419999995</v>
      </c>
      <c r="AR488" s="3">
        <f>[1]Results!AU233</f>
        <v>8.8803121750000003</v>
      </c>
      <c r="AS488" s="3">
        <f>[1]Results!AV233</f>
        <v>8.9569405169999996</v>
      </c>
      <c r="AT488" s="3">
        <f>[1]Results!AW233</f>
        <v>9.0343192549999998</v>
      </c>
      <c r="AU488" s="3">
        <f>[1]Results!AX233</f>
        <v>9.1124657740000004</v>
      </c>
      <c r="AV488" s="3">
        <f>[1]Results!AY233</f>
        <v>9.191390363</v>
      </c>
      <c r="AW488" s="3">
        <f>[1]Results!AZ233</f>
        <v>9.270902199</v>
      </c>
      <c r="AX488" s="3">
        <f>[1]Results!BA233</f>
        <v>9.3508298619999994</v>
      </c>
      <c r="AY488" s="3">
        <f>[1]Results!BB233</f>
        <v>9.4313409279999991</v>
      </c>
      <c r="AZ488" s="3">
        <f>[1]Results!BC233</f>
        <v>9.5126523689999996</v>
      </c>
      <c r="BA488" s="3">
        <f>[1]Results!BD233</f>
        <v>9.5949344350000008</v>
      </c>
      <c r="BB488" s="3">
        <f>[1]Results!BE233</f>
        <v>9.5287003880000007</v>
      </c>
      <c r="BC488" s="3">
        <f>[1]Results!BF233</f>
        <v>9.6281772360000009</v>
      </c>
      <c r="BD488" s="3">
        <f>[1]Results!BG233</f>
        <v>9.7291266630000006</v>
      </c>
      <c r="BE488" s="3">
        <f>[1]Results!BH233</f>
        <v>9.831553778</v>
      </c>
      <c r="BF488" s="3">
        <f>[1]Results!BI233</f>
        <v>9.9354808410000004</v>
      </c>
    </row>
    <row r="489" spans="1:58" x14ac:dyDescent="0.35">
      <c r="B489" s="3" t="str">
        <f>[1]Results!E235</f>
        <v>YG_toe_cbio_2</v>
      </c>
      <c r="C489" s="3">
        <f>[1]Results!F235</f>
        <v>11.17739192</v>
      </c>
      <c r="D489" s="3">
        <f>[1]Results!G235</f>
        <v>11.189484009999999</v>
      </c>
      <c r="E489" s="3">
        <f>[1]Results!H235</f>
        <v>11.19768846</v>
      </c>
      <c r="F489" s="3">
        <f>[1]Results!I235</f>
        <v>11.215187139999999</v>
      </c>
      <c r="G489" s="3">
        <f>[1]Results!J235</f>
        <v>11.243129980000001</v>
      </c>
      <c r="H489" s="3">
        <f>[1]Results!K235</f>
        <v>11.280199209999999</v>
      </c>
      <c r="I489" s="3">
        <f>[1]Results!L235</f>
        <v>11.318471629999999</v>
      </c>
      <c r="J489" s="3">
        <f>[1]Results!M235</f>
        <v>11.358548819999999</v>
      </c>
      <c r="K489" s="3">
        <f>[1]Results!N235</f>
        <v>11.40010854</v>
      </c>
      <c r="L489" s="3">
        <f>[1]Results!O235</f>
        <v>11.4428593</v>
      </c>
      <c r="M489" s="3">
        <f>[1]Results!P235</f>
        <v>11.49572337</v>
      </c>
      <c r="N489" s="3">
        <f>[1]Results!Q235</f>
        <v>11.54423534</v>
      </c>
      <c r="O489" s="3">
        <f>[1]Results!R235</f>
        <v>11.59166737</v>
      </c>
      <c r="P489" s="3">
        <f>[1]Results!S235</f>
        <v>11.63925163</v>
      </c>
      <c r="Q489" s="3">
        <f>[1]Results!T235</f>
        <v>11.68752858</v>
      </c>
      <c r="R489" s="3">
        <f>[1]Results!U235</f>
        <v>11.73672794</v>
      </c>
      <c r="S489" s="3">
        <f>[1]Results!V235</f>
        <v>11.786784600000001</v>
      </c>
      <c r="T489" s="3">
        <f>[1]Results!W235</f>
        <v>11.837730929999999</v>
      </c>
      <c r="U489" s="3">
        <f>[1]Results!X235</f>
        <v>11.88964058</v>
      </c>
      <c r="V489" s="3">
        <f>[1]Results!Y235</f>
        <v>11.94258505</v>
      </c>
      <c r="W489" s="3">
        <f>[1]Results!Z235</f>
        <v>11.99031941</v>
      </c>
      <c r="X489" s="3">
        <f>[1]Results!AA235</f>
        <v>12.04287671</v>
      </c>
      <c r="Y489" s="3">
        <f>[1]Results!AB235</f>
        <v>12.09800523</v>
      </c>
      <c r="Z489" s="3">
        <f>[1]Results!AC235</f>
        <v>12.15495705</v>
      </c>
      <c r="AA489" s="3">
        <f>[1]Results!AD235</f>
        <v>12.213437040000001</v>
      </c>
      <c r="AB489" s="3">
        <f>[1]Results!AE235</f>
        <v>12.25566997</v>
      </c>
      <c r="AC489" s="3">
        <f>[1]Results!AF235</f>
        <v>12.30133401</v>
      </c>
      <c r="AD489" s="3">
        <f>[1]Results!AG235</f>
        <v>12.348760670000001</v>
      </c>
      <c r="AE489" s="3">
        <f>[1]Results!AH235</f>
        <v>12.39756352</v>
      </c>
      <c r="AF489" s="3">
        <f>[1]Results!AI235</f>
        <v>12.44764253</v>
      </c>
      <c r="AG489" s="3">
        <f>[1]Results!AJ235</f>
        <v>12.49900002</v>
      </c>
      <c r="AH489" s="3">
        <f>[1]Results!AK235</f>
        <v>12.55171112</v>
      </c>
      <c r="AI489" s="3">
        <f>[1]Results!AL235</f>
        <v>12.605812719999999</v>
      </c>
      <c r="AJ489" s="3">
        <f>[1]Results!AM235</f>
        <v>12.66131586</v>
      </c>
      <c r="AK489" s="3">
        <f>[1]Results!AN235</f>
        <v>12.71821768</v>
      </c>
      <c r="AL489" s="3">
        <f>[1]Results!AO235</f>
        <v>12.77650613</v>
      </c>
      <c r="AM489" s="3">
        <f>[1]Results!AP235</f>
        <v>12.83254706</v>
      </c>
      <c r="AN489" s="3">
        <f>[1]Results!AQ235</f>
        <v>12.888660270000001</v>
      </c>
      <c r="AO489" s="3">
        <f>[1]Results!AR235</f>
        <v>12.94553906</v>
      </c>
      <c r="AP489" s="3">
        <f>[1]Results!AS235</f>
        <v>13.00340211</v>
      </c>
      <c r="AQ489" s="3">
        <f>[1]Results!AT235</f>
        <v>13.06232017</v>
      </c>
      <c r="AR489" s="3">
        <f>[1]Results!AU235</f>
        <v>13.1223893</v>
      </c>
      <c r="AS489" s="3">
        <f>[1]Results!AV235</f>
        <v>13.1836377</v>
      </c>
      <c r="AT489" s="3">
        <f>[1]Results!AW235</f>
        <v>13.24606578</v>
      </c>
      <c r="AU489" s="3">
        <f>[1]Results!AX235</f>
        <v>13.30966842</v>
      </c>
      <c r="AV489" s="3">
        <f>[1]Results!AY235</f>
        <v>13.374439949999999</v>
      </c>
      <c r="AW489" s="3">
        <f>[1]Results!AZ235</f>
        <v>13.44048969</v>
      </c>
      <c r="AX489" s="3">
        <f>[1]Results!BA235</f>
        <v>13.50789007</v>
      </c>
      <c r="AY489" s="3">
        <f>[1]Results!BB235</f>
        <v>13.57685861</v>
      </c>
      <c r="AZ489" s="3">
        <f>[1]Results!BC235</f>
        <v>13.647563570000001</v>
      </c>
      <c r="BA489" s="3">
        <f>[1]Results!BD235</f>
        <v>13.72009313</v>
      </c>
      <c r="BB489" s="3">
        <f>[1]Results!BE235</f>
        <v>14.15840839</v>
      </c>
      <c r="BC489" s="3">
        <f>[1]Results!BF235</f>
        <v>14.268085299999999</v>
      </c>
      <c r="BD489" s="3">
        <f>[1]Results!BG235</f>
        <v>14.38012975</v>
      </c>
      <c r="BE489" s="3">
        <f>[1]Results!BH235</f>
        <v>14.49452866</v>
      </c>
      <c r="BF489" s="3">
        <f>[1]Results!BI235</f>
        <v>14.61129745</v>
      </c>
    </row>
    <row r="490" spans="1:58" x14ac:dyDescent="0.35">
      <c r="B490" s="3" t="str">
        <f>[1]Results!E238</f>
        <v>YG_toe_cote_2</v>
      </c>
      <c r="C490" s="3">
        <f>[1]Results!F238</f>
        <v>13.8829999</v>
      </c>
      <c r="D490" s="3">
        <f>[1]Results!G238</f>
        <v>14.055472999999999</v>
      </c>
      <c r="E490" s="3">
        <f>[1]Results!H238</f>
        <v>14.23778721</v>
      </c>
      <c r="F490" s="3">
        <f>[1]Results!I238</f>
        <v>14.42922263</v>
      </c>
      <c r="G490" s="3">
        <f>[1]Results!J238</f>
        <v>14.630966839999999</v>
      </c>
      <c r="H490" s="3">
        <f>[1]Results!K238</f>
        <v>14.842584240000001</v>
      </c>
      <c r="I490" s="3">
        <f>[1]Results!L238</f>
        <v>15.052144950000001</v>
      </c>
      <c r="J490" s="3">
        <f>[1]Results!M238</f>
        <v>15.2670174</v>
      </c>
      <c r="K490" s="3">
        <f>[1]Results!N238</f>
        <v>15.48725786</v>
      </c>
      <c r="L490" s="3">
        <f>[1]Results!O238</f>
        <v>15.71244662</v>
      </c>
      <c r="M490" s="3">
        <f>[1]Results!P238</f>
        <v>15.9611755</v>
      </c>
      <c r="N490" s="3">
        <f>[1]Results!Q238</f>
        <v>16.199107949999998</v>
      </c>
      <c r="O490" s="3">
        <f>[1]Results!R238</f>
        <v>16.43925613</v>
      </c>
      <c r="P490" s="3">
        <f>[1]Results!S238</f>
        <v>16.682658230000001</v>
      </c>
      <c r="Q490" s="3">
        <f>[1]Results!T238</f>
        <v>16.92949346</v>
      </c>
      <c r="R490" s="3">
        <f>[1]Results!U238</f>
        <v>17.179801730000001</v>
      </c>
      <c r="S490" s="3">
        <f>[1]Results!V238</f>
        <v>17.43364656</v>
      </c>
      <c r="T490" s="3">
        <f>[1]Results!W238</f>
        <v>17.691070629999999</v>
      </c>
      <c r="U490" s="3">
        <f>[1]Results!X238</f>
        <v>17.95214227</v>
      </c>
      <c r="V490" s="3">
        <f>[1]Results!Y238</f>
        <v>18.216946440000001</v>
      </c>
      <c r="W490" s="3">
        <f>[1]Results!Z238</f>
        <v>18.471463329999999</v>
      </c>
      <c r="X490" s="3">
        <f>[1]Results!AA238</f>
        <v>18.741124159999998</v>
      </c>
      <c r="Y490" s="3">
        <f>[1]Results!AB238</f>
        <v>19.01617014</v>
      </c>
      <c r="Z490" s="3">
        <f>[1]Results!AC238</f>
        <v>19.295833470000002</v>
      </c>
      <c r="AA490" s="3">
        <f>[1]Results!AD238</f>
        <v>19.580018339999999</v>
      </c>
      <c r="AB490" s="3">
        <f>[1]Results!AE238</f>
        <v>19.82793418</v>
      </c>
      <c r="AC490" s="3">
        <f>[1]Results!AF238</f>
        <v>20.093507819999999</v>
      </c>
      <c r="AD490" s="3">
        <f>[1]Results!AG238</f>
        <v>20.363404920000001</v>
      </c>
      <c r="AE490" s="3">
        <f>[1]Results!AH238</f>
        <v>20.6369808</v>
      </c>
      <c r="AF490" s="3">
        <f>[1]Results!AI238</f>
        <v>20.91436118</v>
      </c>
      <c r="AG490" s="3">
        <f>[1]Results!AJ238</f>
        <v>21.195776930000001</v>
      </c>
      <c r="AH490" s="3">
        <f>[1]Results!AK238</f>
        <v>21.481425739999999</v>
      </c>
      <c r="AI490" s="3">
        <f>[1]Results!AL238</f>
        <v>21.771466499999999</v>
      </c>
      <c r="AJ490" s="3">
        <f>[1]Results!AM238</f>
        <v>22.06600551</v>
      </c>
      <c r="AK490" s="3">
        <f>[1]Results!AN238</f>
        <v>22.365105450000001</v>
      </c>
      <c r="AL490" s="3">
        <f>[1]Results!AO238</f>
        <v>22.668796</v>
      </c>
      <c r="AM490" s="3">
        <f>[1]Results!AP238</f>
        <v>22.967100120000001</v>
      </c>
      <c r="AN490" s="3">
        <f>[1]Results!AQ238</f>
        <v>23.267819880000001</v>
      </c>
      <c r="AO490" s="3">
        <f>[1]Results!AR238</f>
        <v>23.571876880000001</v>
      </c>
      <c r="AP490" s="3">
        <f>[1]Results!AS238</f>
        <v>23.879588739999999</v>
      </c>
      <c r="AQ490" s="3">
        <f>[1]Results!AT238</f>
        <v>24.19113905</v>
      </c>
      <c r="AR490" s="3">
        <f>[1]Results!AU238</f>
        <v>24.506654860000001</v>
      </c>
      <c r="AS490" s="3">
        <f>[1]Results!AV238</f>
        <v>24.826254800000001</v>
      </c>
      <c r="AT490" s="3">
        <f>[1]Results!AW238</f>
        <v>25.150030780000002</v>
      </c>
      <c r="AU490" s="3">
        <f>[1]Results!AX238</f>
        <v>25.47805215</v>
      </c>
      <c r="AV490" s="3">
        <f>[1]Results!AY238</f>
        <v>25.81037014</v>
      </c>
      <c r="AW490" s="3">
        <f>[1]Results!AZ238</f>
        <v>26.14760077</v>
      </c>
      <c r="AX490" s="3">
        <f>[1]Results!BA238</f>
        <v>26.489511140000001</v>
      </c>
      <c r="AY490" s="3">
        <f>[1]Results!BB238</f>
        <v>26.836466919999999</v>
      </c>
      <c r="AZ490" s="3">
        <f>[1]Results!BC238</f>
        <v>27.188712689999999</v>
      </c>
      <c r="BA490" s="3">
        <f>[1]Results!BD238</f>
        <v>27.546369389999999</v>
      </c>
      <c r="BB490" s="3">
        <f>[1]Results!BE238</f>
        <v>29.933448439999999</v>
      </c>
      <c r="BC490" s="3">
        <f>[1]Results!BF238</f>
        <v>30.42883411</v>
      </c>
      <c r="BD490" s="3">
        <f>[1]Results!BG238</f>
        <v>30.932684080000001</v>
      </c>
      <c r="BE490" s="3">
        <f>[1]Results!BH238</f>
        <v>31.445132619999999</v>
      </c>
      <c r="BF490" s="3">
        <f>[1]Results!BI238</f>
        <v>31.966317310000001</v>
      </c>
    </row>
    <row r="491" spans="1:58" x14ac:dyDescent="0.3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</row>
    <row r="492" spans="1:58" x14ac:dyDescent="0.35">
      <c r="A492" s="12" t="s">
        <v>94</v>
      </c>
      <c r="B492" s="3" t="str">
        <f>[1]Results!E241</f>
        <v>YG_toe_0</v>
      </c>
      <c r="C492" s="3">
        <f>[1]Results!F241</f>
        <v>148.75785450000001</v>
      </c>
      <c r="D492" s="3">
        <f>[1]Results!G241</f>
        <v>149.95596929999999</v>
      </c>
      <c r="E492" s="3">
        <f>[1]Results!H241</f>
        <v>151.06797979999999</v>
      </c>
      <c r="F492" s="3">
        <f>[1]Results!I241</f>
        <v>152.2454587</v>
      </c>
      <c r="G492" s="3">
        <f>[1]Results!J241</f>
        <v>153.54006509999999</v>
      </c>
      <c r="H492" s="3">
        <f>[1]Results!K241</f>
        <v>154.94788170000001</v>
      </c>
      <c r="I492" s="3">
        <f>[1]Results!L241</f>
        <v>156.3769911</v>
      </c>
      <c r="J492" s="3">
        <f>[1]Results!M241</f>
        <v>157.8727605</v>
      </c>
      <c r="K492" s="3">
        <f>[1]Results!N241</f>
        <v>159.4296056</v>
      </c>
      <c r="L492" s="3">
        <f>[1]Results!O241</f>
        <v>161.0383578</v>
      </c>
      <c r="M492" s="3">
        <f>[1]Results!P241</f>
        <v>162.8424229</v>
      </c>
      <c r="N492" s="3">
        <f>[1]Results!Q241</f>
        <v>164.57804540000001</v>
      </c>
      <c r="O492" s="3">
        <f>[1]Results!R241</f>
        <v>166.32813519999999</v>
      </c>
      <c r="P492" s="3">
        <f>[1]Results!S241</f>
        <v>168.1001345</v>
      </c>
      <c r="Q492" s="3">
        <f>[1]Results!T241</f>
        <v>169.89560950000001</v>
      </c>
      <c r="R492" s="3">
        <f>[1]Results!U241</f>
        <v>171.71541360000001</v>
      </c>
      <c r="S492" s="3">
        <f>[1]Results!V241</f>
        <v>173.5602457</v>
      </c>
      <c r="T492" s="3">
        <f>[1]Results!W241</f>
        <v>175.43069059999999</v>
      </c>
      <c r="U492" s="3">
        <f>[1]Results!X241</f>
        <v>177.32724039999999</v>
      </c>
      <c r="V492" s="3">
        <f>[1]Results!Y241</f>
        <v>179.25034160000001</v>
      </c>
      <c r="W492" s="3">
        <f>[1]Results!Z241</f>
        <v>181.08961189999999</v>
      </c>
      <c r="X492" s="3">
        <f>[1]Results!AA241</f>
        <v>183.03461619999999</v>
      </c>
      <c r="Y492" s="3">
        <f>[1]Results!AB241</f>
        <v>185.02143559999999</v>
      </c>
      <c r="Z492" s="3">
        <f>[1]Results!AC241</f>
        <v>187.04328240000001</v>
      </c>
      <c r="AA492" s="3">
        <f>[1]Results!AD241</f>
        <v>189.09854780000001</v>
      </c>
      <c r="AB492" s="3">
        <f>[1]Results!AE241</f>
        <v>190.8688636</v>
      </c>
      <c r="AC492" s="3">
        <f>[1]Results!AF241</f>
        <v>192.74678299999999</v>
      </c>
      <c r="AD492" s="3">
        <f>[1]Results!AG241</f>
        <v>194.6517202</v>
      </c>
      <c r="AE492" s="3">
        <f>[1]Results!AH241</f>
        <v>196.5811075</v>
      </c>
      <c r="AF492" s="3">
        <f>[1]Results!AI241</f>
        <v>198.53711509999999</v>
      </c>
      <c r="AG492" s="3">
        <f>[1]Results!AJ241</f>
        <v>200.522603</v>
      </c>
      <c r="AH492" s="3">
        <f>[1]Results!AK241</f>
        <v>202.54013839999999</v>
      </c>
      <c r="AI492" s="3">
        <f>[1]Results!AL241</f>
        <v>204.59175859999999</v>
      </c>
      <c r="AJ492" s="3">
        <f>[1]Results!AM241</f>
        <v>206.6789536</v>
      </c>
      <c r="AK492" s="3">
        <f>[1]Results!AN241</f>
        <v>208.8027323</v>
      </c>
      <c r="AL492" s="3">
        <f>[1]Results!AO241</f>
        <v>210.9637208</v>
      </c>
      <c r="AM492" s="3">
        <f>[1]Results!AP241</f>
        <v>213.0862439</v>
      </c>
      <c r="AN492" s="3">
        <f>[1]Results!AQ241</f>
        <v>215.22374490000001</v>
      </c>
      <c r="AO492" s="3">
        <f>[1]Results!AR241</f>
        <v>217.3892535</v>
      </c>
      <c r="AP492" s="3">
        <f>[1]Results!AS241</f>
        <v>219.58999710000001</v>
      </c>
      <c r="AQ492" s="3">
        <f>[1]Results!AT241</f>
        <v>221.82908119999999</v>
      </c>
      <c r="AR492" s="3">
        <f>[1]Results!AU241</f>
        <v>224.09921510000001</v>
      </c>
      <c r="AS492" s="3">
        <f>[1]Results!AV241</f>
        <v>226.39529830000001</v>
      </c>
      <c r="AT492" s="3">
        <f>[1]Results!AW241</f>
        <v>228.71589839999999</v>
      </c>
      <c r="AU492" s="3">
        <f>[1]Results!AX241</f>
        <v>231.06384109999999</v>
      </c>
      <c r="AV492" s="3">
        <f>[1]Results!AY241</f>
        <v>233.4441794</v>
      </c>
      <c r="AW492" s="3">
        <f>[1]Results!AZ241</f>
        <v>235.86869329999999</v>
      </c>
      <c r="AX492" s="3">
        <f>[1]Results!BA241</f>
        <v>238.33621779999999</v>
      </c>
      <c r="AY492" s="3">
        <f>[1]Results!BB241</f>
        <v>240.84810110000001</v>
      </c>
      <c r="AZ492" s="3">
        <f>[1]Results!BC241</f>
        <v>243.40492639999999</v>
      </c>
      <c r="BA492" s="3">
        <f>[1]Results!BD241</f>
        <v>246.00662819999999</v>
      </c>
      <c r="BB492" s="3">
        <f>[1]Results!BE241</f>
        <v>263.32302049999998</v>
      </c>
      <c r="BC492" s="3">
        <f>[1]Results!BF241</f>
        <v>266.90438410000002</v>
      </c>
      <c r="BD492" s="3">
        <f>[1]Results!BG241</f>
        <v>270.54608409999997</v>
      </c>
      <c r="BE492" s="3">
        <f>[1]Results!BH241</f>
        <v>274.249459</v>
      </c>
      <c r="BF492" s="3">
        <f>[1]Results!BI241</f>
        <v>278.01577370000001</v>
      </c>
    </row>
    <row r="493" spans="1:58" x14ac:dyDescent="0.35">
      <c r="A493" t="s">
        <v>38</v>
      </c>
      <c r="B493" s="3" t="str">
        <f>[1]Results!E242</f>
        <v>YG_toe_ccoa_0</v>
      </c>
      <c r="C493" s="3">
        <f>[1]Results!F242</f>
        <v>2.3953685220000001</v>
      </c>
      <c r="D493" s="3">
        <f>[1]Results!G242</f>
        <v>2.4208159180000002</v>
      </c>
      <c r="E493" s="3">
        <f>[1]Results!H242</f>
        <v>2.4478033880000001</v>
      </c>
      <c r="F493" s="3">
        <f>[1]Results!I242</f>
        <v>2.4773508139999998</v>
      </c>
      <c r="G493" s="3">
        <f>[1]Results!J242</f>
        <v>2.5095750419999998</v>
      </c>
      <c r="H493" s="3">
        <f>[1]Results!K242</f>
        <v>2.5442119650000001</v>
      </c>
      <c r="I493" s="3">
        <f>[1]Results!L242</f>
        <v>2.5794033679999999</v>
      </c>
      <c r="J493" s="3">
        <f>[1]Results!M242</f>
        <v>2.6158849420000001</v>
      </c>
      <c r="K493" s="3">
        <f>[1]Results!N242</f>
        <v>2.653632628</v>
      </c>
      <c r="L493" s="3">
        <f>[1]Results!O242</f>
        <v>2.692515379</v>
      </c>
      <c r="M493" s="3">
        <f>[1]Results!P242</f>
        <v>2.7350907179999999</v>
      </c>
      <c r="N493" s="3">
        <f>[1]Results!Q242</f>
        <v>2.776738935</v>
      </c>
      <c r="O493" s="3">
        <f>[1]Results!R242</f>
        <v>2.8188477280000002</v>
      </c>
      <c r="P493" s="3">
        <f>[1]Results!S242</f>
        <v>2.86165877</v>
      </c>
      <c r="Q493" s="3">
        <f>[1]Results!T242</f>
        <v>2.9051944609999998</v>
      </c>
      <c r="R493" s="3">
        <f>[1]Results!U242</f>
        <v>2.9494456950000001</v>
      </c>
      <c r="S493" s="3">
        <f>[1]Results!V242</f>
        <v>2.9944062539999998</v>
      </c>
      <c r="T493" s="3">
        <f>[1]Results!W242</f>
        <v>3.0400766579999998</v>
      </c>
      <c r="U493" s="3">
        <f>[1]Results!X242</f>
        <v>3.0864623579999999</v>
      </c>
      <c r="V493" s="3">
        <f>[1]Results!Y242</f>
        <v>3.1335714440000002</v>
      </c>
      <c r="W493" s="3">
        <f>[1]Results!Z242</f>
        <v>3.17941238</v>
      </c>
      <c r="X493" s="3">
        <f>[1]Results!AA242</f>
        <v>3.2273792129999999</v>
      </c>
      <c r="Y493" s="3">
        <f>[1]Results!AB242</f>
        <v>3.2763964329999999</v>
      </c>
      <c r="Z493" s="3">
        <f>[1]Results!AC242</f>
        <v>3.3262566250000001</v>
      </c>
      <c r="AA493" s="3">
        <f>[1]Results!AD242</f>
        <v>3.376926219</v>
      </c>
      <c r="AB493" s="3">
        <f>[1]Results!AE242</f>
        <v>3.4225985379999999</v>
      </c>
      <c r="AC493" s="3">
        <f>[1]Results!AF242</f>
        <v>3.4703347569999998</v>
      </c>
      <c r="AD493" s="3">
        <f>[1]Results!AG242</f>
        <v>3.5188623790000002</v>
      </c>
      <c r="AE493" s="3">
        <f>[1]Results!AH242</f>
        <v>3.5679590600000002</v>
      </c>
      <c r="AF493" s="3">
        <f>[1]Results!AI242</f>
        <v>3.6176159050000001</v>
      </c>
      <c r="AG493" s="3">
        <f>[1]Results!AJ242</f>
        <v>3.6678617610000002</v>
      </c>
      <c r="AH493" s="3">
        <f>[1]Results!AK242</f>
        <v>3.718726132</v>
      </c>
      <c r="AI493" s="3">
        <f>[1]Results!AL242</f>
        <v>3.7702310099999998</v>
      </c>
      <c r="AJ493" s="3">
        <f>[1]Results!AM242</f>
        <v>3.822389737</v>
      </c>
      <c r="AK493" s="3">
        <f>[1]Results!AN242</f>
        <v>3.8752081079999998</v>
      </c>
      <c r="AL493" s="3">
        <f>[1]Results!AO242</f>
        <v>3.9286862239999998</v>
      </c>
      <c r="AM493" s="3">
        <f>[1]Results!AP242</f>
        <v>3.9814015089999999</v>
      </c>
      <c r="AN493" s="3">
        <f>[1]Results!AQ242</f>
        <v>4.0343113410000004</v>
      </c>
      <c r="AO493" s="3">
        <f>[1]Results!AR242</f>
        <v>4.0876466499999999</v>
      </c>
      <c r="AP493" s="3">
        <f>[1]Results!AS242</f>
        <v>4.1414763099999998</v>
      </c>
      <c r="AQ493" s="3">
        <f>[1]Results!AT242</f>
        <v>4.1958178759999996</v>
      </c>
      <c r="AR493" s="3">
        <f>[1]Results!AU242</f>
        <v>4.2506761559999999</v>
      </c>
      <c r="AS493" s="3">
        <f>[1]Results!AV242</f>
        <v>4.3061286189999999</v>
      </c>
      <c r="AT493" s="3">
        <f>[1]Results!AW242</f>
        <v>4.3622264230000001</v>
      </c>
      <c r="AU493" s="3">
        <f>[1]Results!AX242</f>
        <v>4.4189836600000003</v>
      </c>
      <c r="AV493" s="3">
        <f>[1]Results!AY242</f>
        <v>4.4763951740000003</v>
      </c>
      <c r="AW493" s="3">
        <f>[1]Results!AZ242</f>
        <v>4.534582135</v>
      </c>
      <c r="AX493" s="3">
        <f>[1]Results!BA242</f>
        <v>4.5934524019999996</v>
      </c>
      <c r="AY493" s="3">
        <f>[1]Results!BB242</f>
        <v>4.6529883989999998</v>
      </c>
      <c r="AZ493" s="3">
        <f>[1]Results!BC242</f>
        <v>4.7131900489999996</v>
      </c>
      <c r="BA493" s="3">
        <f>[1]Results!BD242</f>
        <v>4.7740613950000004</v>
      </c>
      <c r="BB493" s="3">
        <f>[1]Results!BE242</f>
        <v>5.2808698180000002</v>
      </c>
      <c r="BC493" s="3">
        <f>[1]Results!BF242</f>
        <v>5.3692964270000001</v>
      </c>
      <c r="BD493" s="3">
        <f>[1]Results!BG242</f>
        <v>5.4590872729999997</v>
      </c>
      <c r="BE493" s="3">
        <f>[1]Results!BH242</f>
        <v>5.5502613419999998</v>
      </c>
      <c r="BF493" s="3">
        <f>[1]Results!BI242</f>
        <v>5.6428395079999998</v>
      </c>
    </row>
    <row r="494" spans="1:58" x14ac:dyDescent="0.35">
      <c r="B494" s="3" t="s">
        <v>74</v>
      </c>
      <c r="C494" s="3">
        <f>SUM(C495:C497)</f>
        <v>51.446223702000005</v>
      </c>
      <c r="D494" s="3">
        <f t="shared" ref="D494:AL494" si="305">SUM(D495:D497)</f>
        <v>51.784486473000001</v>
      </c>
      <c r="E494" s="3">
        <f t="shared" si="305"/>
        <v>52.093280512999996</v>
      </c>
      <c r="F494" s="3">
        <f t="shared" si="305"/>
        <v>52.450899766999996</v>
      </c>
      <c r="G494" s="3">
        <f t="shared" si="305"/>
        <v>52.878004990000008</v>
      </c>
      <c r="H494" s="3">
        <f t="shared" si="305"/>
        <v>53.369718597999999</v>
      </c>
      <c r="I494" s="3">
        <f t="shared" si="305"/>
        <v>53.889432191000004</v>
      </c>
      <c r="J494" s="3">
        <f t="shared" si="305"/>
        <v>54.444734594000003</v>
      </c>
      <c r="K494" s="3">
        <f t="shared" si="305"/>
        <v>55.028999089999999</v>
      </c>
      <c r="L494" s="3">
        <f t="shared" si="305"/>
        <v>55.636349294000006</v>
      </c>
      <c r="M494" s="3">
        <f t="shared" si="305"/>
        <v>56.309012977999998</v>
      </c>
      <c r="N494" s="3">
        <f t="shared" si="305"/>
        <v>56.964757105999993</v>
      </c>
      <c r="O494" s="3">
        <f t="shared" si="305"/>
        <v>57.629387350999998</v>
      </c>
      <c r="P494" s="3">
        <f t="shared" si="305"/>
        <v>58.303738639000002</v>
      </c>
      <c r="Q494" s="3">
        <f t="shared" si="305"/>
        <v>58.987315553000002</v>
      </c>
      <c r="R494" s="3">
        <f t="shared" si="305"/>
        <v>59.679703089</v>
      </c>
      <c r="S494" s="3">
        <f t="shared" si="305"/>
        <v>60.380681852999999</v>
      </c>
      <c r="T494" s="3">
        <f t="shared" si="305"/>
        <v>61.090163238999999</v>
      </c>
      <c r="U494" s="3">
        <f t="shared" si="305"/>
        <v>61.808128044</v>
      </c>
      <c r="V494" s="3">
        <f t="shared" si="305"/>
        <v>62.534590668</v>
      </c>
      <c r="W494" s="3">
        <f t="shared" si="305"/>
        <v>63.235140056999995</v>
      </c>
      <c r="X494" s="3">
        <f t="shared" si="305"/>
        <v>63.968446158000006</v>
      </c>
      <c r="Y494" s="3">
        <f t="shared" si="305"/>
        <v>64.713757673000003</v>
      </c>
      <c r="Z494" s="3">
        <f t="shared" si="305"/>
        <v>65.469418571999995</v>
      </c>
      <c r="AA494" s="3">
        <f t="shared" si="305"/>
        <v>66.235129102999991</v>
      </c>
      <c r="AB494" s="3">
        <f t="shared" si="305"/>
        <v>66.911519951999992</v>
      </c>
      <c r="AC494" s="3">
        <f t="shared" si="305"/>
        <v>67.620672889999994</v>
      </c>
      <c r="AD494" s="3">
        <f t="shared" si="305"/>
        <v>68.334970846999994</v>
      </c>
      <c r="AE494" s="3">
        <f t="shared" si="305"/>
        <v>69.053893179999989</v>
      </c>
      <c r="AF494" s="3">
        <f t="shared" si="305"/>
        <v>69.778476030999997</v>
      </c>
      <c r="AG494" s="3">
        <f t="shared" si="305"/>
        <v>70.509900768999998</v>
      </c>
      <c r="AH494" s="3">
        <f t="shared" si="305"/>
        <v>71.249184883999988</v>
      </c>
      <c r="AI494" s="3">
        <f t="shared" si="305"/>
        <v>71.997128564999997</v>
      </c>
      <c r="AJ494" s="3">
        <f t="shared" si="305"/>
        <v>72.754330823000004</v>
      </c>
      <c r="AK494" s="3">
        <f t="shared" si="305"/>
        <v>73.521226338999995</v>
      </c>
      <c r="AL494" s="3">
        <f t="shared" si="305"/>
        <v>74.298125691999999</v>
      </c>
      <c r="AM494" s="3">
        <f t="shared" ref="AM494:BC494" si="306">SUM(AM495:AM497)</f>
        <v>75.061336988000008</v>
      </c>
      <c r="AN494" s="3">
        <f t="shared" si="306"/>
        <v>75.827720739</v>
      </c>
      <c r="AO494" s="3">
        <f t="shared" si="306"/>
        <v>76.600745711999991</v>
      </c>
      <c r="AP494" s="3">
        <f t="shared" si="306"/>
        <v>77.382291115000001</v>
      </c>
      <c r="AQ494" s="3">
        <f t="shared" si="306"/>
        <v>78.173193537999992</v>
      </c>
      <c r="AR494" s="3">
        <f t="shared" si="306"/>
        <v>78.971876686000002</v>
      </c>
      <c r="AS494" s="3">
        <f t="shared" si="306"/>
        <v>79.778620756999999</v>
      </c>
      <c r="AT494" s="3">
        <f t="shared" si="306"/>
        <v>80.593889087000008</v>
      </c>
      <c r="AU494" s="3">
        <f t="shared" si="306"/>
        <v>81.418332380999999</v>
      </c>
      <c r="AV494" s="3">
        <f t="shared" si="306"/>
        <v>82.25271790699999</v>
      </c>
      <c r="AW494" s="3">
        <f t="shared" si="306"/>
        <v>83.09992999699999</v>
      </c>
      <c r="AX494" s="3">
        <f t="shared" si="306"/>
        <v>83.95904286199999</v>
      </c>
      <c r="AY494" s="3">
        <f t="shared" si="306"/>
        <v>84.830278045</v>
      </c>
      <c r="AZ494" s="3">
        <f t="shared" si="306"/>
        <v>85.713816722000004</v>
      </c>
      <c r="BA494" s="3">
        <f t="shared" si="306"/>
        <v>86.609748764000003</v>
      </c>
      <c r="BB494" s="3">
        <f t="shared" si="306"/>
        <v>95.000434229000007</v>
      </c>
      <c r="BC494" s="3">
        <f t="shared" si="306"/>
        <v>96.305679523999999</v>
      </c>
      <c r="BD494" s="3">
        <f t="shared" ref="BD494:BF494" si="307">SUM(BD495:BD497)</f>
        <v>97.631281221000009</v>
      </c>
      <c r="BE494" s="3">
        <f t="shared" si="307"/>
        <v>98.977784716999992</v>
      </c>
      <c r="BF494" s="3">
        <f t="shared" si="307"/>
        <v>100.34575763000001</v>
      </c>
    </row>
    <row r="495" spans="1:58" x14ac:dyDescent="0.35">
      <c r="B495" s="3" t="str">
        <f>[1]Results!E245</f>
        <v>YG_toe_ccoi_0</v>
      </c>
      <c r="C495" s="3">
        <f>[1]Results!F245</f>
        <v>1.0974163379999999</v>
      </c>
      <c r="D495" s="3">
        <f>[1]Results!G245</f>
        <v>1.105835184</v>
      </c>
      <c r="E495" s="3">
        <f>[1]Results!H245</f>
        <v>1.113221196</v>
      </c>
      <c r="F495" s="3">
        <f>[1]Results!I245</f>
        <v>1.121422063</v>
      </c>
      <c r="G495" s="3">
        <f>[1]Results!J245</f>
        <v>1.130991321</v>
      </c>
      <c r="H495" s="3">
        <f>[1]Results!K245</f>
        <v>1.1418781950000001</v>
      </c>
      <c r="I495" s="3">
        <f>[1]Results!L245</f>
        <v>1.1533176629999999</v>
      </c>
      <c r="J495" s="3">
        <f>[1]Results!M245</f>
        <v>1.1654557619999999</v>
      </c>
      <c r="K495" s="3">
        <f>[1]Results!N245</f>
        <v>1.1781971019999999</v>
      </c>
      <c r="L495" s="3">
        <f>[1]Results!O245</f>
        <v>1.191424091</v>
      </c>
      <c r="M495" s="3">
        <f>[1]Results!P245</f>
        <v>1.206055493</v>
      </c>
      <c r="N495" s="3">
        <f>[1]Results!Q245</f>
        <v>1.2203668620000001</v>
      </c>
      <c r="O495" s="3">
        <f>[1]Results!R245</f>
        <v>1.2347877490000001</v>
      </c>
      <c r="P495" s="3">
        <f>[1]Results!S245</f>
        <v>1.2494038569999999</v>
      </c>
      <c r="Q495" s="3">
        <f>[1]Results!T245</f>
        <v>1.2642214780000001</v>
      </c>
      <c r="R495" s="3">
        <f>[1]Results!U245</f>
        <v>1.2792368949999999</v>
      </c>
      <c r="S495" s="3">
        <f>[1]Results!V245</f>
        <v>1.2944479360000001</v>
      </c>
      <c r="T495" s="3">
        <f>[1]Results!W245</f>
        <v>1.309854445</v>
      </c>
      <c r="U495" s="3">
        <f>[1]Results!X245</f>
        <v>1.325457426</v>
      </c>
      <c r="V495" s="3">
        <f>[1]Results!Y245</f>
        <v>1.3412584359999999</v>
      </c>
      <c r="W495" s="3">
        <f>[1]Results!Z245</f>
        <v>1.3565122350000001</v>
      </c>
      <c r="X495" s="3">
        <f>[1]Results!AA245</f>
        <v>1.3724496470000001</v>
      </c>
      <c r="Y495" s="3">
        <f>[1]Results!AB245</f>
        <v>1.388719831</v>
      </c>
      <c r="Z495" s="3">
        <f>[1]Results!AC245</f>
        <v>1.4052398989999999</v>
      </c>
      <c r="AA495" s="3">
        <f>[1]Results!AD245</f>
        <v>1.421994097</v>
      </c>
      <c r="AB495" s="3">
        <f>[1]Results!AE245</f>
        <v>1.436826607</v>
      </c>
      <c r="AC495" s="3">
        <f>[1]Results!AF245</f>
        <v>1.4522627450000001</v>
      </c>
      <c r="AD495" s="3">
        <f>[1]Results!AG245</f>
        <v>1.467929348</v>
      </c>
      <c r="AE495" s="3">
        <f>[1]Results!AH245</f>
        <v>1.48375262</v>
      </c>
      <c r="AF495" s="3">
        <f>[1]Results!AI245</f>
        <v>1.4997367610000001</v>
      </c>
      <c r="AG495" s="3">
        <f>[1]Results!AJ245</f>
        <v>1.5159003289999999</v>
      </c>
      <c r="AH495" s="3">
        <f>[1]Results!AK245</f>
        <v>1.5322615939999999</v>
      </c>
      <c r="AI495" s="3">
        <f>[1]Results!AL245</f>
        <v>1.548835465</v>
      </c>
      <c r="AJ495" s="3">
        <f>[1]Results!AM245</f>
        <v>1.565633203</v>
      </c>
      <c r="AK495" s="3">
        <f>[1]Results!AN245</f>
        <v>1.5826629189999999</v>
      </c>
      <c r="AL495" s="3">
        <f>[1]Results!AO245</f>
        <v>1.5999302719999999</v>
      </c>
      <c r="AM495" s="3">
        <f>[1]Results!AP245</f>
        <v>1.6169201479999999</v>
      </c>
      <c r="AN495" s="3">
        <f>[1]Results!AQ245</f>
        <v>1.6339673690000001</v>
      </c>
      <c r="AO495" s="3">
        <f>[1]Results!AR245</f>
        <v>1.6511844419999999</v>
      </c>
      <c r="AP495" s="3">
        <f>[1]Results!AS245</f>
        <v>1.6686187750000001</v>
      </c>
      <c r="AQ495" s="3">
        <f>[1]Results!AT245</f>
        <v>1.6862875879999999</v>
      </c>
      <c r="AR495" s="3">
        <f>[1]Results!AU245</f>
        <v>1.704151196</v>
      </c>
      <c r="AS495" s="3">
        <f>[1]Results!AV245</f>
        <v>1.7222067569999999</v>
      </c>
      <c r="AT495" s="3">
        <f>[1]Results!AW245</f>
        <v>1.740461327</v>
      </c>
      <c r="AU495" s="3">
        <f>[1]Results!AX245</f>
        <v>1.758928601</v>
      </c>
      <c r="AV495" s="3">
        <f>[1]Results!AY245</f>
        <v>1.777626317</v>
      </c>
      <c r="AW495" s="3">
        <f>[1]Results!AZ245</f>
        <v>1.796618547</v>
      </c>
      <c r="AX495" s="3">
        <f>[1]Results!BA245</f>
        <v>1.815888782</v>
      </c>
      <c r="AY495" s="3">
        <f>[1]Results!BB245</f>
        <v>1.835438425</v>
      </c>
      <c r="AZ495" s="3">
        <f>[1]Results!BC245</f>
        <v>1.855270352</v>
      </c>
      <c r="BA495" s="3">
        <f>[1]Results!BD245</f>
        <v>1.875385734</v>
      </c>
      <c r="BB495" s="3">
        <f>[1]Results!BE245</f>
        <v>2.0594486289999998</v>
      </c>
      <c r="BC495" s="3">
        <f>[1]Results!BF245</f>
        <v>2.0887388640000002</v>
      </c>
      <c r="BD495" s="3">
        <f>[1]Results!BG245</f>
        <v>2.118508641</v>
      </c>
      <c r="BE495" s="3">
        <f>[1]Results!BH245</f>
        <v>2.1487698270000002</v>
      </c>
      <c r="BF495" s="3">
        <f>[1]Results!BI245</f>
        <v>2.1795345500000001</v>
      </c>
    </row>
    <row r="496" spans="1:58" x14ac:dyDescent="0.35">
      <c r="B496" s="3" t="str">
        <f>[1]Results!E248</f>
        <v>YG_toe_cfut_0</v>
      </c>
      <c r="C496" s="3">
        <f>[1]Results!F248</f>
        <v>42.405405930000001</v>
      </c>
      <c r="D496" s="3">
        <f>[1]Results!G248</f>
        <v>42.676368510000003</v>
      </c>
      <c r="E496" s="3">
        <f>[1]Results!H248</f>
        <v>42.927850849999999</v>
      </c>
      <c r="F496" s="3">
        <f>[1]Results!I248</f>
        <v>43.22789796</v>
      </c>
      <c r="G496" s="3">
        <f>[1]Results!J248</f>
        <v>43.593303980000002</v>
      </c>
      <c r="H496" s="3">
        <f>[1]Results!K248</f>
        <v>44.018753140000001</v>
      </c>
      <c r="I496" s="3">
        <f>[1]Results!L248</f>
        <v>44.471442600000003</v>
      </c>
      <c r="J496" s="3">
        <f>[1]Results!M248</f>
        <v>44.95631015</v>
      </c>
      <c r="K496" s="3">
        <f>[1]Results!N248</f>
        <v>45.466678299999998</v>
      </c>
      <c r="L496" s="3">
        <f>[1]Results!O248</f>
        <v>45.997064090000002</v>
      </c>
      <c r="M496" s="3">
        <f>[1]Results!P248</f>
        <v>46.581905880000001</v>
      </c>
      <c r="N496" s="3">
        <f>[1]Results!Q248</f>
        <v>47.152709209999998</v>
      </c>
      <c r="O496" s="3">
        <f>[1]Results!R248</f>
        <v>47.731715350000002</v>
      </c>
      <c r="P496" s="3">
        <f>[1]Results!S248</f>
        <v>48.319196120000001</v>
      </c>
      <c r="Q496" s="3">
        <f>[1]Results!T248</f>
        <v>48.91453679</v>
      </c>
      <c r="R496" s="3">
        <f>[1]Results!U248</f>
        <v>49.517219900000001</v>
      </c>
      <c r="S496" s="3">
        <f>[1]Results!V248</f>
        <v>50.126930870000002</v>
      </c>
      <c r="T496" s="3">
        <f>[1]Results!W248</f>
        <v>50.743511179999999</v>
      </c>
      <c r="U496" s="3">
        <f>[1]Results!X248</f>
        <v>51.366901640000002</v>
      </c>
      <c r="V496" s="3">
        <f>[1]Results!Y248</f>
        <v>51.997101020000002</v>
      </c>
      <c r="W496" s="3">
        <f>[1]Results!Z248</f>
        <v>52.605663890000002</v>
      </c>
      <c r="X496" s="3">
        <f>[1]Results!AA248</f>
        <v>53.241528930000001</v>
      </c>
      <c r="Y496" s="3">
        <f>[1]Results!AB248</f>
        <v>53.886768969999999</v>
      </c>
      <c r="Z496" s="3">
        <f>[1]Results!AC248</f>
        <v>54.540281999999998</v>
      </c>
      <c r="AA496" s="3">
        <f>[1]Results!AD248</f>
        <v>55.201926469999997</v>
      </c>
      <c r="AB496" s="3">
        <f>[1]Results!AE248</f>
        <v>55.789463069999996</v>
      </c>
      <c r="AC496" s="3">
        <f>[1]Results!AF248</f>
        <v>56.405204130000001</v>
      </c>
      <c r="AD496" s="3">
        <f>[1]Results!AG248</f>
        <v>57.02459794</v>
      </c>
      <c r="AE496" s="3">
        <f>[1]Results!AH248</f>
        <v>57.647429899999999</v>
      </c>
      <c r="AF496" s="3">
        <f>[1]Results!AI248</f>
        <v>58.274652699999997</v>
      </c>
      <c r="AG496" s="3">
        <f>[1]Results!AJ248</f>
        <v>58.907300319999997</v>
      </c>
      <c r="AH496" s="3">
        <f>[1]Results!AK248</f>
        <v>59.546252279999997</v>
      </c>
      <c r="AI496" s="3">
        <f>[1]Results!AL248</f>
        <v>60.192195810000001</v>
      </c>
      <c r="AJ496" s="3">
        <f>[1]Results!AM248</f>
        <v>60.8456428</v>
      </c>
      <c r="AK496" s="3">
        <f>[1]Results!AN248</f>
        <v>61.5069631</v>
      </c>
      <c r="AL496" s="3">
        <f>[1]Results!AO248</f>
        <v>62.17642008</v>
      </c>
      <c r="AM496" s="3">
        <f>[1]Results!AP248</f>
        <v>62.834335199999998</v>
      </c>
      <c r="AN496" s="3">
        <f>[1]Results!AQ248</f>
        <v>63.495007559999998</v>
      </c>
      <c r="AO496" s="3">
        <f>[1]Results!AR248</f>
        <v>64.160258119999995</v>
      </c>
      <c r="AP496" s="3">
        <f>[1]Results!AS248</f>
        <v>64.831051860000002</v>
      </c>
      <c r="AQ496" s="3">
        <f>[1]Results!AT248</f>
        <v>65.508122299999997</v>
      </c>
      <c r="AR496" s="3">
        <f>[1]Results!AU248</f>
        <v>66.190874809999997</v>
      </c>
      <c r="AS496" s="3">
        <f>[1]Results!AV248</f>
        <v>66.880318189999997</v>
      </c>
      <c r="AT496" s="3">
        <f>[1]Results!AW248</f>
        <v>67.577372179999998</v>
      </c>
      <c r="AU496" s="3">
        <f>[1]Results!AX248</f>
        <v>68.282690830000007</v>
      </c>
      <c r="AV496" s="3">
        <f>[1]Results!AY248</f>
        <v>68.996735009999995</v>
      </c>
      <c r="AW496" s="3">
        <f>[1]Results!AZ248</f>
        <v>69.721639659999994</v>
      </c>
      <c r="AX496" s="3">
        <f>[1]Results!BA248</f>
        <v>70.456376129999995</v>
      </c>
      <c r="AY496" s="3">
        <f>[1]Results!BB248</f>
        <v>71.200996849999996</v>
      </c>
      <c r="AZ496" s="3">
        <f>[1]Results!BC248</f>
        <v>71.955578489999994</v>
      </c>
      <c r="BA496" s="3">
        <f>[1]Results!BD248</f>
        <v>72.720166919999997</v>
      </c>
      <c r="BB496" s="3">
        <f>[1]Results!BE248</f>
        <v>79.660940400000001</v>
      </c>
      <c r="BC496" s="3">
        <f>[1]Results!BF248</f>
        <v>80.770912499999994</v>
      </c>
      <c r="BD496" s="3">
        <f>[1]Results!BG248</f>
        <v>81.898136870000002</v>
      </c>
      <c r="BE496" s="3">
        <f>[1]Results!BH248</f>
        <v>83.043075369999997</v>
      </c>
      <c r="BF496" s="3">
        <f>[1]Results!BI248</f>
        <v>84.206216670000003</v>
      </c>
    </row>
    <row r="497" spans="1:58" x14ac:dyDescent="0.35">
      <c r="B497" s="3" t="str">
        <f>[1]Results!E251</f>
        <v>YG_toe_cfuh_0</v>
      </c>
      <c r="C497" s="3">
        <f>[1]Results!F251</f>
        <v>7.9434014340000001</v>
      </c>
      <c r="D497" s="3">
        <f>[1]Results!G251</f>
        <v>8.0022827789999997</v>
      </c>
      <c r="E497" s="3">
        <f>[1]Results!H251</f>
        <v>8.0522084669999998</v>
      </c>
      <c r="F497" s="3">
        <f>[1]Results!I251</f>
        <v>8.1015797440000004</v>
      </c>
      <c r="G497" s="3">
        <f>[1]Results!J251</f>
        <v>8.1537096889999994</v>
      </c>
      <c r="H497" s="3">
        <f>[1]Results!K251</f>
        <v>8.2090872630000007</v>
      </c>
      <c r="I497" s="3">
        <f>[1]Results!L251</f>
        <v>8.2646719280000003</v>
      </c>
      <c r="J497" s="3">
        <f>[1]Results!M251</f>
        <v>8.3229686820000008</v>
      </c>
      <c r="K497" s="3">
        <f>[1]Results!N251</f>
        <v>8.3841236880000007</v>
      </c>
      <c r="L497" s="3">
        <f>[1]Results!O251</f>
        <v>8.4478611130000001</v>
      </c>
      <c r="M497" s="3">
        <f>[1]Results!P251</f>
        <v>8.5210516050000003</v>
      </c>
      <c r="N497" s="3">
        <f>[1]Results!Q251</f>
        <v>8.5916810340000005</v>
      </c>
      <c r="O497" s="3">
        <f>[1]Results!R251</f>
        <v>8.6628842519999996</v>
      </c>
      <c r="P497" s="3">
        <f>[1]Results!S251</f>
        <v>8.7351386620000007</v>
      </c>
      <c r="Q497" s="3">
        <f>[1]Results!T251</f>
        <v>8.8085572849999991</v>
      </c>
      <c r="R497" s="3">
        <f>[1]Results!U251</f>
        <v>8.8832462939999992</v>
      </c>
      <c r="S497" s="3">
        <f>[1]Results!V251</f>
        <v>8.9593030470000006</v>
      </c>
      <c r="T497" s="3">
        <f>[1]Results!W251</f>
        <v>9.0367976139999993</v>
      </c>
      <c r="U497" s="3">
        <f>[1]Results!X251</f>
        <v>9.1157689780000002</v>
      </c>
      <c r="V497" s="3">
        <f>[1]Results!Y251</f>
        <v>9.1962312120000007</v>
      </c>
      <c r="W497" s="3">
        <f>[1]Results!Z251</f>
        <v>9.2729639319999997</v>
      </c>
      <c r="X497" s="3">
        <f>[1]Results!AA251</f>
        <v>9.3544675809999998</v>
      </c>
      <c r="Y497" s="3">
        <f>[1]Results!AB251</f>
        <v>9.4382688720000001</v>
      </c>
      <c r="Z497" s="3">
        <f>[1]Results!AC251</f>
        <v>9.5238966729999994</v>
      </c>
      <c r="AA497" s="3">
        <f>[1]Results!AD251</f>
        <v>9.6112085359999995</v>
      </c>
      <c r="AB497" s="3">
        <f>[1]Results!AE251</f>
        <v>9.6852302750000003</v>
      </c>
      <c r="AC497" s="3">
        <f>[1]Results!AF251</f>
        <v>9.7632060149999997</v>
      </c>
      <c r="AD497" s="3">
        <f>[1]Results!AG251</f>
        <v>9.8424435589999995</v>
      </c>
      <c r="AE497" s="3">
        <f>[1]Results!AH251</f>
        <v>9.9227106599999999</v>
      </c>
      <c r="AF497" s="3">
        <f>[1]Results!AI251</f>
        <v>10.00408657</v>
      </c>
      <c r="AG497" s="3">
        <f>[1]Results!AJ251</f>
        <v>10.08670012</v>
      </c>
      <c r="AH497" s="3">
        <f>[1]Results!AK251</f>
        <v>10.17067101</v>
      </c>
      <c r="AI497" s="3">
        <f>[1]Results!AL251</f>
        <v>10.25609729</v>
      </c>
      <c r="AJ497" s="3">
        <f>[1]Results!AM251</f>
        <v>10.343054820000001</v>
      </c>
      <c r="AK497" s="3">
        <f>[1]Results!AN251</f>
        <v>10.431600319999999</v>
      </c>
      <c r="AL497" s="3">
        <f>[1]Results!AO251</f>
        <v>10.52177534</v>
      </c>
      <c r="AM497" s="3">
        <f>[1]Results!AP251</f>
        <v>10.610081640000001</v>
      </c>
      <c r="AN497" s="3">
        <f>[1]Results!AQ251</f>
        <v>10.69874581</v>
      </c>
      <c r="AO497" s="3">
        <f>[1]Results!AR251</f>
        <v>10.78930315</v>
      </c>
      <c r="AP497" s="3">
        <f>[1]Results!AS251</f>
        <v>10.88262048</v>
      </c>
      <c r="AQ497" s="3">
        <f>[1]Results!AT251</f>
        <v>10.97878365</v>
      </c>
      <c r="AR497" s="3">
        <f>[1]Results!AU251</f>
        <v>11.07685068</v>
      </c>
      <c r="AS497" s="3">
        <f>[1]Results!AV251</f>
        <v>11.17609581</v>
      </c>
      <c r="AT497" s="3">
        <f>[1]Results!AW251</f>
        <v>11.27605558</v>
      </c>
      <c r="AU497" s="3">
        <f>[1]Results!AX251</f>
        <v>11.37671295</v>
      </c>
      <c r="AV497" s="3">
        <f>[1]Results!AY251</f>
        <v>11.47835658</v>
      </c>
      <c r="AW497" s="3">
        <f>[1]Results!AZ251</f>
        <v>11.58167179</v>
      </c>
      <c r="AX497" s="3">
        <f>[1]Results!BA251</f>
        <v>11.68677795</v>
      </c>
      <c r="AY497" s="3">
        <f>[1]Results!BB251</f>
        <v>11.793842769999999</v>
      </c>
      <c r="AZ497" s="3">
        <f>[1]Results!BC251</f>
        <v>11.90296788</v>
      </c>
      <c r="BA497" s="3">
        <f>[1]Results!BD251</f>
        <v>12.01419611</v>
      </c>
      <c r="BB497" s="3">
        <f>[1]Results!BE251</f>
        <v>13.2800452</v>
      </c>
      <c r="BC497" s="3">
        <f>[1]Results!BF251</f>
        <v>13.446028159999999</v>
      </c>
      <c r="BD497" s="3">
        <f>[1]Results!BG251</f>
        <v>13.61463571</v>
      </c>
      <c r="BE497" s="3">
        <f>[1]Results!BH251</f>
        <v>13.785939519999999</v>
      </c>
      <c r="BF497" s="3">
        <f>[1]Results!BI251</f>
        <v>13.96000641</v>
      </c>
    </row>
    <row r="498" spans="1:58" x14ac:dyDescent="0.35">
      <c r="B498" s="3" t="str">
        <f>[1]Results!E253</f>
        <v>YG_toe_cgas_0</v>
      </c>
      <c r="C498" s="3">
        <f>[1]Results!F253</f>
        <v>6.6052848659999999</v>
      </c>
      <c r="D498" s="3">
        <f>[1]Results!G253</f>
        <v>6.646391736</v>
      </c>
      <c r="E498" s="3">
        <f>[1]Results!H253</f>
        <v>6.6701281640000003</v>
      </c>
      <c r="F498" s="3">
        <f>[1]Results!I253</f>
        <v>6.6833662709999997</v>
      </c>
      <c r="G498" s="3">
        <f>[1]Results!J253</f>
        <v>6.6903699090000002</v>
      </c>
      <c r="H498" s="3">
        <f>[1]Results!K253</f>
        <v>6.6914313979999998</v>
      </c>
      <c r="I498" s="3">
        <f>[1]Results!L253</f>
        <v>6.6888083979999999</v>
      </c>
      <c r="J498" s="3">
        <f>[1]Results!M253</f>
        <v>6.6886242889999998</v>
      </c>
      <c r="K498" s="3">
        <f>[1]Results!N253</f>
        <v>6.6903764069999996</v>
      </c>
      <c r="L498" s="3">
        <f>[1]Results!O253</f>
        <v>6.6933341390000001</v>
      </c>
      <c r="M498" s="3">
        <f>[1]Results!P253</f>
        <v>6.704446495</v>
      </c>
      <c r="N498" s="3">
        <f>[1]Results!Q253</f>
        <v>6.7076891969999997</v>
      </c>
      <c r="O498" s="3">
        <f>[1]Results!R253</f>
        <v>6.7109639579999998</v>
      </c>
      <c r="P498" s="3">
        <f>[1]Results!S253</f>
        <v>6.714060141</v>
      </c>
      <c r="Q498" s="3">
        <f>[1]Results!T253</f>
        <v>6.7172048750000002</v>
      </c>
      <c r="R498" s="3">
        <f>[1]Results!U253</f>
        <v>6.7207524830000001</v>
      </c>
      <c r="S498" s="3">
        <f>[1]Results!V253</f>
        <v>6.7249934900000001</v>
      </c>
      <c r="T498" s="3">
        <f>[1]Results!W253</f>
        <v>6.7301193970000002</v>
      </c>
      <c r="U498" s="3">
        <f>[1]Results!X253</f>
        <v>6.7362352100000003</v>
      </c>
      <c r="V498" s="3">
        <f>[1]Results!Y253</f>
        <v>6.7433832029999996</v>
      </c>
      <c r="W498" s="3">
        <f>[1]Results!Z253</f>
        <v>6.7462410420000003</v>
      </c>
      <c r="X498" s="3">
        <f>[1]Results!AA253</f>
        <v>6.7559299810000004</v>
      </c>
      <c r="Y498" s="3">
        <f>[1]Results!AB253</f>
        <v>6.7664489989999996</v>
      </c>
      <c r="Z498" s="3">
        <f>[1]Results!AC253</f>
        <v>6.777895193</v>
      </c>
      <c r="AA498" s="3">
        <f>[1]Results!AD253</f>
        <v>6.790139377</v>
      </c>
      <c r="AB498" s="3">
        <f>[1]Results!AE253</f>
        <v>6.7880576030000004</v>
      </c>
      <c r="AC498" s="3">
        <f>[1]Results!AF253</f>
        <v>6.7961639470000001</v>
      </c>
      <c r="AD498" s="3">
        <f>[1]Results!AG253</f>
        <v>6.8051008360000003</v>
      </c>
      <c r="AE498" s="3">
        <f>[1]Results!AH253</f>
        <v>6.8150895340000002</v>
      </c>
      <c r="AF498" s="3">
        <f>[1]Results!AI253</f>
        <v>6.8258942679999999</v>
      </c>
      <c r="AG498" s="3">
        <f>[1]Results!AJ253</f>
        <v>6.8372791020000001</v>
      </c>
      <c r="AH498" s="3">
        <f>[1]Results!AK253</f>
        <v>6.8490660710000002</v>
      </c>
      <c r="AI498" s="3">
        <f>[1]Results!AL253</f>
        <v>6.8611337260000003</v>
      </c>
      <c r="AJ498" s="3">
        <f>[1]Results!AM253</f>
        <v>6.8734072890000002</v>
      </c>
      <c r="AK498" s="3">
        <f>[1]Results!AN253</f>
        <v>6.8858484940000002</v>
      </c>
      <c r="AL498" s="3">
        <f>[1]Results!AO253</f>
        <v>6.8984464799999996</v>
      </c>
      <c r="AM498" s="3">
        <f>[1]Results!AP253</f>
        <v>6.9077376920000004</v>
      </c>
      <c r="AN498" s="3">
        <f>[1]Results!AQ253</f>
        <v>6.9176598360000003</v>
      </c>
      <c r="AO498" s="3">
        <f>[1]Results!AR253</f>
        <v>6.929023956</v>
      </c>
      <c r="AP498" s="3">
        <f>[1]Results!AS253</f>
        <v>6.9424093569999998</v>
      </c>
      <c r="AQ498" s="3">
        <f>[1]Results!AT253</f>
        <v>6.9575895259999996</v>
      </c>
      <c r="AR498" s="3">
        <f>[1]Results!AU253</f>
        <v>6.9739473289999996</v>
      </c>
      <c r="AS498" s="3">
        <f>[1]Results!AV253</f>
        <v>6.9888636909999997</v>
      </c>
      <c r="AT498" s="3">
        <f>[1]Results!AW253</f>
        <v>7.0004633610000004</v>
      </c>
      <c r="AU498" s="3">
        <f>[1]Results!AX253</f>
        <v>7.0085035619999996</v>
      </c>
      <c r="AV498" s="3">
        <f>[1]Results!AY253</f>
        <v>7.0138705349999997</v>
      </c>
      <c r="AW498" s="3">
        <f>[1]Results!AZ253</f>
        <v>7.0180730249999996</v>
      </c>
      <c r="AX498" s="3">
        <f>[1]Results!BA253</f>
        <v>7.0217977439999997</v>
      </c>
      <c r="AY498" s="3">
        <f>[1]Results!BB253</f>
        <v>7.0257710470000001</v>
      </c>
      <c r="AZ498" s="3">
        <f>[1]Results!BC253</f>
        <v>7.0304111320000002</v>
      </c>
      <c r="BA498" s="3">
        <f>[1]Results!BD253</f>
        <v>7.035934814</v>
      </c>
      <c r="BB498" s="3">
        <f>[1]Results!BE253</f>
        <v>6.5550224909999999</v>
      </c>
      <c r="BC498" s="3">
        <f>[1]Results!BF253</f>
        <v>6.5727831459999999</v>
      </c>
      <c r="BD498" s="3">
        <f>[1]Results!BG253</f>
        <v>6.5912239770000003</v>
      </c>
      <c r="BE498" s="3">
        <f>[1]Results!BH253</f>
        <v>6.6103602400000003</v>
      </c>
      <c r="BF498" s="3">
        <f>[1]Results!BI253</f>
        <v>6.6301887920000002</v>
      </c>
    </row>
    <row r="499" spans="1:58" x14ac:dyDescent="0.35">
      <c r="B499" s="3" t="str">
        <f>[1]Results!E259</f>
        <v>YG_toe_cele_0</v>
      </c>
      <c r="C499" s="3">
        <f>[1]Results!F259</f>
        <v>57.53161188</v>
      </c>
      <c r="D499" s="3">
        <f>[1]Results!G259</f>
        <v>58.031806449999998</v>
      </c>
      <c r="E499" s="3">
        <f>[1]Results!H259</f>
        <v>58.49778809</v>
      </c>
      <c r="F499" s="3">
        <f>[1]Results!I259</f>
        <v>58.97975752</v>
      </c>
      <c r="G499" s="3">
        <f>[1]Results!J259</f>
        <v>59.497660750000001</v>
      </c>
      <c r="H499" s="3">
        <f>[1]Results!K259</f>
        <v>60.052302419999997</v>
      </c>
      <c r="I499" s="3">
        <f>[1]Results!L259</f>
        <v>60.610836769999999</v>
      </c>
      <c r="J499" s="3">
        <f>[1]Results!M259</f>
        <v>61.190125049999999</v>
      </c>
      <c r="K499" s="3">
        <f>[1]Results!N259</f>
        <v>61.7894808</v>
      </c>
      <c r="L499" s="3">
        <f>[1]Results!O259</f>
        <v>62.406528080000001</v>
      </c>
      <c r="M499" s="3">
        <f>[1]Results!P259</f>
        <v>63.096401419999999</v>
      </c>
      <c r="N499" s="3">
        <f>[1]Results!Q259</f>
        <v>63.76206681</v>
      </c>
      <c r="O499" s="3">
        <f>[1]Results!R259</f>
        <v>64.432058510000005</v>
      </c>
      <c r="P499" s="3">
        <f>[1]Results!S259</f>
        <v>65.109865450000001</v>
      </c>
      <c r="Q499" s="3">
        <f>[1]Results!T259</f>
        <v>65.796382800000003</v>
      </c>
      <c r="R499" s="3">
        <f>[1]Results!U259</f>
        <v>66.492234859999996</v>
      </c>
      <c r="S499" s="3">
        <f>[1]Results!V259</f>
        <v>67.197944879999994</v>
      </c>
      <c r="T499" s="3">
        <f>[1]Results!W259</f>
        <v>67.913930250000007</v>
      </c>
      <c r="U499" s="3">
        <f>[1]Results!X259</f>
        <v>68.640526809999997</v>
      </c>
      <c r="V499" s="3">
        <f>[1]Results!Y259</f>
        <v>69.378033709999997</v>
      </c>
      <c r="W499" s="3">
        <f>[1]Results!Z259</f>
        <v>70.084479610000002</v>
      </c>
      <c r="X499" s="3">
        <f>[1]Results!AA259</f>
        <v>70.830602389999996</v>
      </c>
      <c r="Y499" s="3">
        <f>[1]Results!AB259</f>
        <v>71.594726370000004</v>
      </c>
      <c r="Z499" s="3">
        <f>[1]Results!AC259</f>
        <v>72.374148930000004</v>
      </c>
      <c r="AA499" s="3">
        <f>[1]Results!AD259</f>
        <v>73.168397159999998</v>
      </c>
      <c r="AB499" s="3">
        <f>[1]Results!AE259</f>
        <v>73.855862650000006</v>
      </c>
      <c r="AC499" s="3">
        <f>[1]Results!AF259</f>
        <v>74.581757339999996</v>
      </c>
      <c r="AD499" s="3">
        <f>[1]Results!AG259</f>
        <v>75.320472570000007</v>
      </c>
      <c r="AE499" s="3">
        <f>[1]Results!AH259</f>
        <v>76.071361789999997</v>
      </c>
      <c r="AF499" s="3">
        <f>[1]Results!AI259</f>
        <v>76.835815240000002</v>
      </c>
      <c r="AG499" s="3">
        <f>[1]Results!AJ259</f>
        <v>77.615429219999996</v>
      </c>
      <c r="AH499" s="3">
        <f>[1]Results!AK259</f>
        <v>78.411583399999998</v>
      </c>
      <c r="AI499" s="3">
        <f>[1]Results!AL259</f>
        <v>79.225345419999996</v>
      </c>
      <c r="AJ499" s="3">
        <f>[1]Results!AM259</f>
        <v>80.057468659999998</v>
      </c>
      <c r="AK499" s="3">
        <f>[1]Results!AN259</f>
        <v>80.908426759999998</v>
      </c>
      <c r="AL499" s="3">
        <f>[1]Results!AO259</f>
        <v>81.778464709999994</v>
      </c>
      <c r="AM499" s="3">
        <f>[1]Results!AP259</f>
        <v>82.638363999999996</v>
      </c>
      <c r="AN499" s="3">
        <f>[1]Results!AQ259</f>
        <v>83.507272450000002</v>
      </c>
      <c r="AO499" s="3">
        <f>[1]Results!AR259</f>
        <v>84.392463649999996</v>
      </c>
      <c r="AP499" s="3">
        <f>[1]Results!AS259</f>
        <v>85.297933599999993</v>
      </c>
      <c r="AQ499" s="3">
        <f>[1]Results!AT259</f>
        <v>86.224681810000007</v>
      </c>
      <c r="AR499" s="3">
        <f>[1]Results!AU259</f>
        <v>87.167403379999996</v>
      </c>
      <c r="AS499" s="3">
        <f>[1]Results!AV259</f>
        <v>88.123716580000007</v>
      </c>
      <c r="AT499" s="3">
        <f>[1]Results!AW259</f>
        <v>89.093717490000003</v>
      </c>
      <c r="AU499" s="3">
        <f>[1]Results!AX259</f>
        <v>90.079359109999999</v>
      </c>
      <c r="AV499" s="3">
        <f>[1]Results!AY259</f>
        <v>91.083227980000004</v>
      </c>
      <c r="AW499" s="3">
        <f>[1]Results!AZ259</f>
        <v>92.11017588</v>
      </c>
      <c r="AX499" s="3">
        <f>[1]Results!BA259</f>
        <v>93.159853159999997</v>
      </c>
      <c r="AY499" s="3">
        <f>[1]Results!BB259</f>
        <v>94.232523850000007</v>
      </c>
      <c r="AZ499" s="3">
        <f>[1]Results!BC259</f>
        <v>95.328087780000004</v>
      </c>
      <c r="BA499" s="3">
        <f>[1]Results!BD259</f>
        <v>96.446179990000005</v>
      </c>
      <c r="BB499" s="3">
        <f>[1]Results!BE259</f>
        <v>102.0538025</v>
      </c>
      <c r="BC499" s="3">
        <f>[1]Results!BF259</f>
        <v>103.4970831</v>
      </c>
      <c r="BD499" s="3">
        <f>[1]Results!BG259</f>
        <v>104.966171</v>
      </c>
      <c r="BE499" s="3">
        <f>[1]Results!BH259</f>
        <v>106.46154749999999</v>
      </c>
      <c r="BF499" s="3">
        <f>[1]Results!BI259</f>
        <v>107.9836487</v>
      </c>
    </row>
    <row r="500" spans="1:58" x14ac:dyDescent="0.35">
      <c r="B500" s="3" t="s">
        <v>75</v>
      </c>
      <c r="C500" s="3">
        <f>SUM(C501:C503)</f>
        <v>30.779365492000004</v>
      </c>
      <c r="D500" s="3">
        <f t="shared" ref="D500:AL500" si="308">SUM(D501:D503)</f>
        <v>31.072468700000002</v>
      </c>
      <c r="E500" s="3">
        <f t="shared" si="308"/>
        <v>31.358979644999998</v>
      </c>
      <c r="F500" s="3">
        <f t="shared" si="308"/>
        <v>31.654084350000005</v>
      </c>
      <c r="G500" s="3">
        <f t="shared" si="308"/>
        <v>31.964454400000001</v>
      </c>
      <c r="H500" s="3">
        <f t="shared" si="308"/>
        <v>32.290217267999999</v>
      </c>
      <c r="I500" s="3">
        <f t="shared" si="308"/>
        <v>32.608510358000004</v>
      </c>
      <c r="J500" s="3">
        <f t="shared" si="308"/>
        <v>32.933391630000003</v>
      </c>
      <c r="K500" s="3">
        <f t="shared" si="308"/>
        <v>33.267116645000002</v>
      </c>
      <c r="L500" s="3">
        <f t="shared" si="308"/>
        <v>33.609630916</v>
      </c>
      <c r="M500" s="3">
        <f t="shared" si="308"/>
        <v>33.997471273999999</v>
      </c>
      <c r="N500" s="3">
        <f t="shared" si="308"/>
        <v>34.366793371</v>
      </c>
      <c r="O500" s="3">
        <f t="shared" si="308"/>
        <v>34.736877633999995</v>
      </c>
      <c r="P500" s="3">
        <f t="shared" si="308"/>
        <v>35.110811467999994</v>
      </c>
      <c r="Q500" s="3">
        <f t="shared" si="308"/>
        <v>35.489511833999998</v>
      </c>
      <c r="R500" s="3">
        <f t="shared" si="308"/>
        <v>35.873277435999995</v>
      </c>
      <c r="S500" s="3">
        <f t="shared" si="308"/>
        <v>36.262219268999999</v>
      </c>
      <c r="T500" s="3">
        <f t="shared" si="308"/>
        <v>36.656401029999998</v>
      </c>
      <c r="U500" s="3">
        <f t="shared" si="308"/>
        <v>37.055887998000003</v>
      </c>
      <c r="V500" s="3">
        <f t="shared" si="308"/>
        <v>37.460762586999998</v>
      </c>
      <c r="W500" s="3">
        <f t="shared" si="308"/>
        <v>37.844338773000004</v>
      </c>
      <c r="X500" s="3">
        <f t="shared" si="308"/>
        <v>38.252258440999995</v>
      </c>
      <c r="Y500" s="3">
        <f t="shared" si="308"/>
        <v>38.670106085</v>
      </c>
      <c r="Z500" s="3">
        <f t="shared" si="308"/>
        <v>39.095563087000002</v>
      </c>
      <c r="AA500" s="3">
        <f t="shared" si="308"/>
        <v>39.527955910999999</v>
      </c>
      <c r="AB500" s="3">
        <f t="shared" si="308"/>
        <v>39.890824808000005</v>
      </c>
      <c r="AC500" s="3">
        <f t="shared" si="308"/>
        <v>40.277854065</v>
      </c>
      <c r="AD500" s="3">
        <f t="shared" si="308"/>
        <v>40.672313552000006</v>
      </c>
      <c r="AE500" s="3">
        <f t="shared" si="308"/>
        <v>41.072803969000006</v>
      </c>
      <c r="AF500" s="3">
        <f t="shared" si="308"/>
        <v>41.479313677999997</v>
      </c>
      <c r="AG500" s="3">
        <f t="shared" si="308"/>
        <v>41.892132111000002</v>
      </c>
      <c r="AH500" s="3">
        <f t="shared" si="308"/>
        <v>42.311577901</v>
      </c>
      <c r="AI500" s="3">
        <f t="shared" si="308"/>
        <v>42.737919892000001</v>
      </c>
      <c r="AJ500" s="3">
        <f t="shared" si="308"/>
        <v>43.171357126000004</v>
      </c>
      <c r="AK500" s="3">
        <f t="shared" si="308"/>
        <v>43.612022623000001</v>
      </c>
      <c r="AL500" s="3">
        <f t="shared" si="308"/>
        <v>44.059997667999994</v>
      </c>
      <c r="AM500" s="3">
        <f t="shared" ref="AM500:BC500" si="309">SUM(AM501:AM503)</f>
        <v>44.497403680999994</v>
      </c>
      <c r="AN500" s="3">
        <f t="shared" si="309"/>
        <v>44.936780509000002</v>
      </c>
      <c r="AO500" s="3">
        <f t="shared" si="309"/>
        <v>45.379373517000005</v>
      </c>
      <c r="AP500" s="3">
        <f t="shared" si="309"/>
        <v>45.825886677999996</v>
      </c>
      <c r="AQ500" s="3">
        <f t="shared" si="309"/>
        <v>46.277798400999998</v>
      </c>
      <c r="AR500" s="3">
        <f t="shared" si="309"/>
        <v>46.735311529000001</v>
      </c>
      <c r="AS500" s="3">
        <f t="shared" si="309"/>
        <v>47.197968689999996</v>
      </c>
      <c r="AT500" s="3">
        <f t="shared" si="309"/>
        <v>47.665602058999994</v>
      </c>
      <c r="AU500" s="3">
        <f t="shared" si="309"/>
        <v>48.138662342999993</v>
      </c>
      <c r="AV500" s="3">
        <f t="shared" si="309"/>
        <v>48.617967825000001</v>
      </c>
      <c r="AW500" s="3">
        <f t="shared" si="309"/>
        <v>49.105932287999998</v>
      </c>
      <c r="AX500" s="3">
        <f t="shared" si="309"/>
        <v>49.602071625999997</v>
      </c>
      <c r="AY500" s="3">
        <f t="shared" si="309"/>
        <v>50.106539781999999</v>
      </c>
      <c r="AZ500" s="3">
        <f t="shared" si="309"/>
        <v>50.619420724999998</v>
      </c>
      <c r="BA500" s="3">
        <f t="shared" si="309"/>
        <v>51.140703256999998</v>
      </c>
      <c r="BB500" s="3">
        <f t="shared" si="309"/>
        <v>54.432891456999997</v>
      </c>
      <c r="BC500" s="3">
        <f t="shared" si="309"/>
        <v>55.159541976</v>
      </c>
      <c r="BD500" s="3">
        <f t="shared" ref="BD500:BF500" si="310">SUM(BD501:BD503)</f>
        <v>55.898320620000007</v>
      </c>
      <c r="BE500" s="3">
        <f t="shared" si="310"/>
        <v>56.649505239999996</v>
      </c>
      <c r="BF500" s="3">
        <f t="shared" si="310"/>
        <v>57.413339069999999</v>
      </c>
    </row>
    <row r="501" spans="1:58" x14ac:dyDescent="0.35">
      <c r="B501" s="3" t="str">
        <f>[1]Results!E269</f>
        <v>YG_toe_chea_0</v>
      </c>
      <c r="C501" s="3">
        <f>[1]Results!F269</f>
        <v>5.7132268819999998</v>
      </c>
      <c r="D501" s="3">
        <f>[1]Results!G269</f>
        <v>5.7824980300000002</v>
      </c>
      <c r="E501" s="3">
        <f>[1]Results!H269</f>
        <v>5.8592240149999997</v>
      </c>
      <c r="F501" s="3">
        <f>[1]Results!I269</f>
        <v>5.9405299899999999</v>
      </c>
      <c r="G501" s="3">
        <f>[1]Results!J269</f>
        <v>6.0252992399999998</v>
      </c>
      <c r="H501" s="3">
        <f>[1]Results!K269</f>
        <v>6.1129541280000002</v>
      </c>
      <c r="I501" s="3">
        <f>[1]Results!L269</f>
        <v>6.197513968</v>
      </c>
      <c r="J501" s="3">
        <f>[1]Results!M269</f>
        <v>6.28237706</v>
      </c>
      <c r="K501" s="3">
        <f>[1]Results!N269</f>
        <v>6.3686464149999997</v>
      </c>
      <c r="L501" s="3">
        <f>[1]Results!O269</f>
        <v>6.4564536459999999</v>
      </c>
      <c r="M501" s="3">
        <f>[1]Results!P269</f>
        <v>6.5547464639999999</v>
      </c>
      <c r="N501" s="3">
        <f>[1]Results!Q269</f>
        <v>6.6487019209999998</v>
      </c>
      <c r="O501" s="3">
        <f>[1]Results!R269</f>
        <v>6.7415962839999999</v>
      </c>
      <c r="P501" s="3">
        <f>[1]Results!S269</f>
        <v>6.8345688679999999</v>
      </c>
      <c r="Q501" s="3">
        <f>[1]Results!T269</f>
        <v>6.9280161839999996</v>
      </c>
      <c r="R501" s="3">
        <f>[1]Results!U269</f>
        <v>7.0219585760000003</v>
      </c>
      <c r="S501" s="3">
        <f>[1]Results!V269</f>
        <v>7.1162930190000004</v>
      </c>
      <c r="T501" s="3">
        <f>[1]Results!W269</f>
        <v>7.2109118900000002</v>
      </c>
      <c r="U501" s="3">
        <f>[1]Results!X269</f>
        <v>7.3057436879999997</v>
      </c>
      <c r="V501" s="3">
        <f>[1]Results!Y269</f>
        <v>7.4007568969999999</v>
      </c>
      <c r="W501" s="3">
        <f>[1]Results!Z269</f>
        <v>7.4896524529999997</v>
      </c>
      <c r="X501" s="3">
        <f>[1]Results!AA269</f>
        <v>7.5825495710000004</v>
      </c>
      <c r="Y501" s="3">
        <f>[1]Results!AB269</f>
        <v>7.6771001249999999</v>
      </c>
      <c r="Z501" s="3">
        <f>[1]Results!AC269</f>
        <v>7.7725184870000001</v>
      </c>
      <c r="AA501" s="3">
        <f>[1]Results!AD269</f>
        <v>7.8685160009999997</v>
      </c>
      <c r="AB501" s="3">
        <f>[1]Results!AE269</f>
        <v>7.9474244780000003</v>
      </c>
      <c r="AC501" s="3">
        <f>[1]Results!AF269</f>
        <v>8.0291186749999994</v>
      </c>
      <c r="AD501" s="3">
        <f>[1]Results!AG269</f>
        <v>8.1118825520000009</v>
      </c>
      <c r="AE501" s="3">
        <f>[1]Results!AH269</f>
        <v>8.1952959490000001</v>
      </c>
      <c r="AF501" s="3">
        <f>[1]Results!AI269</f>
        <v>8.2792579679999996</v>
      </c>
      <c r="AG501" s="3">
        <f>[1]Results!AJ269</f>
        <v>8.3637659909999993</v>
      </c>
      <c r="AH501" s="3">
        <f>[1]Results!AK269</f>
        <v>8.4488499210000008</v>
      </c>
      <c r="AI501" s="3">
        <f>[1]Results!AL269</f>
        <v>8.5345471120000003</v>
      </c>
      <c r="AJ501" s="3">
        <f>[1]Results!AM269</f>
        <v>8.6208924160000002</v>
      </c>
      <c r="AK501" s="3">
        <f>[1]Results!AN269</f>
        <v>8.7079154229999993</v>
      </c>
      <c r="AL501" s="3">
        <f>[1]Results!AO269</f>
        <v>8.7956414580000004</v>
      </c>
      <c r="AM501" s="3">
        <f>[1]Results!AP269</f>
        <v>8.8801565510000007</v>
      </c>
      <c r="AN501" s="3">
        <f>[1]Results!AQ269</f>
        <v>8.9638561489999997</v>
      </c>
      <c r="AO501" s="3">
        <f>[1]Results!AR269</f>
        <v>9.0447117870000007</v>
      </c>
      <c r="AP501" s="3">
        <f>[1]Results!AS269</f>
        <v>9.1216839079999996</v>
      </c>
      <c r="AQ501" s="3">
        <f>[1]Results!AT269</f>
        <v>9.1957255910000004</v>
      </c>
      <c r="AR501" s="3">
        <f>[1]Results!AU269</f>
        <v>9.2679357689999993</v>
      </c>
      <c r="AS501" s="3">
        <f>[1]Results!AV269</f>
        <v>9.3389120000000005</v>
      </c>
      <c r="AT501" s="3">
        <f>[1]Results!AW269</f>
        <v>9.409176639</v>
      </c>
      <c r="AU501" s="3">
        <f>[1]Results!AX269</f>
        <v>9.4792696230000004</v>
      </c>
      <c r="AV501" s="3">
        <f>[1]Results!AY269</f>
        <v>9.5496931049999993</v>
      </c>
      <c r="AW501" s="3">
        <f>[1]Results!AZ269</f>
        <v>9.6211802179999992</v>
      </c>
      <c r="AX501" s="3">
        <f>[1]Results!BA269</f>
        <v>9.6938022060000009</v>
      </c>
      <c r="AY501" s="3">
        <f>[1]Results!BB269</f>
        <v>9.7676450920000004</v>
      </c>
      <c r="AZ501" s="3">
        <f>[1]Results!BC269</f>
        <v>9.8427512450000005</v>
      </c>
      <c r="BA501" s="3">
        <f>[1]Results!BD269</f>
        <v>9.9191242269999993</v>
      </c>
      <c r="BB501" s="3">
        <f>[1]Results!BE269</f>
        <v>9.8041921369999994</v>
      </c>
      <c r="BC501" s="3">
        <f>[1]Results!BF269</f>
        <v>9.9115410859999997</v>
      </c>
      <c r="BD501" s="3">
        <f>[1]Results!BG269</f>
        <v>10.020335210000001</v>
      </c>
      <c r="BE501" s="3">
        <f>[1]Results!BH269</f>
        <v>10.130629770000001</v>
      </c>
      <c r="BF501" s="3">
        <f>[1]Results!BI269</f>
        <v>10.24246739</v>
      </c>
    </row>
    <row r="502" spans="1:58" x14ac:dyDescent="0.35">
      <c r="B502" s="3" t="str">
        <f>[1]Results!E271</f>
        <v>YG_toe_cbio_0</v>
      </c>
      <c r="C502" s="3">
        <f>[1]Results!F271</f>
        <v>11.184031900000001</v>
      </c>
      <c r="D502" s="3">
        <f>[1]Results!G271</f>
        <v>11.237632980000001</v>
      </c>
      <c r="E502" s="3">
        <f>[1]Results!H271</f>
        <v>11.26643125</v>
      </c>
      <c r="F502" s="3">
        <f>[1]Results!I271</f>
        <v>11.289427140000001</v>
      </c>
      <c r="G502" s="3">
        <f>[1]Results!J271</f>
        <v>11.31362451</v>
      </c>
      <c r="H502" s="3">
        <f>[1]Results!K271</f>
        <v>11.34046659</v>
      </c>
      <c r="I502" s="3">
        <f>[1]Results!L271</f>
        <v>11.36499238</v>
      </c>
      <c r="J502" s="3">
        <f>[1]Results!M271</f>
        <v>11.390423480000001</v>
      </c>
      <c r="K502" s="3">
        <f>[1]Results!N271</f>
        <v>11.417824380000001</v>
      </c>
      <c r="L502" s="3">
        <f>[1]Results!O271</f>
        <v>11.44742984</v>
      </c>
      <c r="M502" s="3">
        <f>[1]Results!P271</f>
        <v>11.488256529999999</v>
      </c>
      <c r="N502" s="3">
        <f>[1]Results!Q271</f>
        <v>11.52565467</v>
      </c>
      <c r="O502" s="3">
        <f>[1]Results!R271</f>
        <v>11.562618929999999</v>
      </c>
      <c r="P502" s="3">
        <f>[1]Results!S271</f>
        <v>11.60006431</v>
      </c>
      <c r="Q502" s="3">
        <f>[1]Results!T271</f>
        <v>11.63833595</v>
      </c>
      <c r="R502" s="3">
        <f>[1]Results!U271</f>
        <v>11.6776743</v>
      </c>
      <c r="S502" s="3">
        <f>[1]Results!V271</f>
        <v>11.71825986</v>
      </c>
      <c r="T502" s="3">
        <f>[1]Results!W271</f>
        <v>11.76021302</v>
      </c>
      <c r="U502" s="3">
        <f>[1]Results!X271</f>
        <v>11.80360275</v>
      </c>
      <c r="V502" s="3">
        <f>[1]Results!Y271</f>
        <v>11.84846286</v>
      </c>
      <c r="W502" s="3">
        <f>[1]Results!Z271</f>
        <v>11.888430720000001</v>
      </c>
      <c r="X502" s="3">
        <f>[1]Results!AA271</f>
        <v>11.933604069999999</v>
      </c>
      <c r="Y502" s="3">
        <f>[1]Results!AB271</f>
        <v>11.98168066</v>
      </c>
      <c r="Z502" s="3">
        <f>[1]Results!AC271</f>
        <v>12.031897219999999</v>
      </c>
      <c r="AA502" s="3">
        <f>[1]Results!AD271</f>
        <v>12.083964549999999</v>
      </c>
      <c r="AB502" s="3">
        <f>[1]Results!AE271</f>
        <v>12.11987738</v>
      </c>
      <c r="AC502" s="3">
        <f>[1]Results!AF271</f>
        <v>12.15949844</v>
      </c>
      <c r="AD502" s="3">
        <f>[1]Results!AG271</f>
        <v>12.20115661</v>
      </c>
      <c r="AE502" s="3">
        <f>[1]Results!AH271</f>
        <v>12.24451582</v>
      </c>
      <c r="AF502" s="3">
        <f>[1]Results!AI271</f>
        <v>12.28953613</v>
      </c>
      <c r="AG502" s="3">
        <f>[1]Results!AJ271</f>
        <v>12.336274830000001</v>
      </c>
      <c r="AH502" s="3">
        <f>[1]Results!AK271</f>
        <v>12.384811470000001</v>
      </c>
      <c r="AI502" s="3">
        <f>[1]Results!AL271</f>
        <v>12.435219460000001</v>
      </c>
      <c r="AJ502" s="3">
        <f>[1]Results!AM271</f>
        <v>12.487556079999999</v>
      </c>
      <c r="AK502" s="3">
        <f>[1]Results!AN271</f>
        <v>12.54186107</v>
      </c>
      <c r="AL502" s="3">
        <f>[1]Results!AO271</f>
        <v>12.59815948</v>
      </c>
      <c r="AM502" s="3">
        <f>[1]Results!AP271</f>
        <v>12.652389960000001</v>
      </c>
      <c r="AN502" s="3">
        <f>[1]Results!AQ271</f>
        <v>12.70692914</v>
      </c>
      <c r="AO502" s="3">
        <f>[1]Results!AR271</f>
        <v>12.76424753</v>
      </c>
      <c r="AP502" s="3">
        <f>[1]Results!AS271</f>
        <v>12.8258227</v>
      </c>
      <c r="AQ502" s="3">
        <f>[1]Results!AT271</f>
        <v>12.89195578</v>
      </c>
      <c r="AR502" s="3">
        <f>[1]Results!AU271</f>
        <v>12.961795609999999</v>
      </c>
      <c r="AS502" s="3">
        <f>[1]Results!AV271</f>
        <v>13.033966960000001</v>
      </c>
      <c r="AT502" s="3">
        <f>[1]Results!AW271</f>
        <v>13.10747512</v>
      </c>
      <c r="AU502" s="3">
        <f>[1]Results!AX271</f>
        <v>13.18199488</v>
      </c>
      <c r="AV502" s="3">
        <f>[1]Results!AY271</f>
        <v>13.25766527</v>
      </c>
      <c r="AW502" s="3">
        <f>[1]Results!AZ271</f>
        <v>13.33514166</v>
      </c>
      <c r="AX502" s="3">
        <f>[1]Results!BA271</f>
        <v>13.414498289999999</v>
      </c>
      <c r="AY502" s="3">
        <f>[1]Results!BB271</f>
        <v>13.4958445</v>
      </c>
      <c r="AZ502" s="3">
        <f>[1]Results!BC271</f>
        <v>13.579235710000001</v>
      </c>
      <c r="BA502" s="3">
        <f>[1]Results!BD271</f>
        <v>13.664675799999999</v>
      </c>
      <c r="BB502" s="3">
        <f>[1]Results!BE271</f>
        <v>14.610772430000001</v>
      </c>
      <c r="BC502" s="3">
        <f>[1]Results!BF271</f>
        <v>14.73188167</v>
      </c>
      <c r="BD502" s="3">
        <f>[1]Results!BG271</f>
        <v>14.855241469999999</v>
      </c>
      <c r="BE502" s="3">
        <f>[1]Results!BH271</f>
        <v>14.98092958</v>
      </c>
      <c r="BF502" s="3">
        <f>[1]Results!BI271</f>
        <v>15.109000999999999</v>
      </c>
    </row>
    <row r="503" spans="1:58" x14ac:dyDescent="0.35">
      <c r="B503" s="3" t="str">
        <f>[1]Results!E274</f>
        <v>YG_toe_cote_0</v>
      </c>
      <c r="C503" s="3">
        <f>[1]Results!F274</f>
        <v>13.88210671</v>
      </c>
      <c r="D503" s="3">
        <f>[1]Results!G274</f>
        <v>14.05233769</v>
      </c>
      <c r="E503" s="3">
        <f>[1]Results!H274</f>
        <v>14.233324380000001</v>
      </c>
      <c r="F503" s="3">
        <f>[1]Results!I274</f>
        <v>14.424127220000001</v>
      </c>
      <c r="G503" s="3">
        <f>[1]Results!J274</f>
        <v>14.62553065</v>
      </c>
      <c r="H503" s="3">
        <f>[1]Results!K274</f>
        <v>14.836796550000001</v>
      </c>
      <c r="I503" s="3">
        <f>[1]Results!L274</f>
        <v>15.046004010000001</v>
      </c>
      <c r="J503" s="3">
        <f>[1]Results!M274</f>
        <v>15.26059109</v>
      </c>
      <c r="K503" s="3">
        <f>[1]Results!N274</f>
        <v>15.48064585</v>
      </c>
      <c r="L503" s="3">
        <f>[1]Results!O274</f>
        <v>15.705747430000001</v>
      </c>
      <c r="M503" s="3">
        <f>[1]Results!P274</f>
        <v>15.95446828</v>
      </c>
      <c r="N503" s="3">
        <f>[1]Results!Q274</f>
        <v>16.192436780000001</v>
      </c>
      <c r="O503" s="3">
        <f>[1]Results!R274</f>
        <v>16.43266242</v>
      </c>
      <c r="P503" s="3">
        <f>[1]Results!S274</f>
        <v>16.676178289999999</v>
      </c>
      <c r="Q503" s="3">
        <f>[1]Results!T274</f>
        <v>16.923159699999999</v>
      </c>
      <c r="R503" s="3">
        <f>[1]Results!U274</f>
        <v>17.17364456</v>
      </c>
      <c r="S503" s="3">
        <f>[1]Results!V274</f>
        <v>17.427666389999999</v>
      </c>
      <c r="T503" s="3">
        <f>[1]Results!W274</f>
        <v>17.685276120000001</v>
      </c>
      <c r="U503" s="3">
        <f>[1]Results!X274</f>
        <v>17.94654156</v>
      </c>
      <c r="V503" s="3">
        <f>[1]Results!Y274</f>
        <v>18.211542829999999</v>
      </c>
      <c r="W503" s="3">
        <f>[1]Results!Z274</f>
        <v>18.4662556</v>
      </c>
      <c r="X503" s="3">
        <f>[1]Results!AA274</f>
        <v>18.7361048</v>
      </c>
      <c r="Y503" s="3">
        <f>[1]Results!AB274</f>
        <v>19.011325299999999</v>
      </c>
      <c r="Z503" s="3">
        <f>[1]Results!AC274</f>
        <v>19.291147380000002</v>
      </c>
      <c r="AA503" s="3">
        <f>[1]Results!AD274</f>
        <v>19.575475359999999</v>
      </c>
      <c r="AB503" s="3">
        <f>[1]Results!AE274</f>
        <v>19.823522950000001</v>
      </c>
      <c r="AC503" s="3">
        <f>[1]Results!AF274</f>
        <v>20.08923695</v>
      </c>
      <c r="AD503" s="3">
        <f>[1]Results!AG274</f>
        <v>20.359274389999999</v>
      </c>
      <c r="AE503" s="3">
        <f>[1]Results!AH274</f>
        <v>20.6329922</v>
      </c>
      <c r="AF503" s="3">
        <f>[1]Results!AI274</f>
        <v>20.910519579999999</v>
      </c>
      <c r="AG503" s="3">
        <f>[1]Results!AJ274</f>
        <v>21.19209129</v>
      </c>
      <c r="AH503" s="3">
        <f>[1]Results!AK274</f>
        <v>21.47791651</v>
      </c>
      <c r="AI503" s="3">
        <f>[1]Results!AL274</f>
        <v>21.76815332</v>
      </c>
      <c r="AJ503" s="3">
        <f>[1]Results!AM274</f>
        <v>22.062908629999999</v>
      </c>
      <c r="AK503" s="3">
        <f>[1]Results!AN274</f>
        <v>22.362246129999999</v>
      </c>
      <c r="AL503" s="3">
        <f>[1]Results!AO274</f>
        <v>22.666196729999999</v>
      </c>
      <c r="AM503" s="3">
        <f>[1]Results!AP274</f>
        <v>22.964857169999998</v>
      </c>
      <c r="AN503" s="3">
        <f>[1]Results!AQ274</f>
        <v>23.265995220000001</v>
      </c>
      <c r="AO503" s="3">
        <f>[1]Results!AR274</f>
        <v>23.570414199999998</v>
      </c>
      <c r="AP503" s="3">
        <f>[1]Results!AS274</f>
        <v>23.878380069999999</v>
      </c>
      <c r="AQ503" s="3">
        <f>[1]Results!AT274</f>
        <v>24.19011703</v>
      </c>
      <c r="AR503" s="3">
        <f>[1]Results!AU274</f>
        <v>24.50558015</v>
      </c>
      <c r="AS503" s="3">
        <f>[1]Results!AV274</f>
        <v>24.825089729999998</v>
      </c>
      <c r="AT503" s="3">
        <f>[1]Results!AW274</f>
        <v>25.148950299999999</v>
      </c>
      <c r="AU503" s="3">
        <f>[1]Results!AX274</f>
        <v>25.477397839999998</v>
      </c>
      <c r="AV503" s="3">
        <f>[1]Results!AY274</f>
        <v>25.810609450000001</v>
      </c>
      <c r="AW503" s="3">
        <f>[1]Results!AZ274</f>
        <v>26.149610410000001</v>
      </c>
      <c r="AX503" s="3">
        <f>[1]Results!BA274</f>
        <v>26.493771129999999</v>
      </c>
      <c r="AY503" s="3">
        <f>[1]Results!BB274</f>
        <v>26.84305019</v>
      </c>
      <c r="AZ503" s="3">
        <f>[1]Results!BC274</f>
        <v>27.19743377</v>
      </c>
      <c r="BA503" s="3">
        <f>[1]Results!BD274</f>
        <v>27.55690323</v>
      </c>
      <c r="BB503" s="3">
        <f>[1]Results!BE274</f>
        <v>30.017926889999998</v>
      </c>
      <c r="BC503" s="3">
        <f>[1]Results!BF274</f>
        <v>30.51611922</v>
      </c>
      <c r="BD503" s="3">
        <f>[1]Results!BG274</f>
        <v>31.022743940000002</v>
      </c>
      <c r="BE503" s="3">
        <f>[1]Results!BH274</f>
        <v>31.53794589</v>
      </c>
      <c r="BF503" s="3">
        <f>[1]Results!BI274</f>
        <v>32.061870679999998</v>
      </c>
    </row>
    <row r="504" spans="1:58" x14ac:dyDescent="0.3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</row>
    <row r="505" spans="1:58" x14ac:dyDescent="0.35">
      <c r="A505" s="12" t="s">
        <v>94</v>
      </c>
      <c r="C505" s="2">
        <v>42005</v>
      </c>
      <c r="D505" s="2">
        <v>42370</v>
      </c>
      <c r="E505" s="2">
        <v>42736</v>
      </c>
      <c r="F505" s="2">
        <v>43101</v>
      </c>
      <c r="G505" s="2">
        <v>43466</v>
      </c>
      <c r="H505" s="2">
        <v>43831</v>
      </c>
      <c r="I505" s="2">
        <v>44197</v>
      </c>
      <c r="J505" s="2">
        <v>44562</v>
      </c>
      <c r="K505" s="2">
        <v>44927</v>
      </c>
      <c r="L505" s="2">
        <v>45292</v>
      </c>
      <c r="M505" s="2">
        <v>45658</v>
      </c>
      <c r="N505" s="2">
        <v>46023</v>
      </c>
      <c r="O505" s="2">
        <v>46388</v>
      </c>
      <c r="P505" s="2">
        <v>46753</v>
      </c>
      <c r="Q505" s="2">
        <v>47119</v>
      </c>
      <c r="R505" s="2">
        <v>47484</v>
      </c>
      <c r="S505" s="2">
        <v>47849</v>
      </c>
      <c r="T505" s="2">
        <v>48214</v>
      </c>
      <c r="U505" s="2">
        <v>48580</v>
      </c>
      <c r="V505" s="2">
        <v>48945</v>
      </c>
      <c r="W505" s="2">
        <v>49310</v>
      </c>
      <c r="X505" s="2">
        <v>49675</v>
      </c>
      <c r="Y505" s="2">
        <v>50041</v>
      </c>
      <c r="Z505" s="2">
        <v>50406</v>
      </c>
      <c r="AA505" s="2">
        <v>50771</v>
      </c>
      <c r="AB505" s="2">
        <v>51136</v>
      </c>
      <c r="AC505" s="2">
        <v>51502</v>
      </c>
      <c r="AD505" s="2">
        <v>51867</v>
      </c>
      <c r="AE505" s="2">
        <v>52232</v>
      </c>
      <c r="AF505" s="2">
        <v>52597</v>
      </c>
      <c r="AG505" s="2">
        <v>52963</v>
      </c>
      <c r="AH505" s="2">
        <v>53328</v>
      </c>
      <c r="AI505" s="2">
        <v>53693</v>
      </c>
      <c r="AJ505" s="2">
        <v>54058</v>
      </c>
      <c r="AK505" s="2">
        <v>54424</v>
      </c>
      <c r="AL505" s="2">
        <v>54789</v>
      </c>
      <c r="AM505" s="2">
        <v>54790</v>
      </c>
      <c r="AN505" s="2">
        <v>54791</v>
      </c>
      <c r="AO505" s="2">
        <v>54792</v>
      </c>
      <c r="AP505" s="2">
        <v>54793</v>
      </c>
      <c r="AQ505" s="2">
        <v>54794</v>
      </c>
      <c r="AR505" s="2">
        <v>54795</v>
      </c>
      <c r="AS505" s="2">
        <v>54796</v>
      </c>
      <c r="AT505" s="2">
        <v>54797</v>
      </c>
      <c r="AU505" s="2">
        <v>54798</v>
      </c>
      <c r="AV505" s="2">
        <v>54799</v>
      </c>
      <c r="AW505" s="2">
        <v>54800</v>
      </c>
      <c r="AX505" s="2">
        <v>54801</v>
      </c>
      <c r="AY505" s="2">
        <v>54802</v>
      </c>
      <c r="AZ505" s="2">
        <v>54803</v>
      </c>
      <c r="BA505" s="2">
        <v>54804</v>
      </c>
      <c r="BB505" s="2">
        <v>54805</v>
      </c>
      <c r="BC505" s="2">
        <v>54806</v>
      </c>
      <c r="BD505" s="2">
        <v>54807</v>
      </c>
      <c r="BE505" s="2">
        <v>54808</v>
      </c>
      <c r="BF505" s="2">
        <v>54809</v>
      </c>
    </row>
    <row r="506" spans="1:58" x14ac:dyDescent="0.35">
      <c r="A506" t="s">
        <v>95</v>
      </c>
      <c r="B506" t="s">
        <v>94</v>
      </c>
      <c r="C506" s="4">
        <f>C479/C492-1</f>
        <v>5.1156962603826628E-6</v>
      </c>
      <c r="D506" s="4">
        <f t="shared" ref="D506" si="311">D479/D492-1</f>
        <v>4.0302830412231039E-4</v>
      </c>
      <c r="E506" s="4">
        <f t="shared" ref="E506:AL506" si="312">E479/E492-1</f>
        <v>6.7947622081065973E-4</v>
      </c>
      <c r="F506" s="4">
        <f t="shared" si="312"/>
        <v>9.1462958034349562E-4</v>
      </c>
      <c r="G506" s="4">
        <f t="shared" si="312"/>
        <v>1.1820341477764007E-3</v>
      </c>
      <c r="H506" s="4">
        <f t="shared" si="312"/>
        <v>1.5469898482645128E-3</v>
      </c>
      <c r="I506" s="4">
        <f t="shared" si="312"/>
        <v>1.93699084417287E-3</v>
      </c>
      <c r="J506" s="4">
        <f t="shared" si="312"/>
        <v>2.3103428282678085E-3</v>
      </c>
      <c r="K506" s="4">
        <f t="shared" si="312"/>
        <v>2.6532600291397923E-3</v>
      </c>
      <c r="L506" s="4">
        <f t="shared" si="312"/>
        <v>2.9650352035570648E-3</v>
      </c>
      <c r="M506" s="4">
        <f t="shared" si="312"/>
        <v>3.2473976411218075E-3</v>
      </c>
      <c r="N506" s="4">
        <f t="shared" si="312"/>
        <v>3.5136150669097255E-3</v>
      </c>
      <c r="O506" s="4">
        <f t="shared" si="312"/>
        <v>3.7677137379461545E-3</v>
      </c>
      <c r="P506" s="4">
        <f t="shared" si="312"/>
        <v>4.0142519933556997E-3</v>
      </c>
      <c r="Q506" s="4">
        <f t="shared" si="312"/>
        <v>4.2549369117157454E-3</v>
      </c>
      <c r="R506" s="4">
        <f t="shared" si="312"/>
        <v>4.4870619581933724E-3</v>
      </c>
      <c r="S506" s="4">
        <f t="shared" si="312"/>
        <v>4.7092938633699344E-3</v>
      </c>
      <c r="T506" s="4">
        <f t="shared" si="312"/>
        <v>4.9192128073398678E-3</v>
      </c>
      <c r="U506" s="4">
        <f t="shared" si="312"/>
        <v>5.1165455344222011E-3</v>
      </c>
      <c r="V506" s="4">
        <f t="shared" si="312"/>
        <v>5.3025332700396E-3</v>
      </c>
      <c r="W506" s="4">
        <f t="shared" si="312"/>
        <v>5.4827413322211527E-3</v>
      </c>
      <c r="X506" s="4">
        <f t="shared" si="312"/>
        <v>5.6532847254935348E-3</v>
      </c>
      <c r="Y506" s="4">
        <f t="shared" si="312"/>
        <v>5.8180961384779462E-3</v>
      </c>
      <c r="Z506" s="4">
        <f t="shared" si="312"/>
        <v>5.9784077014251036E-3</v>
      </c>
      <c r="AA506" s="4">
        <f t="shared" si="312"/>
        <v>6.1345415578066831E-3</v>
      </c>
      <c r="AB506" s="4">
        <f t="shared" si="312"/>
        <v>6.2976039010691487E-3</v>
      </c>
      <c r="AC506" s="4">
        <f t="shared" si="312"/>
        <v>6.4525040607292805E-3</v>
      </c>
      <c r="AD506" s="4">
        <f t="shared" si="312"/>
        <v>6.6022709621038622E-3</v>
      </c>
      <c r="AE506" s="4">
        <f t="shared" si="312"/>
        <v>6.746468248481019E-3</v>
      </c>
      <c r="AF506" s="4">
        <f t="shared" si="312"/>
        <v>6.8841400224417537E-3</v>
      </c>
      <c r="AG506" s="4">
        <f t="shared" si="312"/>
        <v>7.014169868919895E-3</v>
      </c>
      <c r="AH506" s="4">
        <f t="shared" si="312"/>
        <v>7.1350810333998815E-3</v>
      </c>
      <c r="AI506" s="4">
        <f t="shared" si="312"/>
        <v>7.2461921738424806E-3</v>
      </c>
      <c r="AJ506" s="4">
        <f t="shared" si="312"/>
        <v>7.3469227202436205E-3</v>
      </c>
      <c r="AK506" s="4">
        <f t="shared" si="312"/>
        <v>7.4367939676620587E-3</v>
      </c>
      <c r="AL506" s="4">
        <f t="shared" si="312"/>
        <v>7.5154116261682002E-3</v>
      </c>
      <c r="AM506" s="4">
        <f t="shared" ref="AM506:BC506" si="313">AM479/AM492-1</f>
        <v>7.5819047275440532E-3</v>
      </c>
      <c r="AN506" s="4">
        <f t="shared" si="313"/>
        <v>7.6358870196389095E-3</v>
      </c>
      <c r="AO506" s="4">
        <f t="shared" si="313"/>
        <v>7.6593937979552162E-3</v>
      </c>
      <c r="AP506" s="4">
        <f t="shared" si="313"/>
        <v>7.6387172555776317E-3</v>
      </c>
      <c r="AQ506" s="4">
        <f t="shared" si="313"/>
        <v>7.5721415375902268E-3</v>
      </c>
      <c r="AR506" s="4">
        <f t="shared" si="313"/>
        <v>7.5010824970977996E-3</v>
      </c>
      <c r="AS506" s="4">
        <f t="shared" si="313"/>
        <v>7.4545231843270443E-3</v>
      </c>
      <c r="AT506" s="4">
        <f t="shared" si="313"/>
        <v>7.4425364039318875E-3</v>
      </c>
      <c r="AU506" s="4">
        <f t="shared" si="313"/>
        <v>7.4549024711074718E-3</v>
      </c>
      <c r="AV506" s="4">
        <f t="shared" si="313"/>
        <v>7.4711385157799626E-3</v>
      </c>
      <c r="AW506" s="4">
        <f t="shared" si="313"/>
        <v>7.4344889754811572E-3</v>
      </c>
      <c r="AX506" s="4">
        <f t="shared" si="313"/>
        <v>7.3462124899090764E-3</v>
      </c>
      <c r="AY506" s="4">
        <f t="shared" si="313"/>
        <v>7.2232423342946106E-3</v>
      </c>
      <c r="AZ506" s="4">
        <f t="shared" si="313"/>
        <v>7.0825513907921689E-3</v>
      </c>
      <c r="BA506" s="4">
        <f t="shared" si="313"/>
        <v>6.9366911472510395E-3</v>
      </c>
      <c r="BB506" s="4">
        <f t="shared" si="313"/>
        <v>-1.0649707703774269E-2</v>
      </c>
      <c r="BC506" s="4">
        <f t="shared" si="313"/>
        <v>-1.0812298605476722E-2</v>
      </c>
      <c r="BD506" s="4">
        <f t="shared" ref="BD506:BF506" si="314">BD479/BD492-1</f>
        <v>-1.0966074448534036E-2</v>
      </c>
      <c r="BE506" s="4">
        <f t="shared" si="314"/>
        <v>-1.1112896306570308E-2</v>
      </c>
      <c r="BF506" s="4">
        <f t="shared" si="314"/>
        <v>-1.1253861816402311E-2</v>
      </c>
    </row>
    <row r="507" spans="1:58" x14ac:dyDescent="0.35">
      <c r="B507" t="s">
        <v>76</v>
      </c>
      <c r="C507" s="4">
        <f>(C480-C493)/C$492</f>
        <v>1.548482940776354E-6</v>
      </c>
      <c r="D507" s="4">
        <f>(D480-D493)/D$492</f>
        <v>1.158680116642227E-6</v>
      </c>
      <c r="E507" s="4">
        <f t="shared" ref="E507:AL507" si="315">(E480-E493)/E$492</f>
        <v>1.2683098049878153E-6</v>
      </c>
      <c r="F507" s="4">
        <f t="shared" si="315"/>
        <v>1.9759210065689802E-6</v>
      </c>
      <c r="G507" s="4">
        <f t="shared" si="315"/>
        <v>2.9590517608812286E-6</v>
      </c>
      <c r="H507" s="4">
        <f t="shared" si="315"/>
        <v>3.9513737992571917E-6</v>
      </c>
      <c r="I507" s="4">
        <f t="shared" si="315"/>
        <v>4.7608474543667083E-6</v>
      </c>
      <c r="J507" s="4">
        <f t="shared" si="315"/>
        <v>5.4000005909815466E-6</v>
      </c>
      <c r="K507" s="4">
        <f t="shared" si="315"/>
        <v>5.9288298208034506E-6</v>
      </c>
      <c r="L507" s="4">
        <f t="shared" si="315"/>
        <v>6.3878818317156312E-6</v>
      </c>
      <c r="M507" s="4">
        <f t="shared" si="315"/>
        <v>6.7932543639399867E-6</v>
      </c>
      <c r="N507" s="4">
        <f t="shared" si="315"/>
        <v>7.1749606524373239E-6</v>
      </c>
      <c r="O507" s="4">
        <f t="shared" si="315"/>
        <v>7.5261590499694301E-6</v>
      </c>
      <c r="P507" s="4">
        <f t="shared" si="315"/>
        <v>7.8501543376223834E-6</v>
      </c>
      <c r="Q507" s="4">
        <f t="shared" si="315"/>
        <v>8.1488627285583611E-6</v>
      </c>
      <c r="R507" s="4">
        <f t="shared" si="315"/>
        <v>8.4191044338475258E-6</v>
      </c>
      <c r="S507" s="4">
        <f t="shared" si="315"/>
        <v>8.6701651863374157E-6</v>
      </c>
      <c r="T507" s="4">
        <f t="shared" si="315"/>
        <v>8.8868372727028153E-6</v>
      </c>
      <c r="U507" s="4">
        <f t="shared" si="315"/>
        <v>9.0656009554650501E-6</v>
      </c>
      <c r="V507" s="4">
        <f t="shared" si="315"/>
        <v>9.2066658577566626E-6</v>
      </c>
      <c r="W507" s="4">
        <f t="shared" si="315"/>
        <v>9.3174035898413588E-6</v>
      </c>
      <c r="X507" s="4">
        <f t="shared" si="315"/>
        <v>9.3910104858094681E-6</v>
      </c>
      <c r="Y507" s="4">
        <f t="shared" si="315"/>
        <v>9.4352148676113966E-6</v>
      </c>
      <c r="Z507" s="4">
        <f t="shared" si="315"/>
        <v>9.4544908392813811E-6</v>
      </c>
      <c r="AA507" s="4">
        <f t="shared" si="315"/>
        <v>9.4530921617154938E-6</v>
      </c>
      <c r="AB507" s="4">
        <f t="shared" si="315"/>
        <v>9.4532338379782038E-6</v>
      </c>
      <c r="AC507" s="4">
        <f t="shared" si="315"/>
        <v>9.4301132901402215E-6</v>
      </c>
      <c r="AD507" s="4">
        <f t="shared" si="315"/>
        <v>9.3981650823332798E-6</v>
      </c>
      <c r="AE507" s="4">
        <f t="shared" si="315"/>
        <v>9.3615659378646435E-6</v>
      </c>
      <c r="AF507" s="4">
        <f t="shared" si="315"/>
        <v>9.323324755008269E-6</v>
      </c>
      <c r="AG507" s="4">
        <f t="shared" si="315"/>
        <v>9.2864344075945575E-6</v>
      </c>
      <c r="AH507" s="4">
        <f t="shared" si="315"/>
        <v>9.2499097452962814E-6</v>
      </c>
      <c r="AI507" s="4">
        <f t="shared" si="315"/>
        <v>9.2189686080539939E-6</v>
      </c>
      <c r="AJ507" s="4">
        <f t="shared" si="315"/>
        <v>9.1963790550177916E-6</v>
      </c>
      <c r="AK507" s="4">
        <f t="shared" si="315"/>
        <v>9.1846595055309756E-6</v>
      </c>
      <c r="AL507" s="4">
        <f t="shared" si="315"/>
        <v>9.18678336090587E-6</v>
      </c>
      <c r="AM507" s="4">
        <f t="shared" ref="AM507:BC507" si="316">(AM480-AM493)/AM$492</f>
        <v>9.1769602964981887E-6</v>
      </c>
      <c r="AN507" s="4">
        <f t="shared" si="316"/>
        <v>9.1807899770445207E-6</v>
      </c>
      <c r="AO507" s="4">
        <f t="shared" si="316"/>
        <v>9.0743308063294575E-6</v>
      </c>
      <c r="AP507" s="4">
        <f t="shared" si="316"/>
        <v>8.7924633430415434E-6</v>
      </c>
      <c r="AQ507" s="4">
        <f t="shared" si="316"/>
        <v>8.3806685306713084E-6</v>
      </c>
      <c r="AR507" s="4">
        <f t="shared" si="316"/>
        <v>7.9124864369057937E-6</v>
      </c>
      <c r="AS507" s="4">
        <f t="shared" si="316"/>
        <v>7.1379220864345581E-6</v>
      </c>
      <c r="AT507" s="4">
        <f t="shared" si="316"/>
        <v>5.9185304103006977E-6</v>
      </c>
      <c r="AU507" s="4">
        <f t="shared" si="316"/>
        <v>4.2696728112168207E-6</v>
      </c>
      <c r="AV507" s="4">
        <f t="shared" si="316"/>
        <v>2.2779492783520109E-6</v>
      </c>
      <c r="AW507" s="4">
        <f t="shared" si="316"/>
        <v>3.3035329491501614E-8</v>
      </c>
      <c r="AX507" s="4">
        <f t="shared" si="316"/>
        <v>-2.0090274336810798E-6</v>
      </c>
      <c r="AY507" s="4">
        <f t="shared" si="316"/>
        <v>-3.6071615098154907E-6</v>
      </c>
      <c r="AZ507" s="4">
        <f t="shared" si="316"/>
        <v>-4.7379772342994139E-6</v>
      </c>
      <c r="BA507" s="4">
        <f t="shared" si="316"/>
        <v>-5.4724785663337666E-6</v>
      </c>
      <c r="BB507" s="4">
        <f t="shared" si="316"/>
        <v>8.4274739663332848E-5</v>
      </c>
      <c r="BC507" s="4">
        <f t="shared" si="316"/>
        <v>8.7376264270213607E-5</v>
      </c>
      <c r="BD507" s="4">
        <f t="shared" ref="BD507:BF507" si="317">(BD480-BD493)/BD$492</f>
        <v>9.0516704691791735E-5</v>
      </c>
      <c r="BE507" s="4">
        <f t="shared" si="317"/>
        <v>9.3707634260092854E-5</v>
      </c>
      <c r="BF507" s="4">
        <f t="shared" si="317"/>
        <v>9.6956067065055344E-5</v>
      </c>
    </row>
    <row r="508" spans="1:58" x14ac:dyDescent="0.35">
      <c r="B508" t="s">
        <v>74</v>
      </c>
      <c r="C508" s="4">
        <f>(C481-C494)/C$493</f>
        <v>2.650569606173121E-3</v>
      </c>
      <c r="D508" s="4">
        <f>(D481-D494)/D$492</f>
        <v>1.4764541287254468E-4</v>
      </c>
      <c r="E508" s="4">
        <f t="shared" ref="E508:AL508" si="318">(E481-E494)/E$492</f>
        <v>2.1907234109979124E-4</v>
      </c>
      <c r="F508" s="4">
        <f t="shared" si="318"/>
        <v>2.7584353818236793E-4</v>
      </c>
      <c r="G508" s="4">
        <f t="shared" si="318"/>
        <v>3.3228905410951731E-4</v>
      </c>
      <c r="H508" s="4">
        <f t="shared" si="318"/>
        <v>3.9845660568333204E-4</v>
      </c>
      <c r="I508" s="4">
        <f t="shared" si="318"/>
        <v>4.6777919491508178E-4</v>
      </c>
      <c r="J508" s="4">
        <f t="shared" si="318"/>
        <v>5.3692702738287242E-4</v>
      </c>
      <c r="K508" s="4">
        <f t="shared" si="318"/>
        <v>6.0468351933248637E-4</v>
      </c>
      <c r="L508" s="4">
        <f t="shared" si="318"/>
        <v>6.7057064214546614E-4</v>
      </c>
      <c r="M508" s="4">
        <f t="shared" si="318"/>
        <v>7.3401547257377772E-4</v>
      </c>
      <c r="N508" s="4">
        <f t="shared" si="318"/>
        <v>7.967911800221551E-4</v>
      </c>
      <c r="O508" s="4">
        <f t="shared" si="318"/>
        <v>8.5854983480871489E-4</v>
      </c>
      <c r="P508" s="4">
        <f t="shared" si="318"/>
        <v>9.1945647431947012E-4</v>
      </c>
      <c r="Q508" s="4">
        <f t="shared" si="318"/>
        <v>9.7943135487557728E-4</v>
      </c>
      <c r="R508" s="4">
        <f t="shared" si="318"/>
        <v>1.0378573842831423E-3</v>
      </c>
      <c r="S508" s="4">
        <f t="shared" si="318"/>
        <v>1.0948655911011975E-3</v>
      </c>
      <c r="T508" s="4">
        <f t="shared" si="318"/>
        <v>1.1496821126918554E-3</v>
      </c>
      <c r="U508" s="4">
        <f t="shared" si="318"/>
        <v>1.2020959640445653E-3</v>
      </c>
      <c r="V508" s="4">
        <f t="shared" si="318"/>
        <v>1.2521948688995119E-3</v>
      </c>
      <c r="W508" s="4">
        <f t="shared" si="318"/>
        <v>1.3008522384491546E-3</v>
      </c>
      <c r="X508" s="4">
        <f t="shared" si="318"/>
        <v>1.347324758124065E-3</v>
      </c>
      <c r="Y508" s="4">
        <f t="shared" si="318"/>
        <v>1.3923392074253152E-3</v>
      </c>
      <c r="Z508" s="4">
        <f t="shared" si="318"/>
        <v>1.4361652316683331E-3</v>
      </c>
      <c r="AA508" s="4">
        <f t="shared" si="318"/>
        <v>1.4789515850529115E-3</v>
      </c>
      <c r="AB508" s="4">
        <f t="shared" si="318"/>
        <v>1.5227287809975081E-3</v>
      </c>
      <c r="AC508" s="4">
        <f t="shared" si="318"/>
        <v>1.564730800202258E-3</v>
      </c>
      <c r="AD508" s="4">
        <f t="shared" si="318"/>
        <v>1.6057909515458885E-3</v>
      </c>
      <c r="AE508" s="4">
        <f t="shared" si="318"/>
        <v>1.6459822773153235E-3</v>
      </c>
      <c r="AF508" s="4">
        <f t="shared" si="318"/>
        <v>1.6852667413419058E-3</v>
      </c>
      <c r="AG508" s="4">
        <f t="shared" si="318"/>
        <v>1.7235581417222765E-3</v>
      </c>
      <c r="AH508" s="4">
        <f t="shared" si="318"/>
        <v>1.7605741549152742E-3</v>
      </c>
      <c r="AI508" s="4">
        <f t="shared" si="318"/>
        <v>1.7963253628340812E-3</v>
      </c>
      <c r="AJ508" s="4">
        <f t="shared" si="318"/>
        <v>1.8307793774314744E-3</v>
      </c>
      <c r="AK508" s="4">
        <f t="shared" si="318"/>
        <v>1.863909210923747E-3</v>
      </c>
      <c r="AL508" s="4">
        <f t="shared" si="318"/>
        <v>1.895699599359755E-3</v>
      </c>
      <c r="AM508" s="4">
        <f t="shared" ref="AM508:BC508" si="319">(AM481-AM494)/AM$492</f>
        <v>1.9250499961531722E-3</v>
      </c>
      <c r="AN508" s="4">
        <f t="shared" si="319"/>
        <v>1.9525056921356656E-3</v>
      </c>
      <c r="AO508" s="4">
        <f t="shared" si="319"/>
        <v>1.9733931741939439E-3</v>
      </c>
      <c r="AP508" s="4">
        <f t="shared" si="319"/>
        <v>1.9848655984156982E-3</v>
      </c>
      <c r="AQ508" s="4">
        <f t="shared" si="319"/>
        <v>1.9875605155777829E-3</v>
      </c>
      <c r="AR508" s="4">
        <f t="shared" si="319"/>
        <v>1.9920657232145498E-3</v>
      </c>
      <c r="AS508" s="4">
        <f t="shared" si="319"/>
        <v>2.0001701245577026E-3</v>
      </c>
      <c r="AT508" s="4">
        <f t="shared" si="319"/>
        <v>2.0121284756301865E-3</v>
      </c>
      <c r="AU508" s="4">
        <f t="shared" si="319"/>
        <v>2.0268054091480601E-3</v>
      </c>
      <c r="AV508" s="4">
        <f t="shared" si="319"/>
        <v>2.0421390596471493E-3</v>
      </c>
      <c r="AW508" s="4">
        <f t="shared" si="319"/>
        <v>2.0452275299903716E-3</v>
      </c>
      <c r="AX508" s="4">
        <f t="shared" si="319"/>
        <v>2.0398928475401762E-3</v>
      </c>
      <c r="AY508" s="4">
        <f t="shared" si="319"/>
        <v>2.0299751784092455E-3</v>
      </c>
      <c r="AZ508" s="4">
        <f t="shared" si="319"/>
        <v>2.0178251125158395E-3</v>
      </c>
      <c r="BA508" s="4">
        <f t="shared" si="319"/>
        <v>2.0048392175800655E-3</v>
      </c>
      <c r="BB508" s="4">
        <f t="shared" si="319"/>
        <v>5.3135867017790887E-5</v>
      </c>
      <c r="BC508" s="4">
        <f t="shared" si="319"/>
        <v>8.0410473857054355E-5</v>
      </c>
      <c r="BD508" s="4">
        <f t="shared" ref="BD508:BF508" si="320">(BD481-BD494)/BD$492</f>
        <v>1.0893863460651317E-4</v>
      </c>
      <c r="BE508" s="4">
        <f t="shared" si="320"/>
        <v>1.3868090802687057E-4</v>
      </c>
      <c r="BF508" s="4">
        <f t="shared" si="320"/>
        <v>1.6965245306866465E-4</v>
      </c>
    </row>
    <row r="509" spans="1:58" x14ac:dyDescent="0.35">
      <c r="B509" t="s">
        <v>54</v>
      </c>
      <c r="C509" s="4">
        <f>(C485-C498)/C$492</f>
        <v>-2.4112199063748994E-5</v>
      </c>
      <c r="D509" s="4">
        <f>(D485-D498)/D$492</f>
        <v>1.3631744101566824E-4</v>
      </c>
      <c r="E509" s="4">
        <f t="shared" ref="E509:AL509" si="321">(E485-E498)/E$492</f>
        <v>2.5507930966585808E-4</v>
      </c>
      <c r="F509" s="4">
        <f t="shared" si="321"/>
        <v>3.5088858121716927E-4</v>
      </c>
      <c r="G509" s="4">
        <f t="shared" si="321"/>
        <v>4.4466138499768044E-4</v>
      </c>
      <c r="H509" s="4">
        <f t="shared" si="321"/>
        <v>5.566954969220486E-4</v>
      </c>
      <c r="I509" s="4">
        <f t="shared" si="321"/>
        <v>6.5316499749431623E-4</v>
      </c>
      <c r="J509" s="4">
        <f t="shared" si="321"/>
        <v>7.2803259179090706E-4</v>
      </c>
      <c r="K509" s="4">
        <f t="shared" si="321"/>
        <v>7.8571398033992464E-4</v>
      </c>
      <c r="L509" s="4">
        <f t="shared" si="321"/>
        <v>8.3181227025651879E-4</v>
      </c>
      <c r="M509" s="4">
        <f t="shared" si="321"/>
        <v>8.7003183492917837E-4</v>
      </c>
      <c r="N509" s="4">
        <f t="shared" si="321"/>
        <v>9.0501830081888158E-4</v>
      </c>
      <c r="O509" s="4">
        <f t="shared" si="321"/>
        <v>9.3872372712082539E-4</v>
      </c>
      <c r="P509" s="4">
        <f t="shared" si="321"/>
        <v>9.7240655092991843E-4</v>
      </c>
      <c r="Q509" s="4">
        <f t="shared" si="321"/>
        <v>1.0063229444431266E-3</v>
      </c>
      <c r="R509" s="4">
        <f t="shared" si="321"/>
        <v>1.0395479838275854E-3</v>
      </c>
      <c r="S509" s="4">
        <f t="shared" si="321"/>
        <v>1.0712813481572507E-3</v>
      </c>
      <c r="T509" s="4">
        <f t="shared" si="321"/>
        <v>1.101325157754351E-3</v>
      </c>
      <c r="U509" s="4">
        <f t="shared" si="321"/>
        <v>1.1296542006075192E-3</v>
      </c>
      <c r="V509" s="4">
        <f t="shared" si="321"/>
        <v>1.1565679716395048E-3</v>
      </c>
      <c r="W509" s="4">
        <f t="shared" si="321"/>
        <v>1.1832978200777718E-3</v>
      </c>
      <c r="X509" s="4">
        <f t="shared" si="321"/>
        <v>1.2091942857309608E-3</v>
      </c>
      <c r="Y509" s="4">
        <f t="shared" si="321"/>
        <v>1.2351884378093137E-3</v>
      </c>
      <c r="Z509" s="4">
        <f t="shared" si="321"/>
        <v>1.2616014110325517E-3</v>
      </c>
      <c r="AA509" s="4">
        <f t="shared" si="321"/>
        <v>1.2885081606110545E-3</v>
      </c>
      <c r="AB509" s="4">
        <f t="shared" si="321"/>
        <v>1.3180650382412602E-3</v>
      </c>
      <c r="AC509" s="4">
        <f t="shared" si="321"/>
        <v>1.347359883044065E-3</v>
      </c>
      <c r="AD509" s="4">
        <f t="shared" si="321"/>
        <v>1.3767974294018081E-3</v>
      </c>
      <c r="AE509" s="4">
        <f t="shared" si="321"/>
        <v>1.4062759820396278E-3</v>
      </c>
      <c r="AF509" s="4">
        <f t="shared" si="321"/>
        <v>1.4355928202968056E-3</v>
      </c>
      <c r="AG509" s="4">
        <f t="shared" si="321"/>
        <v>1.464492992842307E-3</v>
      </c>
      <c r="AH509" s="4">
        <f t="shared" si="321"/>
        <v>1.4926968125346135E-3</v>
      </c>
      <c r="AI509" s="4">
        <f t="shared" si="321"/>
        <v>1.5199163990176456E-3</v>
      </c>
      <c r="AJ509" s="4">
        <f t="shared" si="321"/>
        <v>1.5459894557933365E-3</v>
      </c>
      <c r="AK509" s="4">
        <f t="shared" si="321"/>
        <v>1.5708012792129543E-3</v>
      </c>
      <c r="AL509" s="4">
        <f t="shared" si="321"/>
        <v>1.5942708287689635E-3</v>
      </c>
      <c r="AM509" s="4">
        <f t="shared" ref="AM509:BC509" si="322">(AM485-AM498)/AM$492</f>
        <v>1.6168158427048956E-3</v>
      </c>
      <c r="AN509" s="4">
        <f t="shared" si="322"/>
        <v>1.6375196434006466E-3</v>
      </c>
      <c r="AO509" s="4">
        <f t="shared" si="322"/>
        <v>1.6522557036150812E-3</v>
      </c>
      <c r="AP509" s="4">
        <f t="shared" si="322"/>
        <v>1.658822354435925E-3</v>
      </c>
      <c r="AQ509" s="4">
        <f t="shared" si="322"/>
        <v>1.6585004455222921E-3</v>
      </c>
      <c r="AR509" s="4">
        <f t="shared" si="322"/>
        <v>1.6541405414320009E-3</v>
      </c>
      <c r="AS509" s="4">
        <f t="shared" si="322"/>
        <v>1.6572002414239205E-3</v>
      </c>
      <c r="AT509" s="4">
        <f t="shared" si="322"/>
        <v>1.6755406671808326E-3</v>
      </c>
      <c r="AU509" s="4">
        <f t="shared" si="322"/>
        <v>1.7096657318573444E-3</v>
      </c>
      <c r="AV509" s="4">
        <f t="shared" si="322"/>
        <v>1.7552439647591416E-3</v>
      </c>
      <c r="AW509" s="4">
        <f t="shared" si="322"/>
        <v>1.8109268000934824E-3</v>
      </c>
      <c r="AX509" s="4">
        <f t="shared" si="322"/>
        <v>1.8690227113270937E-3</v>
      </c>
      <c r="AY509" s="4">
        <f t="shared" si="322"/>
        <v>1.9242524349717615E-3</v>
      </c>
      <c r="AZ509" s="4">
        <f t="shared" si="322"/>
        <v>1.973766513708492E-3</v>
      </c>
      <c r="BA509" s="4">
        <f t="shared" si="322"/>
        <v>2.0163576958452038E-3</v>
      </c>
      <c r="BB509" s="4">
        <f t="shared" si="322"/>
        <v>-1.0990336866502704E-3</v>
      </c>
      <c r="BC509" s="4">
        <f t="shared" si="322"/>
        <v>-1.1097010264508416E-3</v>
      </c>
      <c r="BD509" s="4">
        <f t="shared" ref="BD509:BF509" si="323">(BD485-BD498)/BD$492</f>
        <v>-1.1197365432501557E-3</v>
      </c>
      <c r="BE509" s="4">
        <f t="shared" si="323"/>
        <v>-1.1294077849028704E-3</v>
      </c>
      <c r="BF509" s="4">
        <f t="shared" si="323"/>
        <v>-1.1388073050187509E-3</v>
      </c>
    </row>
    <row r="510" spans="1:58" x14ac:dyDescent="0.35">
      <c r="B510" t="s">
        <v>11</v>
      </c>
      <c r="C510" s="4">
        <f>(C486-C499)/C$493</f>
        <v>1.4537804801285263E-3</v>
      </c>
      <c r="D510" s="4">
        <f>(D486-D499)/D$492</f>
        <v>3.8412522201608127E-4</v>
      </c>
      <c r="E510" s="4">
        <f t="shared" ref="E510:AL510" si="324">(E486-E499)/E$492</f>
        <v>6.0433250064550028E-4</v>
      </c>
      <c r="F510" s="4">
        <f t="shared" si="324"/>
        <v>7.5331862755915623E-4</v>
      </c>
      <c r="G510" s="4">
        <f t="shared" si="324"/>
        <v>8.951550848339449E-4</v>
      </c>
      <c r="H510" s="4">
        <f t="shared" si="324"/>
        <v>1.0736768917054857E-3</v>
      </c>
      <c r="I510" s="4">
        <f t="shared" si="324"/>
        <v>1.2709456717510965E-3</v>
      </c>
      <c r="J510" s="4">
        <f t="shared" si="324"/>
        <v>1.4725068419893751E-3</v>
      </c>
      <c r="K510" s="4">
        <f t="shared" si="324"/>
        <v>1.6701458866307309E-3</v>
      </c>
      <c r="L510" s="4">
        <f t="shared" si="324"/>
        <v>1.8600174150558775E-3</v>
      </c>
      <c r="M510" s="4">
        <f t="shared" si="324"/>
        <v>2.0393133072205073E-3</v>
      </c>
      <c r="N510" s="4">
        <f t="shared" si="324"/>
        <v>2.2134479062175306E-3</v>
      </c>
      <c r="O510" s="4">
        <f t="shared" si="324"/>
        <v>2.3826533588166758E-3</v>
      </c>
      <c r="P510" s="4">
        <f t="shared" si="324"/>
        <v>2.5482185441082919E-3</v>
      </c>
      <c r="Q510" s="4">
        <f t="shared" si="324"/>
        <v>2.710366038034638E-3</v>
      </c>
      <c r="R510" s="4">
        <f t="shared" si="324"/>
        <v>2.86718332197523E-3</v>
      </c>
      <c r="S510" s="4">
        <f t="shared" si="324"/>
        <v>3.0181303206118079E-3</v>
      </c>
      <c r="T510" s="4">
        <f t="shared" si="324"/>
        <v>3.1616682240889382E-3</v>
      </c>
      <c r="U510" s="4">
        <f t="shared" si="324"/>
        <v>3.2973621462842086E-3</v>
      </c>
      <c r="V510" s="4">
        <f t="shared" si="324"/>
        <v>3.4256500965016696E-3</v>
      </c>
      <c r="W510" s="4">
        <f t="shared" si="324"/>
        <v>3.5497471845870971E-3</v>
      </c>
      <c r="X510" s="4">
        <f t="shared" si="324"/>
        <v>3.6667668331472865E-3</v>
      </c>
      <c r="Y510" s="4">
        <f t="shared" si="324"/>
        <v>3.7790051608484806E-3</v>
      </c>
      <c r="Z510" s="4">
        <f t="shared" si="324"/>
        <v>3.8871248444258136E-3</v>
      </c>
      <c r="AA510" s="4">
        <f t="shared" si="324"/>
        <v>3.9913385310513657E-3</v>
      </c>
      <c r="AB510" s="4">
        <f t="shared" si="324"/>
        <v>4.0989598054064109E-3</v>
      </c>
      <c r="AC510" s="4">
        <f t="shared" si="324"/>
        <v>4.2002041611247437E-3</v>
      </c>
      <c r="AD510" s="4">
        <f t="shared" si="324"/>
        <v>4.2972607133424569E-3</v>
      </c>
      <c r="AE510" s="4">
        <f t="shared" si="324"/>
        <v>4.3901004576444649E-3</v>
      </c>
      <c r="AF510" s="4">
        <f t="shared" si="324"/>
        <v>4.4783789648205853E-3</v>
      </c>
      <c r="AG510" s="4">
        <f t="shared" si="324"/>
        <v>4.5616238584335438E-3</v>
      </c>
      <c r="AH510" s="4">
        <f t="shared" si="324"/>
        <v>4.6390347484822295E-3</v>
      </c>
      <c r="AI510" s="4">
        <f t="shared" si="324"/>
        <v>4.7103249250823155E-3</v>
      </c>
      <c r="AJ510" s="4">
        <f t="shared" si="324"/>
        <v>4.7752647418087468E-3</v>
      </c>
      <c r="AK510" s="4">
        <f t="shared" si="324"/>
        <v>4.833660263362391E-3</v>
      </c>
      <c r="AL510" s="4">
        <f t="shared" si="324"/>
        <v>4.8853462391150572E-3</v>
      </c>
      <c r="AM510" s="4">
        <f t="shared" ref="AM510:BC510" si="325">(AM486-AM499)/AM$492</f>
        <v>4.9293758281878453E-3</v>
      </c>
      <c r="AN510" s="4">
        <f t="shared" si="325"/>
        <v>4.9654867333367055E-3</v>
      </c>
      <c r="AO510" s="4">
        <f t="shared" si="325"/>
        <v>4.9786827203949042E-3</v>
      </c>
      <c r="AP510" s="4">
        <f t="shared" si="325"/>
        <v>4.95949740144152E-3</v>
      </c>
      <c r="AQ510" s="4">
        <f t="shared" si="325"/>
        <v>4.9091542195865839E-3</v>
      </c>
      <c r="AR510" s="4">
        <f t="shared" si="325"/>
        <v>4.8552460101856263E-3</v>
      </c>
      <c r="AS510" s="4">
        <f t="shared" si="325"/>
        <v>4.810953178703857E-3</v>
      </c>
      <c r="AT510" s="4">
        <f t="shared" si="325"/>
        <v>4.7772385638409041E-3</v>
      </c>
      <c r="AU510" s="4">
        <f t="shared" si="325"/>
        <v>4.7462401074055355E-3</v>
      </c>
      <c r="AV510" s="4">
        <f t="shared" si="325"/>
        <v>4.7071314985204357E-3</v>
      </c>
      <c r="AW510" s="4">
        <f t="shared" si="325"/>
        <v>4.6252381557582451E-3</v>
      </c>
      <c r="AX510" s="4">
        <f t="shared" si="325"/>
        <v>4.5043584643139406E-3</v>
      </c>
      <c r="AY510" s="4">
        <f t="shared" si="325"/>
        <v>4.3599182854424769E-3</v>
      </c>
      <c r="AZ510" s="4">
        <f t="shared" si="325"/>
        <v>4.2069821065051118E-3</v>
      </c>
      <c r="BA510" s="4">
        <f t="shared" si="325"/>
        <v>4.0563275359748905E-3</v>
      </c>
      <c r="BB510" s="4">
        <f t="shared" si="325"/>
        <v>-6.6031499893113273E-3</v>
      </c>
      <c r="BC510" s="4">
        <f t="shared" si="325"/>
        <v>-6.7440012499967112E-3</v>
      </c>
      <c r="BD510" s="4">
        <f t="shared" ref="BD510:BF510" si="326">(BD486-BD499)/BD$492</f>
        <v>-6.8804170875079512E-3</v>
      </c>
      <c r="BE510" s="4">
        <f t="shared" si="326"/>
        <v>-7.0133542177743648E-3</v>
      </c>
      <c r="BF510" s="4">
        <f t="shared" si="326"/>
        <v>-7.1435608619209731E-3</v>
      </c>
    </row>
    <row r="511" spans="1:58" x14ac:dyDescent="0.35">
      <c r="B511" t="s">
        <v>75</v>
      </c>
      <c r="C511" s="4">
        <f>(C487-C500)/C$494</f>
        <v>-1.1106519757607927E-4</v>
      </c>
      <c r="D511" s="4">
        <f>(D487-D500)/D$492</f>
        <v>-2.6621817848503359E-4</v>
      </c>
      <c r="E511" s="4">
        <f t="shared" ref="E511:AL511" si="327">(E487-E500)/E$492</f>
        <v>-4.0027647208927422E-4</v>
      </c>
      <c r="F511" s="4">
        <f t="shared" si="327"/>
        <v>-4.6739748829041996E-4</v>
      </c>
      <c r="G511" s="4">
        <f t="shared" si="327"/>
        <v>-4.9303003714826882E-4</v>
      </c>
      <c r="H511" s="4">
        <f t="shared" si="327"/>
        <v>-4.857904230387214E-4</v>
      </c>
      <c r="I511" s="4">
        <f t="shared" si="327"/>
        <v>-4.5965970117713909E-4</v>
      </c>
      <c r="J511" s="4">
        <f t="shared" si="327"/>
        <v>-4.3252359548119488E-4</v>
      </c>
      <c r="K511" s="4">
        <f t="shared" si="327"/>
        <v>-4.1321184200435515E-4</v>
      </c>
      <c r="L511" s="4">
        <f t="shared" si="327"/>
        <v>-4.0375288153861875E-4</v>
      </c>
      <c r="M511" s="4">
        <f t="shared" si="327"/>
        <v>-4.0275585951132363E-4</v>
      </c>
      <c r="N511" s="4">
        <f t="shared" si="327"/>
        <v>-4.0881744485708553E-4</v>
      </c>
      <c r="O511" s="4">
        <f t="shared" si="327"/>
        <v>-4.1973908933718481E-4</v>
      </c>
      <c r="P511" s="4">
        <f t="shared" si="327"/>
        <v>-4.3367961731163651E-4</v>
      </c>
      <c r="Q511" s="4">
        <f t="shared" si="327"/>
        <v>-4.4933237076971364E-4</v>
      </c>
      <c r="R511" s="4">
        <f t="shared" si="327"/>
        <v>-4.6594542285165495E-4</v>
      </c>
      <c r="S511" s="4">
        <f t="shared" si="327"/>
        <v>-4.8365353287812288E-4</v>
      </c>
      <c r="T511" s="4">
        <f t="shared" si="327"/>
        <v>-5.0234912545001466E-4</v>
      </c>
      <c r="U511" s="4">
        <f t="shared" si="327"/>
        <v>-5.2163227596251798E-4</v>
      </c>
      <c r="V511" s="4">
        <f t="shared" si="327"/>
        <v>-5.4108610970699802E-4</v>
      </c>
      <c r="W511" s="4">
        <f t="shared" si="327"/>
        <v>-5.6047290584539285E-4</v>
      </c>
      <c r="X511" s="4">
        <f t="shared" si="327"/>
        <v>-5.7939201448164339E-4</v>
      </c>
      <c r="Y511" s="4">
        <f t="shared" si="327"/>
        <v>-5.9787171492470639E-4</v>
      </c>
      <c r="Z511" s="4">
        <f t="shared" si="327"/>
        <v>-6.1593837277529339E-4</v>
      </c>
      <c r="AA511" s="4">
        <f t="shared" si="327"/>
        <v>-6.3370961540507986E-4</v>
      </c>
      <c r="AB511" s="4">
        <f t="shared" si="327"/>
        <v>-6.5160267449721442E-4</v>
      </c>
      <c r="AC511" s="4">
        <f t="shared" si="327"/>
        <v>-6.6922096956606328E-4</v>
      </c>
      <c r="AD511" s="4">
        <f t="shared" si="327"/>
        <v>-6.8697611232314249E-4</v>
      </c>
      <c r="AE511" s="4">
        <f t="shared" si="327"/>
        <v>-7.0525241089105346E-4</v>
      </c>
      <c r="AF511" s="4">
        <f t="shared" si="327"/>
        <v>-7.2442205039370577E-4</v>
      </c>
      <c r="AG511" s="4">
        <f t="shared" si="327"/>
        <v>-7.4479149365522387E-4</v>
      </c>
      <c r="AH511" s="4">
        <f t="shared" si="327"/>
        <v>-7.6647438984863325E-4</v>
      </c>
      <c r="AI511" s="4">
        <f t="shared" si="327"/>
        <v>-7.8959366254746242E-4</v>
      </c>
      <c r="AJ511" s="4">
        <f t="shared" si="327"/>
        <v>-8.1430733545190281E-4</v>
      </c>
      <c r="AK511" s="4">
        <f t="shared" si="327"/>
        <v>-8.4076160338634987E-4</v>
      </c>
      <c r="AL511" s="4">
        <f t="shared" si="327"/>
        <v>-8.6909166801155677E-4</v>
      </c>
      <c r="AM511" s="4">
        <f t="shared" ref="AM511:BC511" si="328">(AM487-AM500)/AM$492</f>
        <v>-8.9851371208104808E-4</v>
      </c>
      <c r="AN511" s="4">
        <f t="shared" si="328"/>
        <v>-9.2880591355234163E-4</v>
      </c>
      <c r="AO511" s="4">
        <f t="shared" si="328"/>
        <v>-9.5401225065618598E-4</v>
      </c>
      <c r="AP511" s="4">
        <f t="shared" si="328"/>
        <v>-9.7326042088646326E-4</v>
      </c>
      <c r="AQ511" s="4">
        <f t="shared" si="328"/>
        <v>-9.9145404114847667E-4</v>
      </c>
      <c r="AR511" s="4">
        <f t="shared" si="328"/>
        <v>-1.0082819518094498E-3</v>
      </c>
      <c r="AS511" s="4">
        <f t="shared" si="328"/>
        <v>-1.0209384856293066E-3</v>
      </c>
      <c r="AT511" s="4">
        <f t="shared" si="328"/>
        <v>-1.0282898812249361E-3</v>
      </c>
      <c r="AU511" s="4">
        <f t="shared" si="328"/>
        <v>-1.0320783981807868E-3</v>
      </c>
      <c r="AV511" s="4">
        <f t="shared" si="328"/>
        <v>-1.0356538878861646E-3</v>
      </c>
      <c r="AW511" s="4">
        <f t="shared" si="328"/>
        <v>-1.0469368594242493E-3</v>
      </c>
      <c r="AX511" s="4">
        <f t="shared" si="328"/>
        <v>-1.0650523715745263E-3</v>
      </c>
      <c r="AY511" s="4">
        <f t="shared" si="328"/>
        <v>-1.0872966106187821E-3</v>
      </c>
      <c r="AZ511" s="4">
        <f t="shared" si="328"/>
        <v>-1.111284393461636E-3</v>
      </c>
      <c r="BA511" s="4">
        <f t="shared" si="328"/>
        <v>-1.1353608804918975E-3</v>
      </c>
      <c r="BB511" s="4">
        <f t="shared" si="328"/>
        <v>-3.0849343800535465E-3</v>
      </c>
      <c r="BC511" s="4">
        <f t="shared" si="328"/>
        <v>-3.1263830034629772E-3</v>
      </c>
      <c r="BD511" s="4">
        <f t="shared" ref="BD511:BF511" si="329">(BD487-BD500)/BD$492</f>
        <v>-3.1653761681631693E-3</v>
      </c>
      <c r="BE511" s="4">
        <f t="shared" si="329"/>
        <v>-3.2025229336915505E-3</v>
      </c>
      <c r="BF511" s="4">
        <f t="shared" si="329"/>
        <v>-3.2381021300303143E-3</v>
      </c>
    </row>
    <row r="513" spans="2:58" x14ac:dyDescent="0.35">
      <c r="B513" s="6" t="str">
        <f>[1]Macro!A100</f>
        <v>y_toe_2</v>
      </c>
      <c r="C513" s="6">
        <f>[1]Macro!B100</f>
        <v>139.61109250000001</v>
      </c>
      <c r="D513" s="6">
        <f>[1]Macro!C100</f>
        <v>140.77736390000001</v>
      </c>
      <c r="E513" s="6">
        <f>[1]Macro!D100</f>
        <v>141.8533267</v>
      </c>
      <c r="F513" s="6">
        <f>[1]Macro!E100</f>
        <v>142.9930067</v>
      </c>
      <c r="G513" s="6">
        <f>[1]Macro!F100</f>
        <v>144.25361169999999</v>
      </c>
      <c r="H513" s="6">
        <f>[1]Macro!G100</f>
        <v>145.6395339</v>
      </c>
      <c r="I513" s="6">
        <f>[1]Macro!H100</f>
        <v>147.0533978</v>
      </c>
      <c r="J513" s="6">
        <f>[1]Macro!I100</f>
        <v>148.5303845</v>
      </c>
      <c r="K513" s="6">
        <f>[1]Macro!J100</f>
        <v>150.06275099999999</v>
      </c>
      <c r="L513" s="6">
        <f>[1]Macro!K100</f>
        <v>151.64136869999999</v>
      </c>
      <c r="M513" s="6">
        <f>[1]Macro!L100</f>
        <v>153.40057100000001</v>
      </c>
      <c r="N513" s="6">
        <f>[1]Macro!M100</f>
        <v>155.09563019999999</v>
      </c>
      <c r="O513" s="6">
        <f>[1]Macro!N100</f>
        <v>156.8037563</v>
      </c>
      <c r="P513" s="6">
        <f>[1]Macro!O100</f>
        <v>158.5326215</v>
      </c>
      <c r="Q513" s="6">
        <f>[1]Macro!P100</f>
        <v>160.28383199999999</v>
      </c>
      <c r="R513" s="6">
        <f>[1]Macro!Q100</f>
        <v>162.0576513</v>
      </c>
      <c r="S513" s="6">
        <f>[1]Macro!R100</f>
        <v>163.85441660000001</v>
      </c>
      <c r="T513" s="6">
        <f>[1]Macro!S100</f>
        <v>165.6741859</v>
      </c>
      <c r="U513" s="6">
        <f>[1]Macro!T100</f>
        <v>167.51729599999999</v>
      </c>
      <c r="V513" s="6">
        <f>[1]Macro!U100</f>
        <v>169.38429410000001</v>
      </c>
      <c r="W513" s="6">
        <f>[1]Macro!V100</f>
        <v>171.1722819</v>
      </c>
      <c r="X513" s="6">
        <f>[1]Macro!W100</f>
        <v>173.05820299999999</v>
      </c>
      <c r="Y513" s="6">
        <f>[1]Macro!X100</f>
        <v>174.98328190000001</v>
      </c>
      <c r="Z513" s="6">
        <f>[1]Macro!Y100</f>
        <v>176.94122150000001</v>
      </c>
      <c r="AA513" s="6">
        <f>[1]Macro!Z100</f>
        <v>178.93057089999999</v>
      </c>
      <c r="AB513" s="6">
        <f>[1]Macro!AA100</f>
        <v>180.6537074</v>
      </c>
      <c r="AC513" s="6">
        <f>[1]Macro!AB100</f>
        <v>182.47580629999999</v>
      </c>
      <c r="AD513" s="6">
        <f>[1]Macro!AC100</f>
        <v>184.32281699999999</v>
      </c>
      <c r="AE513" s="6">
        <f>[1]Macro!AD100</f>
        <v>186.19211300000001</v>
      </c>
      <c r="AF513" s="6">
        <f>[1]Macro!AE100</f>
        <v>188.08563720000001</v>
      </c>
      <c r="AG513" s="6">
        <f>[1]Macro!AF100</f>
        <v>190.00595949999999</v>
      </c>
      <c r="AH513" s="6">
        <f>[1]Macro!AG100</f>
        <v>191.95528329999999</v>
      </c>
      <c r="AI513" s="6">
        <f>[1]Macro!AH100</f>
        <v>193.93543109999999</v>
      </c>
      <c r="AJ513" s="6">
        <f>[1]Macro!AI100</f>
        <v>195.9476971</v>
      </c>
      <c r="AK513" s="6">
        <f>[1]Macro!AJ100</f>
        <v>197.9929199</v>
      </c>
      <c r="AL513" s="6">
        <f>[1]Macro!AK100</f>
        <v>200.07157810000001</v>
      </c>
      <c r="AM513" s="6">
        <f>[1]Macro!AL100</f>
        <v>202.1121325</v>
      </c>
      <c r="AN513" s="6">
        <f>[1]Macro!AM100</f>
        <v>204.16448940000001</v>
      </c>
      <c r="AO513" s="6">
        <f>[1]Macro!AN100</f>
        <v>206.23729700000001</v>
      </c>
      <c r="AP513" s="6">
        <f>[1]Macro!AO100</f>
        <v>208.33437720000001</v>
      </c>
      <c r="AQ513" s="6">
        <f>[1]Macro!AP100</f>
        <v>210.45804999999999</v>
      </c>
      <c r="AR513" s="6">
        <f>[1]Macro!AQ100</f>
        <v>212.60987420000001</v>
      </c>
      <c r="AS513" s="6">
        <f>[1]Macro!AR100</f>
        <v>214.7911934</v>
      </c>
      <c r="AT513" s="6">
        <f>[1]Macro!AS100</f>
        <v>217.0029998</v>
      </c>
      <c r="AU513" s="6">
        <f>[1]Macro!AT100</f>
        <v>219.24599670000001</v>
      </c>
      <c r="AV513" s="6">
        <f>[1]Macro!AU100</f>
        <v>221.52065350000001</v>
      </c>
      <c r="AW513" s="6">
        <f>[1]Macro!AV100</f>
        <v>223.8253598</v>
      </c>
      <c r="AX513" s="6">
        <f>[1]Macro!AW100</f>
        <v>226.15922810000001</v>
      </c>
      <c r="AY513" s="6">
        <f>[1]Macro!AX100</f>
        <v>228.5270836</v>
      </c>
      <c r="AZ513" s="6">
        <f>[1]Macro!AY100</f>
        <v>230.93310049999999</v>
      </c>
      <c r="BA513" s="6">
        <f>[1]Macro!AZ100</f>
        <v>233.37994499999999</v>
      </c>
      <c r="BB513" s="6">
        <f>[1]Macro!BA100</f>
        <v>246.2616218</v>
      </c>
      <c r="BC513" s="6">
        <f>[1]Macro!BB100</f>
        <v>249.59194579999999</v>
      </c>
      <c r="BD513" s="6">
        <f>[1]Macro!BC100</f>
        <v>252.97991350000001</v>
      </c>
      <c r="BE513" s="6">
        <f>[1]Macro!BD100</f>
        <v>256.42639680000002</v>
      </c>
      <c r="BF513" s="6">
        <f>[1]Macro!BE100</f>
        <v>259.93237049999999</v>
      </c>
    </row>
    <row r="514" spans="2:58" x14ac:dyDescent="0.35">
      <c r="B514" s="6" t="str">
        <f>[1]Macro!A101</f>
        <v>m_toe_2</v>
      </c>
      <c r="C514" s="6">
        <f>[1]Macro!B101</f>
        <v>151.43594540000001</v>
      </c>
      <c r="D514" s="6">
        <f>[1]Macro!C101</f>
        <v>152.80211510000001</v>
      </c>
      <c r="E514" s="6">
        <f>[1]Macro!D101</f>
        <v>154.07354040000001</v>
      </c>
      <c r="F514" s="6">
        <f>[1]Macro!E101</f>
        <v>155.4281297</v>
      </c>
      <c r="G514" s="6">
        <f>[1]Macro!F101</f>
        <v>156.93224860000001</v>
      </c>
      <c r="H514" s="6">
        <f>[1]Macro!G101</f>
        <v>158.5917049</v>
      </c>
      <c r="I514" s="6">
        <f>[1]Macro!H101</f>
        <v>160.3008432</v>
      </c>
      <c r="J514" s="6">
        <f>[1]Macro!I101</f>
        <v>162.0938112</v>
      </c>
      <c r="K514" s="6">
        <f>[1]Macro!J101</f>
        <v>163.96289300000001</v>
      </c>
      <c r="L514" s="6">
        <f>[1]Macro!K101</f>
        <v>165.89640349999999</v>
      </c>
      <c r="M514" s="6">
        <f>[1]Macro!L101</f>
        <v>168.0387552</v>
      </c>
      <c r="N514" s="6">
        <f>[1]Macro!M101</f>
        <v>170.12902070000001</v>
      </c>
      <c r="O514" s="6">
        <f>[1]Macro!N101</f>
        <v>172.23898489999999</v>
      </c>
      <c r="P514" s="6">
        <f>[1]Macro!O101</f>
        <v>174.3786556</v>
      </c>
      <c r="Q514" s="6">
        <f>[1]Macro!P101</f>
        <v>176.54882050000001</v>
      </c>
      <c r="R514" s="6">
        <f>[1]Macro!Q101</f>
        <v>178.748728</v>
      </c>
      <c r="S514" s="6">
        <f>[1]Macro!R101</f>
        <v>180.97833320000001</v>
      </c>
      <c r="T514" s="6">
        <f>[1]Macro!S101</f>
        <v>183.2369195</v>
      </c>
      <c r="U514" s="6">
        <f>[1]Macro!T101</f>
        <v>185.52425500000001</v>
      </c>
      <c r="V514" s="6">
        <f>[1]Macro!U101</f>
        <v>187.8404085</v>
      </c>
      <c r="W514" s="6">
        <f>[1]Macro!V101</f>
        <v>190.0719503</v>
      </c>
      <c r="X514" s="6">
        <f>[1]Macro!W101</f>
        <v>192.40694020000001</v>
      </c>
      <c r="Y514" s="6">
        <f>[1]Macro!X101</f>
        <v>194.78859850000001</v>
      </c>
      <c r="Z514" s="6">
        <f>[1]Macro!Y101</f>
        <v>197.2073522</v>
      </c>
      <c r="AA514" s="6">
        <f>[1]Macro!Z101</f>
        <v>199.66116049999999</v>
      </c>
      <c r="AB514" s="6">
        <f>[1]Macro!AA101</f>
        <v>201.82212899999999</v>
      </c>
      <c r="AC514" s="6">
        <f>[1]Macro!AB101</f>
        <v>204.07531399999999</v>
      </c>
      <c r="AD514" s="6">
        <f>[1]Macro!AC101</f>
        <v>206.35495599999999</v>
      </c>
      <c r="AE514" s="6">
        <f>[1]Macro!AD101</f>
        <v>208.65465810000001</v>
      </c>
      <c r="AF514" s="6">
        <f>[1]Macro!AE101</f>
        <v>210.976283</v>
      </c>
      <c r="AG514" s="6">
        <f>[1]Macro!AF101</f>
        <v>213.32296669999999</v>
      </c>
      <c r="AH514" s="6">
        <f>[1]Macro!AG101</f>
        <v>215.69742579999999</v>
      </c>
      <c r="AI514" s="6">
        <f>[1]Macro!AH101</f>
        <v>218.1021427</v>
      </c>
      <c r="AJ514" s="6">
        <f>[1]Macro!AI101</f>
        <v>220.53901590000001</v>
      </c>
      <c r="AK514" s="6">
        <f>[1]Macro!AJ101</f>
        <v>223.0094556</v>
      </c>
      <c r="AL514" s="6">
        <f>[1]Macro!AK101</f>
        <v>225.51447920000001</v>
      </c>
      <c r="AM514" s="6">
        <f>[1]Macro!AL101</f>
        <v>227.97434799999999</v>
      </c>
      <c r="AN514" s="6">
        <f>[1]Macro!AM101</f>
        <v>230.44106930000001</v>
      </c>
      <c r="AO514" s="6">
        <f>[1]Macro!AN101</f>
        <v>232.9265863</v>
      </c>
      <c r="AP514" s="6">
        <f>[1]Macro!AO101</f>
        <v>235.43579589999999</v>
      </c>
      <c r="AQ514" s="6">
        <f>[1]Macro!AP101</f>
        <v>237.97176959999999</v>
      </c>
      <c r="AR514" s="6">
        <f>[1]Macro!AQ101</f>
        <v>240.53656140000001</v>
      </c>
      <c r="AS514" s="6">
        <f>[1]Macro!AR101</f>
        <v>243.1322275</v>
      </c>
      <c r="AT514" s="6">
        <f>[1]Macro!AS101</f>
        <v>245.76036830000001</v>
      </c>
      <c r="AU514" s="6">
        <f>[1]Macro!AT101</f>
        <v>248.4222244</v>
      </c>
      <c r="AV514" s="6">
        <f>[1]Macro!AU101</f>
        <v>251.11874040000001</v>
      </c>
      <c r="AW514" s="6">
        <f>[1]Macro!AV101</f>
        <v>253.84338070000001</v>
      </c>
      <c r="AX514" s="6">
        <f>[1]Macro!AW101</f>
        <v>256.59621240000001</v>
      </c>
      <c r="AY514" s="6">
        <f>[1]Macro!AX101</f>
        <v>259.38326710000001</v>
      </c>
      <c r="AZ514" s="6">
        <f>[1]Macro!AY101</f>
        <v>262.20989359999999</v>
      </c>
      <c r="BA514" s="6">
        <f>[1]Macro!AZ101</f>
        <v>265.07973520000002</v>
      </c>
      <c r="BB514" s="6">
        <f>[1]Macro!BA101</f>
        <v>288.74522830000001</v>
      </c>
      <c r="BC514" s="6">
        <f>[1]Macro!BB101</f>
        <v>292.93593909999998</v>
      </c>
      <c r="BD514" s="6">
        <f>[1]Macro!BC101</f>
        <v>297.19389749999999</v>
      </c>
      <c r="BE514" s="6">
        <f>[1]Macro!BD101</f>
        <v>301.52066719999999</v>
      </c>
      <c r="BF514" s="6">
        <f>[1]Macro!BE101</f>
        <v>305.91793699999999</v>
      </c>
    </row>
    <row r="515" spans="2:58" x14ac:dyDescent="0.35">
      <c r="B515" s="6" t="str">
        <f>[1]Macro!A102</f>
        <v>ci_toe_2</v>
      </c>
      <c r="C515" s="6">
        <f>[1]Macro!B102</f>
        <v>193.24920449999999</v>
      </c>
      <c r="D515" s="6">
        <f>[1]Macro!C102</f>
        <v>195.2279427</v>
      </c>
      <c r="E515" s="6">
        <f>[1]Macro!D102</f>
        <v>197.2013815</v>
      </c>
      <c r="F515" s="6">
        <f>[1]Macro!E102</f>
        <v>199.31778510000001</v>
      </c>
      <c r="G515" s="6">
        <f>[1]Macro!F102</f>
        <v>201.63197009999999</v>
      </c>
      <c r="H515" s="6">
        <f>[1]Macro!G102</f>
        <v>204.1436707</v>
      </c>
      <c r="I515" s="6">
        <f>[1]Macro!H102</f>
        <v>206.71350169999999</v>
      </c>
      <c r="J515" s="6">
        <f>[1]Macro!I102</f>
        <v>209.3841822</v>
      </c>
      <c r="K515" s="6">
        <f>[1]Macro!J102</f>
        <v>212.1504036</v>
      </c>
      <c r="L515" s="6">
        <f>[1]Macro!K102</f>
        <v>214.99994599999999</v>
      </c>
      <c r="M515" s="6">
        <f>[1]Macro!L102</f>
        <v>218.12691050000001</v>
      </c>
      <c r="N515" s="6">
        <f>[1]Macro!M102</f>
        <v>221.1951679</v>
      </c>
      <c r="O515" s="6">
        <f>[1]Macro!N102</f>
        <v>224.28789689999999</v>
      </c>
      <c r="P515" s="6">
        <f>[1]Macro!O102</f>
        <v>227.42062809999999</v>
      </c>
      <c r="Q515" s="6">
        <f>[1]Macro!P102</f>
        <v>230.59496849999999</v>
      </c>
      <c r="R515" s="6">
        <f>[1]Macro!Q102</f>
        <v>233.81018800000001</v>
      </c>
      <c r="S515" s="6">
        <f>[1]Macro!R102</f>
        <v>237.0661983</v>
      </c>
      <c r="T515" s="6">
        <f>[1]Macro!S102</f>
        <v>240.36222670000001</v>
      </c>
      <c r="U515" s="6">
        <f>[1]Macro!T102</f>
        <v>243.69817990000001</v>
      </c>
      <c r="V515" s="6">
        <f>[1]Macro!U102</f>
        <v>247.0743559</v>
      </c>
      <c r="W515" s="6">
        <f>[1]Macro!V102</f>
        <v>250.3393969</v>
      </c>
      <c r="X515" s="6">
        <f>[1]Macro!W102</f>
        <v>253.737773</v>
      </c>
      <c r="Y515" s="6">
        <f>[1]Macro!X102</f>
        <v>257.2037785</v>
      </c>
      <c r="Z515" s="6">
        <f>[1]Macro!Y102</f>
        <v>260.72366019999998</v>
      </c>
      <c r="AA515" s="6">
        <f>[1]Macro!Z102</f>
        <v>264.29486379999997</v>
      </c>
      <c r="AB515" s="6">
        <f>[1]Macro!AA102</f>
        <v>267.47856239999999</v>
      </c>
      <c r="AC515" s="6">
        <f>[1]Macro!AB102</f>
        <v>270.77030710000003</v>
      </c>
      <c r="AD515" s="6">
        <f>[1]Macro!AC102</f>
        <v>274.10140730000001</v>
      </c>
      <c r="AE515" s="6">
        <f>[1]Macro!AD102</f>
        <v>277.46348760000001</v>
      </c>
      <c r="AF515" s="6">
        <f>[1]Macro!AE102</f>
        <v>280.86045639999998</v>
      </c>
      <c r="AG515" s="6">
        <f>[1]Macro!AF102</f>
        <v>284.29786799999999</v>
      </c>
      <c r="AH515" s="6">
        <f>[1]Macro!AG102</f>
        <v>287.78047420000001</v>
      </c>
      <c r="AI515" s="6">
        <f>[1]Macro!AH102</f>
        <v>291.31229509999997</v>
      </c>
      <c r="AJ515" s="6">
        <f>[1]Macro!AI102</f>
        <v>294.89623449999999</v>
      </c>
      <c r="AK515" s="6">
        <f>[1]Macro!AJ102</f>
        <v>298.53427920000001</v>
      </c>
      <c r="AL515" s="6">
        <f>[1]Macro!AK102</f>
        <v>302.22768960000002</v>
      </c>
      <c r="AM515" s="6">
        <f>[1]Macro!AL102</f>
        <v>305.86952919999999</v>
      </c>
      <c r="AN515" s="6">
        <f>[1]Macro!AM102</f>
        <v>309.52429769999998</v>
      </c>
      <c r="AO515" s="6">
        <f>[1]Macro!AN102</f>
        <v>313.20939820000001</v>
      </c>
      <c r="AP515" s="6">
        <f>[1]Macro!AO102</f>
        <v>316.9318111</v>
      </c>
      <c r="AQ515" s="6">
        <f>[1]Macro!AP102</f>
        <v>320.69592060000002</v>
      </c>
      <c r="AR515" s="6">
        <f>[1]Macro!AQ102</f>
        <v>324.50481689999998</v>
      </c>
      <c r="AS515" s="6">
        <f>[1]Macro!AR102</f>
        <v>328.3614068</v>
      </c>
      <c r="AT515" s="6">
        <f>[1]Macro!AS102</f>
        <v>332.26786299999998</v>
      </c>
      <c r="AU515" s="6">
        <f>[1]Macro!AT102</f>
        <v>336.22578759999999</v>
      </c>
      <c r="AV515" s="6">
        <f>[1]Macro!AU102</f>
        <v>340.23631820000003</v>
      </c>
      <c r="AW515" s="6">
        <f>[1]Macro!AV102</f>
        <v>344.28855800000002</v>
      </c>
      <c r="AX515" s="6">
        <f>[1]Macro!AW102</f>
        <v>348.38472949999999</v>
      </c>
      <c r="AY515" s="6">
        <f>[1]Macro!AX102</f>
        <v>352.53545880000001</v>
      </c>
      <c r="AZ515" s="6">
        <f>[1]Macro!AY102</f>
        <v>356.7500521</v>
      </c>
      <c r="BA515" s="6">
        <f>[1]Macro!AZ102</f>
        <v>361.03464250000002</v>
      </c>
      <c r="BB515" s="6">
        <f>[1]Macro!BA102</f>
        <v>394.43394949999998</v>
      </c>
      <c r="BC515" s="6">
        <f>[1]Macro!BB102</f>
        <v>400.53157679999998</v>
      </c>
      <c r="BD515" s="6">
        <f>[1]Macro!BC102</f>
        <v>406.72715749999998</v>
      </c>
      <c r="BE515" s="6">
        <f>[1]Macro!BD102</f>
        <v>413.02284150000003</v>
      </c>
      <c r="BF515" s="6">
        <f>[1]Macro!BE102</f>
        <v>419.4208261</v>
      </c>
    </row>
    <row r="516" spans="2:58" x14ac:dyDescent="0.35">
      <c r="B516" s="6" t="str">
        <f>[1]Macro!A103</f>
        <v>ch_toe_2</v>
      </c>
      <c r="C516" s="6">
        <f>[1]Macro!B103</f>
        <v>64.301440170000006</v>
      </c>
      <c r="D516" s="6">
        <f>[1]Macro!C103</f>
        <v>64.336084330000006</v>
      </c>
      <c r="E516" s="6">
        <f>[1]Macro!D103</f>
        <v>64.145511519999999</v>
      </c>
      <c r="F516" s="6">
        <f>[1]Macro!E103</f>
        <v>63.947403770000001</v>
      </c>
      <c r="G516" s="6">
        <f>[1]Macro!F103</f>
        <v>63.811244479999999</v>
      </c>
      <c r="H516" s="6">
        <f>[1]Macro!G103</f>
        <v>63.748327570000001</v>
      </c>
      <c r="I516" s="6">
        <f>[1]Macro!H103</f>
        <v>63.730823309999998</v>
      </c>
      <c r="J516" s="6">
        <f>[1]Macro!I103</f>
        <v>63.751596200000002</v>
      </c>
      <c r="K516" s="6">
        <f>[1]Macro!J103</f>
        <v>63.800604679999999</v>
      </c>
      <c r="L516" s="6">
        <f>[1]Macro!K103</f>
        <v>63.869186849999998</v>
      </c>
      <c r="M516" s="6">
        <f>[1]Macro!L103</f>
        <v>63.980496590000001</v>
      </c>
      <c r="N516" s="6">
        <f>[1]Macro!M103</f>
        <v>64.086701390000002</v>
      </c>
      <c r="O516" s="6">
        <f>[1]Macro!N103</f>
        <v>64.192856680000006</v>
      </c>
      <c r="P516" s="6">
        <f>[1]Macro!O103</f>
        <v>64.300830340000005</v>
      </c>
      <c r="Q516" s="6">
        <f>[1]Macro!P103</f>
        <v>64.411139489999996</v>
      </c>
      <c r="R516" s="6">
        <f>[1]Macro!Q103</f>
        <v>64.523767789999994</v>
      </c>
      <c r="S516" s="6">
        <f>[1]Macro!R103</f>
        <v>64.638843039999998</v>
      </c>
      <c r="T516" s="6">
        <f>[1]Macro!S103</f>
        <v>64.756226359999999</v>
      </c>
      <c r="U516" s="6">
        <f>[1]Macro!T103</f>
        <v>64.875857710000005</v>
      </c>
      <c r="V516" s="6">
        <f>[1]Macro!U103</f>
        <v>64.997793650000006</v>
      </c>
      <c r="W516" s="6">
        <f>[1]Macro!V103</f>
        <v>65.102521830000001</v>
      </c>
      <c r="X516" s="6">
        <f>[1]Macro!W103</f>
        <v>65.219381369999994</v>
      </c>
      <c r="Y516" s="6">
        <f>[1]Macro!X103</f>
        <v>65.343390299999996</v>
      </c>
      <c r="Z516" s="6">
        <f>[1]Macro!Y103</f>
        <v>65.472190479999995</v>
      </c>
      <c r="AA516" s="6">
        <f>[1]Macro!Z103</f>
        <v>65.604600439999999</v>
      </c>
      <c r="AB516" s="6">
        <f>[1]Macro!AA103</f>
        <v>65.686136309999995</v>
      </c>
      <c r="AC516" s="6">
        <f>[1]Macro!AB103</f>
        <v>65.770775159999999</v>
      </c>
      <c r="AD516" s="6">
        <f>[1]Macro!AC103</f>
        <v>65.856555689999993</v>
      </c>
      <c r="AE516" s="6">
        <f>[1]Macro!AD103</f>
        <v>65.942591870000001</v>
      </c>
      <c r="AF516" s="6">
        <f>[1]Macro!AE103</f>
        <v>66.028566850000004</v>
      </c>
      <c r="AG516" s="6">
        <f>[1]Macro!AF103</f>
        <v>66.114440250000001</v>
      </c>
      <c r="AH516" s="6">
        <f>[1]Macro!AG103</f>
        <v>66.200210760000004</v>
      </c>
      <c r="AI516" s="6">
        <f>[1]Macro!AH103</f>
        <v>66.286019539999998</v>
      </c>
      <c r="AJ516" s="6">
        <f>[1]Macro!AI103</f>
        <v>66.372035960000005</v>
      </c>
      <c r="AK516" s="6">
        <f>[1]Macro!AJ103</f>
        <v>66.458421909999998</v>
      </c>
      <c r="AL516" s="6">
        <f>[1]Macro!AK103</f>
        <v>66.545327529999994</v>
      </c>
      <c r="AM516" s="6">
        <f>[1]Macro!AL103</f>
        <v>66.620588280000007</v>
      </c>
      <c r="AN516" s="6">
        <f>[1]Macro!AM103</f>
        <v>66.690043610000004</v>
      </c>
      <c r="AO516" s="6">
        <f>[1]Macro!AN103</f>
        <v>66.75676043</v>
      </c>
      <c r="AP516" s="6">
        <f>[1]Macro!AO103</f>
        <v>66.822371390000001</v>
      </c>
      <c r="AQ516" s="6">
        <f>[1]Macro!AP103</f>
        <v>66.887787070000002</v>
      </c>
      <c r="AR516" s="6">
        <f>[1]Macro!AQ103</f>
        <v>66.953436330000002</v>
      </c>
      <c r="AS516" s="6">
        <f>[1]Macro!AR103</f>
        <v>67.01972078</v>
      </c>
      <c r="AT516" s="6">
        <f>[1]Macro!AS103</f>
        <v>67.086970930000007</v>
      </c>
      <c r="AU516" s="6">
        <f>[1]Macro!AT103</f>
        <v>67.155441850000003</v>
      </c>
      <c r="AV516" s="6">
        <f>[1]Macro!AU103</f>
        <v>67.225323380000006</v>
      </c>
      <c r="AW516" s="6">
        <f>[1]Macro!AV103</f>
        <v>67.295934750000001</v>
      </c>
      <c r="AX516" s="6">
        <f>[1]Macro!AW103</f>
        <v>67.366615949999996</v>
      </c>
      <c r="AY516" s="6">
        <f>[1]Macro!AX103</f>
        <v>67.437275459999995</v>
      </c>
      <c r="AZ516" s="6">
        <f>[1]Macro!AY103</f>
        <v>67.507963880000005</v>
      </c>
      <c r="BA516" s="6">
        <f>[1]Macro!AZ103</f>
        <v>67.578791710000004</v>
      </c>
      <c r="BB516" s="6">
        <f>[1]Macro!BA103</f>
        <v>64.419719540000003</v>
      </c>
      <c r="BC516" s="6">
        <f>[1]Macro!BB103</f>
        <v>64.521376770000003</v>
      </c>
      <c r="BD516" s="6">
        <f>[1]Macro!BC103</f>
        <v>64.626029189999997</v>
      </c>
      <c r="BE516" s="6">
        <f>[1]Macro!BD103</f>
        <v>64.733579050000003</v>
      </c>
      <c r="BF516" s="6">
        <f>[1]Macro!BE103</f>
        <v>64.844110799999996</v>
      </c>
    </row>
    <row r="517" spans="2:58" x14ac:dyDescent="0.35">
      <c r="B517" s="6" t="str">
        <f>[1]Macro!A104</f>
        <v>x_toe_2</v>
      </c>
      <c r="C517" s="6">
        <f>[1]Macro!B104</f>
        <v>33.49639329</v>
      </c>
      <c r="D517" s="6">
        <f>[1]Macro!C104</f>
        <v>34.015451929999998</v>
      </c>
      <c r="E517" s="6">
        <f>[1]Macro!D104</f>
        <v>34.579974180000001</v>
      </c>
      <c r="F517" s="6">
        <f>[1]Macro!E104</f>
        <v>35.155947570000002</v>
      </c>
      <c r="G517" s="6">
        <f>[1]Macro!F104</f>
        <v>35.742645719999999</v>
      </c>
      <c r="H517" s="6">
        <f>[1]Macro!G104</f>
        <v>36.339240539999999</v>
      </c>
      <c r="I517" s="6">
        <f>[1]Macro!H104</f>
        <v>36.909916029999998</v>
      </c>
      <c r="J517" s="6">
        <f>[1]Macro!I104</f>
        <v>37.488417310000003</v>
      </c>
      <c r="K517" s="6">
        <f>[1]Macro!J104</f>
        <v>38.07463577</v>
      </c>
      <c r="L517" s="6">
        <f>[1]Macro!K104</f>
        <v>38.66863944</v>
      </c>
      <c r="M517" s="6">
        <f>[1]Macro!L104</f>
        <v>39.331919050000003</v>
      </c>
      <c r="N517" s="6">
        <f>[1]Macro!M104</f>
        <v>39.942781660000001</v>
      </c>
      <c r="O517" s="6">
        <f>[1]Macro!N104</f>
        <v>40.561987600000002</v>
      </c>
      <c r="P517" s="6">
        <f>[1]Macro!O104</f>
        <v>41.189818709999997</v>
      </c>
      <c r="Q517" s="6">
        <f>[1]Macro!P104</f>
        <v>41.826544439999999</v>
      </c>
      <c r="R517" s="6">
        <f>[1]Macro!Q104</f>
        <v>42.472423599999999</v>
      </c>
      <c r="S517" s="6">
        <f>[1]Macro!R104</f>
        <v>43.127708329999997</v>
      </c>
      <c r="T517" s="6">
        <f>[1]Macro!S104</f>
        <v>43.792652369999999</v>
      </c>
      <c r="U517" s="6">
        <f>[1]Macro!T104</f>
        <v>44.467513420000003</v>
      </c>
      <c r="V517" s="6">
        <f>[1]Macro!U104</f>
        <v>45.152553089999998</v>
      </c>
      <c r="W517" s="6">
        <f>[1]Macro!V104</f>
        <v>45.802313570000003</v>
      </c>
      <c r="X517" s="6">
        <f>[1]Macro!W104</f>
        <v>46.507988840000003</v>
      </c>
      <c r="Y517" s="6">
        <f>[1]Macro!X104</f>
        <v>47.224711689999999</v>
      </c>
      <c r="Z517" s="6">
        <f>[1]Macro!Y104</f>
        <v>47.952723030000001</v>
      </c>
      <c r="AA517" s="6">
        <f>[1]Macro!Z104</f>
        <v>48.692267260000001</v>
      </c>
      <c r="AB517" s="6">
        <f>[1]Macro!AA104</f>
        <v>49.311137690000002</v>
      </c>
      <c r="AC517" s="6">
        <f>[1]Macro!AB104</f>
        <v>50.010038110000004</v>
      </c>
      <c r="AD517" s="6">
        <f>[1]Macro!AC104</f>
        <v>50.719809939999998</v>
      </c>
      <c r="AE517" s="6">
        <f>[1]Macro!AD104</f>
        <v>51.44069167</v>
      </c>
      <c r="AF517" s="6">
        <f>[1]Macro!AE104</f>
        <v>52.172896969999996</v>
      </c>
      <c r="AG517" s="6">
        <f>[1]Macro!AF104</f>
        <v>52.916618040000003</v>
      </c>
      <c r="AH517" s="6">
        <f>[1]Macro!AG104</f>
        <v>53.672024180000001</v>
      </c>
      <c r="AI517" s="6">
        <f>[1]Macro!AH104</f>
        <v>54.439259139999997</v>
      </c>
      <c r="AJ517" s="6">
        <f>[1]Macro!AI104</f>
        <v>55.218442609999997</v>
      </c>
      <c r="AK517" s="6">
        <f>[1]Macro!AJ104</f>
        <v>56.009674390000001</v>
      </c>
      <c r="AL517" s="6">
        <f>[1]Macro!AK104</f>
        <v>56.813040190000002</v>
      </c>
      <c r="AM517" s="6">
        <f>[1]Macro!AL104</f>
        <v>57.59636304</v>
      </c>
      <c r="AN517" s="6">
        <f>[1]Macro!AM104</f>
        <v>58.391217349999998</v>
      </c>
      <c r="AO517" s="6">
        <f>[1]Macro!AN104</f>
        <v>59.19772468</v>
      </c>
      <c r="AP517" s="6">
        <f>[1]Macro!AO104</f>
        <v>60.015990690000002</v>
      </c>
      <c r="AQ517" s="6">
        <f>[1]Macro!AP104</f>
        <v>60.846111909999998</v>
      </c>
      <c r="AR517" s="6">
        <f>[1]Macro!AQ104</f>
        <v>61.68818237</v>
      </c>
      <c r="AS517" s="6">
        <f>[1]Macro!AR104</f>
        <v>62.542293430000001</v>
      </c>
      <c r="AT517" s="6">
        <f>[1]Macro!AS104</f>
        <v>63.40853414</v>
      </c>
      <c r="AU517" s="6">
        <f>[1]Macro!AT104</f>
        <v>64.286991630000003</v>
      </c>
      <c r="AV517" s="6">
        <f>[1]Macro!AU104</f>
        <v>65.177752260000005</v>
      </c>
      <c r="AW517" s="6">
        <f>[1]Macro!AV104</f>
        <v>66.084247730000001</v>
      </c>
      <c r="AX517" s="6">
        <f>[1]Macro!AW104</f>
        <v>67.004095019999994</v>
      </c>
      <c r="AY517" s="6">
        <f>[1]Macro!AX104</f>
        <v>67.937616399999996</v>
      </c>
      <c r="AZ517" s="6">
        <f>[1]Macro!AY104</f>
        <v>68.884978149999995</v>
      </c>
      <c r="BA517" s="6">
        <f>[1]Macro!AZ104</f>
        <v>69.846246100000002</v>
      </c>
      <c r="BB517" s="6">
        <f>[1]Macro!BA104</f>
        <v>76.153181029999999</v>
      </c>
      <c r="BC517" s="6">
        <f>[1]Macro!BB104</f>
        <v>77.474931299999994</v>
      </c>
      <c r="BD517" s="6">
        <f>[1]Macro!BC104</f>
        <v>78.820624289999998</v>
      </c>
      <c r="BE517" s="6">
        <f>[1]Macro!BD104</f>
        <v>80.190643519999995</v>
      </c>
      <c r="BF517" s="6">
        <f>[1]Macro!BE104</f>
        <v>81.585370549999993</v>
      </c>
    </row>
    <row r="518" spans="2:58" x14ac:dyDescent="0.35"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</row>
    <row r="519" spans="2:58" x14ac:dyDescent="0.35">
      <c r="B519" s="6" t="str">
        <f>[1]Macro!A105</f>
        <v>y_toe_0</v>
      </c>
      <c r="C519" s="6">
        <f>[1]Macro!B105</f>
        <v>139.60946379999999</v>
      </c>
      <c r="D519" s="6">
        <f>[1]Macro!C105</f>
        <v>140.73047399999999</v>
      </c>
      <c r="E519" s="6">
        <f>[1]Macro!D105</f>
        <v>141.77385989999999</v>
      </c>
      <c r="F519" s="6">
        <f>[1]Macro!E105</f>
        <v>142.88394790000001</v>
      </c>
      <c r="G519" s="6">
        <f>[1]Macro!F105</f>
        <v>144.10895930000001</v>
      </c>
      <c r="H519" s="6">
        <f>[1]Macro!G105</f>
        <v>145.444883</v>
      </c>
      <c r="I519" s="6">
        <f>[1]Macro!H105</f>
        <v>146.8033193</v>
      </c>
      <c r="J519" s="6">
        <f>[1]Macro!I105</f>
        <v>148.22522749999999</v>
      </c>
      <c r="K519" s="6">
        <f>[1]Macro!J105</f>
        <v>149.70516860000001</v>
      </c>
      <c r="L519" s="6">
        <f>[1]Macro!K105</f>
        <v>151.2344779</v>
      </c>
      <c r="M519" s="6">
        <f>[1]Macro!L105</f>
        <v>152.9470839</v>
      </c>
      <c r="N519" s="6">
        <f>[1]Macro!M105</f>
        <v>154.59721429999999</v>
      </c>
      <c r="O519" s="6">
        <f>[1]Macro!N105</f>
        <v>156.26138689999999</v>
      </c>
      <c r="P519" s="6">
        <f>[1]Macro!O105</f>
        <v>157.94662360000001</v>
      </c>
      <c r="Q519" s="6">
        <f>[1]Macro!P105</f>
        <v>159.65427800000001</v>
      </c>
      <c r="R519" s="6">
        <f>[1]Macro!Q105</f>
        <v>161.3850142</v>
      </c>
      <c r="S519" s="6">
        <f>[1]Macro!R105</f>
        <v>163.13938690000001</v>
      </c>
      <c r="T519" s="6">
        <f>[1]Macro!S105</f>
        <v>164.91788099999999</v>
      </c>
      <c r="U519" s="6">
        <f>[1]Macro!T105</f>
        <v>166.7209235</v>
      </c>
      <c r="V519" s="6">
        <f>[1]Macro!U105</f>
        <v>168.5489164</v>
      </c>
      <c r="W519" s="6">
        <f>[1]Macro!V105</f>
        <v>170.2986535</v>
      </c>
      <c r="X519" s="6">
        <f>[1]Macro!W105</f>
        <v>172.1468443</v>
      </c>
      <c r="Y519" s="6">
        <f>[1]Macro!X105</f>
        <v>174.0344091</v>
      </c>
      <c r="Z519" s="6">
        <f>[1]Macro!Y105</f>
        <v>175.95490029999999</v>
      </c>
      <c r="AA519" s="6">
        <f>[1]Macro!Z105</f>
        <v>177.90683329999999</v>
      </c>
      <c r="AB519" s="6">
        <f>[1]Macro!AA105</f>
        <v>179.5924746</v>
      </c>
      <c r="AC519" s="6">
        <f>[1]Macro!AB105</f>
        <v>181.37742890000001</v>
      </c>
      <c r="AD519" s="6">
        <f>[1]Macro!AC105</f>
        <v>183.18757930000001</v>
      </c>
      <c r="AE519" s="6">
        <f>[1]Macro!AD105</f>
        <v>185.02040690000001</v>
      </c>
      <c r="AF519" s="6">
        <f>[1]Macro!AE105</f>
        <v>186.8780295</v>
      </c>
      <c r="AG519" s="6">
        <f>[1]Macro!AF105</f>
        <v>188.76322060000001</v>
      </c>
      <c r="AH519" s="6">
        <f>[1]Macro!AG105</f>
        <v>190.67846059999999</v>
      </c>
      <c r="AI519" s="6">
        <f>[1]Macro!AH105</f>
        <v>192.6257124</v>
      </c>
      <c r="AJ519" s="6">
        <f>[1]Macro!AI105</f>
        <v>194.60640900000001</v>
      </c>
      <c r="AK519" s="6">
        <f>[1]Macro!AJ105</f>
        <v>196.62151969999999</v>
      </c>
      <c r="AL519" s="6">
        <f>[1]Macro!AK105</f>
        <v>198.67164579999999</v>
      </c>
      <c r="AM519" s="6">
        <f>[1]Macro!AL105</f>
        <v>200.68598080000001</v>
      </c>
      <c r="AN519" s="6">
        <f>[1]Macro!AM105</f>
        <v>202.71416830000001</v>
      </c>
      <c r="AO519" s="6">
        <f>[1]Macro!AN105</f>
        <v>204.7683959</v>
      </c>
      <c r="AP519" s="6">
        <f>[1]Macro!AO105</f>
        <v>206.85537969999999</v>
      </c>
      <c r="AQ519" s="6">
        <f>[1]Macro!AP105</f>
        <v>208.97810229999999</v>
      </c>
      <c r="AR519" s="6">
        <f>[1]Macro!AQ105</f>
        <v>211.12991550000001</v>
      </c>
      <c r="AS519" s="6">
        <f>[1]Macro!AR105</f>
        <v>213.3068044</v>
      </c>
      <c r="AT519" s="6">
        <f>[1]Macro!AS105</f>
        <v>215.5079211</v>
      </c>
      <c r="AU519" s="6">
        <f>[1]Macro!AT105</f>
        <v>217.7359189</v>
      </c>
      <c r="AV519" s="6">
        <f>[1]Macro!AU105</f>
        <v>219.9952255</v>
      </c>
      <c r="AW519" s="6">
        <f>[1]Macro!AV105</f>
        <v>222.29649839999999</v>
      </c>
      <c r="AX519" s="6">
        <f>[1]Macro!AW105</f>
        <v>224.63838139999999</v>
      </c>
      <c r="AY519" s="6">
        <f>[1]Macro!AX105</f>
        <v>227.02193460000001</v>
      </c>
      <c r="AZ519" s="6">
        <f>[1]Macro!AY105</f>
        <v>229.4476009</v>
      </c>
      <c r="BA519" s="6">
        <f>[1]Macro!AZ105</f>
        <v>231.91527579999999</v>
      </c>
      <c r="BB519" s="6">
        <f>[1]Macro!BA105</f>
        <v>248.76068989999999</v>
      </c>
      <c r="BC519" s="6">
        <f>[1]Macro!BB105</f>
        <v>252.16318720000001</v>
      </c>
      <c r="BD519" s="6">
        <f>[1]Macro!BC105</f>
        <v>255.6227614</v>
      </c>
      <c r="BE519" s="6">
        <f>[1]Macro!BD105</f>
        <v>259.14068689999999</v>
      </c>
      <c r="BF519" s="6">
        <f>[1]Macro!BE105</f>
        <v>262.7181764</v>
      </c>
    </row>
    <row r="520" spans="2:58" x14ac:dyDescent="0.35">
      <c r="B520" s="6" t="str">
        <f>[1]Macro!A106</f>
        <v>m_toe_0</v>
      </c>
      <c r="C520" s="6">
        <f>[1]Macro!B106</f>
        <v>151.40907390000001</v>
      </c>
      <c r="D520" s="6">
        <f>[1]Macro!C106</f>
        <v>152.68542070000001</v>
      </c>
      <c r="E520" s="6">
        <f>[1]Macro!D106</f>
        <v>153.89272020000001</v>
      </c>
      <c r="F520" s="6">
        <f>[1]Macro!E106</f>
        <v>155.1980532</v>
      </c>
      <c r="G520" s="6">
        <f>[1]Macro!F106</f>
        <v>156.65502050000001</v>
      </c>
      <c r="H520" s="6">
        <f>[1]Macro!G106</f>
        <v>158.2586708</v>
      </c>
      <c r="I520" s="6">
        <f>[1]Macro!H106</f>
        <v>159.91270850000001</v>
      </c>
      <c r="J520" s="6">
        <f>[1]Macro!I106</f>
        <v>161.65442959999999</v>
      </c>
      <c r="K520" s="6">
        <f>[1]Macro!J106</f>
        <v>163.476069</v>
      </c>
      <c r="L520" s="6">
        <f>[1]Macro!K106</f>
        <v>165.3650681</v>
      </c>
      <c r="M520" s="6">
        <f>[1]Macro!L106</f>
        <v>167.4647119</v>
      </c>
      <c r="N520" s="6">
        <f>[1]Macro!M106</f>
        <v>169.51289639999999</v>
      </c>
      <c r="O520" s="6">
        <f>[1]Macro!N106</f>
        <v>171.58095209999999</v>
      </c>
      <c r="P520" s="6">
        <f>[1]Macro!O106</f>
        <v>173.67848040000001</v>
      </c>
      <c r="Q520" s="6">
        <f>[1]Macro!P106</f>
        <v>175.8061778</v>
      </c>
      <c r="R520" s="6">
        <f>[1]Macro!Q106</f>
        <v>177.96369630000001</v>
      </c>
      <c r="S520" s="6">
        <f>[1]Macro!R106</f>
        <v>180.15073079999999</v>
      </c>
      <c r="T520" s="6">
        <f>[1]Macro!S106</f>
        <v>182.36708569999999</v>
      </c>
      <c r="U520" s="6">
        <f>[1]Macro!T106</f>
        <v>184.61263629999999</v>
      </c>
      <c r="V520" s="6">
        <f>[1]Macro!U106</f>
        <v>186.88731300000001</v>
      </c>
      <c r="W520" s="6">
        <f>[1]Macro!V106</f>
        <v>189.0776176</v>
      </c>
      <c r="X520" s="6">
        <f>[1]Macro!W106</f>
        <v>191.37097700000001</v>
      </c>
      <c r="Y520" s="6">
        <f>[1]Macro!X106</f>
        <v>193.71036050000001</v>
      </c>
      <c r="Z520" s="6">
        <f>[1]Macro!Y106</f>
        <v>196.08601830000001</v>
      </c>
      <c r="AA520" s="6">
        <f>[1]Macro!Z106</f>
        <v>198.49582789999999</v>
      </c>
      <c r="AB520" s="6">
        <f>[1]Macro!AA106</f>
        <v>200.61259050000001</v>
      </c>
      <c r="AC520" s="6">
        <f>[1]Macro!AB106</f>
        <v>202.82101080000001</v>
      </c>
      <c r="AD520" s="6">
        <f>[1]Macro!AC106</f>
        <v>205.0552351</v>
      </c>
      <c r="AE520" s="6">
        <f>[1]Macro!AD106</f>
        <v>207.30889790000001</v>
      </c>
      <c r="AF520" s="6">
        <f>[1]Macro!AE106</f>
        <v>209.5839599</v>
      </c>
      <c r="AG520" s="6">
        <f>[1]Macro!AF106</f>
        <v>211.88369059999999</v>
      </c>
      <c r="AH520" s="6">
        <f>[1]Macro!AG106</f>
        <v>214.2111428</v>
      </c>
      <c r="AI520" s="6">
        <f>[1]Macro!AH106</f>
        <v>216.5688365</v>
      </c>
      <c r="AJ520" s="6">
        <f>[1]Macro!AI106</f>
        <v>218.95873570000001</v>
      </c>
      <c r="AK520" s="6">
        <f>[1]Macro!AJ106</f>
        <v>221.38231239999999</v>
      </c>
      <c r="AL520" s="6">
        <f>[1]Macro!AK106</f>
        <v>223.84063620000001</v>
      </c>
      <c r="AM520" s="6">
        <f>[1]Macro!AL106</f>
        <v>226.2560665</v>
      </c>
      <c r="AN520" s="6">
        <f>[1]Macro!AM106</f>
        <v>228.67962840000001</v>
      </c>
      <c r="AO520" s="6">
        <f>[1]Macro!AN106</f>
        <v>231.12552840000001</v>
      </c>
      <c r="AP520" s="6">
        <f>[1]Macro!AO106</f>
        <v>233.6003766</v>
      </c>
      <c r="AQ520" s="6">
        <f>[1]Macro!AP106</f>
        <v>236.107146</v>
      </c>
      <c r="AR520" s="6">
        <f>[1]Macro!AQ106</f>
        <v>238.6356226</v>
      </c>
      <c r="AS520" s="6">
        <f>[1]Macro!AR106</f>
        <v>241.18402320000001</v>
      </c>
      <c r="AT520" s="6">
        <f>[1]Macro!AS106</f>
        <v>243.75379129999999</v>
      </c>
      <c r="AU520" s="6">
        <f>[1]Macro!AT106</f>
        <v>246.34918909999999</v>
      </c>
      <c r="AV520" s="6">
        <f>[1]Macro!AU106</f>
        <v>248.97578859999999</v>
      </c>
      <c r="AW520" s="6">
        <f>[1]Macro!AV106</f>
        <v>251.64578969999999</v>
      </c>
      <c r="AX520" s="6">
        <f>[1]Macro!AW106</f>
        <v>254.35846839999999</v>
      </c>
      <c r="AY520" s="6">
        <f>[1]Macro!AX106</f>
        <v>257.11525590000002</v>
      </c>
      <c r="AZ520" s="6">
        <f>[1]Macro!AY106</f>
        <v>259.91706360000001</v>
      </c>
      <c r="BA520" s="6">
        <f>[1]Macro!AZ106</f>
        <v>262.76419420000002</v>
      </c>
      <c r="BB520" s="6">
        <f>[1]Macro!BA106</f>
        <v>289.18244320000002</v>
      </c>
      <c r="BC520" s="6">
        <f>[1]Macro!BB106</f>
        <v>293.36051500000002</v>
      </c>
      <c r="BD520" s="6">
        <f>[1]Macro!BC106</f>
        <v>297.60425559999999</v>
      </c>
      <c r="BE520" s="6">
        <f>[1]Macro!BD106</f>
        <v>301.9153384</v>
      </c>
      <c r="BF520" s="6">
        <f>[1]Macro!BE106</f>
        <v>306.29544920000001</v>
      </c>
    </row>
    <row r="521" spans="2:58" x14ac:dyDescent="0.35">
      <c r="B521" s="6" t="str">
        <f>[1]Macro!A107</f>
        <v>ci_toe_0</v>
      </c>
      <c r="C521" s="6">
        <f>[1]Macro!B107</f>
        <v>193.22032680000001</v>
      </c>
      <c r="D521" s="6">
        <f>[1]Macro!C107</f>
        <v>195.1524143</v>
      </c>
      <c r="E521" s="6">
        <f>[1]Macro!D107</f>
        <v>197.09732220000001</v>
      </c>
      <c r="F521" s="6">
        <f>[1]Macro!E107</f>
        <v>199.19606759999999</v>
      </c>
      <c r="G521" s="6">
        <f>[1]Macro!F107</f>
        <v>201.49413999999999</v>
      </c>
      <c r="H521" s="6">
        <f>[1]Macro!G107</f>
        <v>203.98491899999999</v>
      </c>
      <c r="I521" s="6">
        <f>[1]Macro!H107</f>
        <v>206.53080890000001</v>
      </c>
      <c r="J521" s="6">
        <f>[1]Macro!I107</f>
        <v>209.1769946</v>
      </c>
      <c r="K521" s="6">
        <f>[1]Macro!J107</f>
        <v>211.9195824</v>
      </c>
      <c r="L521" s="6">
        <f>[1]Macro!K107</f>
        <v>214.74694830000001</v>
      </c>
      <c r="M521" s="6">
        <f>[1]Macro!L107</f>
        <v>217.85319809999999</v>
      </c>
      <c r="N521" s="6">
        <f>[1]Macro!M107</f>
        <v>220.9016474</v>
      </c>
      <c r="O521" s="6">
        <f>[1]Macro!N107</f>
        <v>223.97558179999999</v>
      </c>
      <c r="P521" s="6">
        <f>[1]Macro!O107</f>
        <v>227.0903697</v>
      </c>
      <c r="Q521" s="6">
        <f>[1]Macro!P107</f>
        <v>230.24748579999999</v>
      </c>
      <c r="R521" s="6">
        <f>[1]Macro!Q107</f>
        <v>233.44622380000001</v>
      </c>
      <c r="S521" s="6">
        <f>[1]Macro!R107</f>
        <v>236.68587049999999</v>
      </c>
      <c r="T521" s="6">
        <f>[1]Macro!S107</f>
        <v>239.966016</v>
      </c>
      <c r="U521" s="6">
        <f>[1]Macro!T107</f>
        <v>243.28653980000001</v>
      </c>
      <c r="V521" s="6">
        <f>[1]Macro!U107</f>
        <v>246.6475657</v>
      </c>
      <c r="W521" s="6">
        <f>[1]Macro!V107</f>
        <v>249.8976151</v>
      </c>
      <c r="X521" s="6">
        <f>[1]Macro!W107</f>
        <v>253.2807947</v>
      </c>
      <c r="Y521" s="6">
        <f>[1]Macro!X107</f>
        <v>256.73123650000002</v>
      </c>
      <c r="Z521" s="6">
        <f>[1]Macro!Y107</f>
        <v>260.23509840000003</v>
      </c>
      <c r="AA521" s="6">
        <f>[1]Macro!Z107</f>
        <v>263.78979700000002</v>
      </c>
      <c r="AB521" s="6">
        <f>[1]Macro!AA107</f>
        <v>266.95684840000001</v>
      </c>
      <c r="AC521" s="6">
        <f>[1]Macro!AB107</f>
        <v>270.23182450000002</v>
      </c>
      <c r="AD521" s="6">
        <f>[1]Macro!AC107</f>
        <v>273.54586160000002</v>
      </c>
      <c r="AE521" s="6">
        <f>[1]Macro!AD107</f>
        <v>276.8906346</v>
      </c>
      <c r="AF521" s="6">
        <f>[1]Macro!AE107</f>
        <v>280.27016529999997</v>
      </c>
      <c r="AG521" s="6">
        <f>[1]Macro!AF107</f>
        <v>283.69013519999999</v>
      </c>
      <c r="AH521" s="6">
        <f>[1]Macro!AG107</f>
        <v>287.15560290000002</v>
      </c>
      <c r="AI521" s="6">
        <f>[1]Macro!AH107</f>
        <v>290.67056600000001</v>
      </c>
      <c r="AJ521" s="6">
        <f>[1]Macro!AI107</f>
        <v>294.23797130000003</v>
      </c>
      <c r="AK521" s="6">
        <f>[1]Macro!AJ107</f>
        <v>297.85985460000001</v>
      </c>
      <c r="AL521" s="6">
        <f>[1]Macro!AK107</f>
        <v>301.53751879999999</v>
      </c>
      <c r="AM521" s="6">
        <f>[1]Macro!AL107</f>
        <v>305.16592250000002</v>
      </c>
      <c r="AN521" s="6">
        <f>[1]Macro!AM107</f>
        <v>308.80835949999999</v>
      </c>
      <c r="AO521" s="6">
        <f>[1]Macro!AN107</f>
        <v>312.4821652</v>
      </c>
      <c r="AP521" s="6">
        <f>[1]Macro!AO107</f>
        <v>316.19477979999999</v>
      </c>
      <c r="AQ521" s="6">
        <f>[1]Macro!AP107</f>
        <v>319.9510788</v>
      </c>
      <c r="AR521" s="6">
        <f>[1]Macro!AQ107</f>
        <v>323.73936329999998</v>
      </c>
      <c r="AS521" s="6">
        <f>[1]Macro!AR107</f>
        <v>327.56421280000001</v>
      </c>
      <c r="AT521" s="6">
        <f>[1]Macro!AS107</f>
        <v>331.43361779999998</v>
      </c>
      <c r="AU521" s="6">
        <f>[1]Macro!AT107</f>
        <v>335.35545680000001</v>
      </c>
      <c r="AV521" s="6">
        <f>[1]Macro!AU107</f>
        <v>339.33619429999999</v>
      </c>
      <c r="AW521" s="6">
        <f>[1]Macro!AV107</f>
        <v>343.3899533</v>
      </c>
      <c r="AX521" s="6">
        <f>[1]Macro!AW107</f>
        <v>347.5137474</v>
      </c>
      <c r="AY521" s="6">
        <f>[1]Macro!AX107</f>
        <v>351.70735630000001</v>
      </c>
      <c r="AZ521" s="6">
        <f>[1]Macro!AY107</f>
        <v>355.97051040000002</v>
      </c>
      <c r="BA521" s="6">
        <f>[1]Macro!AZ107</f>
        <v>360.3025892</v>
      </c>
      <c r="BB521" s="6">
        <f>[1]Macro!BA107</f>
        <v>395.34974249999999</v>
      </c>
      <c r="BC521" s="6">
        <f>[1]Macro!BB107</f>
        <v>401.4616911</v>
      </c>
      <c r="BD521" s="6">
        <f>[1]Macro!BC107</f>
        <v>407.67003840000001</v>
      </c>
      <c r="BE521" s="6">
        <f>[1]Macro!BD107</f>
        <v>413.97701210000002</v>
      </c>
      <c r="BF521" s="6">
        <f>[1]Macro!BE107</f>
        <v>420.38488769999998</v>
      </c>
    </row>
    <row r="522" spans="2:58" x14ac:dyDescent="0.35">
      <c r="B522" s="6" t="str">
        <f>[1]Macro!A108</f>
        <v>ch_toe_0</v>
      </c>
      <c r="C522" s="6">
        <f>[1]Macro!B108</f>
        <v>64.301440170000006</v>
      </c>
      <c r="D522" s="6">
        <f>[1]Macro!C108</f>
        <v>64.246862460000003</v>
      </c>
      <c r="E522" s="6">
        <f>[1]Macro!D108</f>
        <v>63.987110510000001</v>
      </c>
      <c r="F522" s="6">
        <f>[1]Macro!E108</f>
        <v>63.726781899999999</v>
      </c>
      <c r="G522" s="6">
        <f>[1]Macro!F108</f>
        <v>63.5230277</v>
      </c>
      <c r="H522" s="6">
        <f>[1]Macro!G108</f>
        <v>63.374323330000003</v>
      </c>
      <c r="I522" s="6">
        <f>[1]Macro!H108</f>
        <v>63.269339819999999</v>
      </c>
      <c r="J522" s="6">
        <f>[1]Macro!I108</f>
        <v>63.207349200000003</v>
      </c>
      <c r="K522" s="6">
        <f>[1]Macro!J108</f>
        <v>63.179119729999996</v>
      </c>
      <c r="L522" s="6">
        <f>[1]Macro!K108</f>
        <v>63.174972789999998</v>
      </c>
      <c r="M522" s="6">
        <f>[1]Macro!L108</f>
        <v>63.216511509999997</v>
      </c>
      <c r="N522" s="6">
        <f>[1]Macro!M108</f>
        <v>63.254272620000002</v>
      </c>
      <c r="O522" s="6">
        <f>[1]Macro!N108</f>
        <v>63.29205254</v>
      </c>
      <c r="P522" s="6">
        <f>[1]Macro!O108</f>
        <v>63.330832270000002</v>
      </c>
      <c r="Q522" s="6">
        <f>[1]Macro!P108</f>
        <v>63.370926560000001</v>
      </c>
      <c r="R522" s="6">
        <f>[1]Macro!Q108</f>
        <v>63.413108770000001</v>
      </c>
      <c r="S522" s="6">
        <f>[1]Macro!R108</f>
        <v>63.458096990000001</v>
      </c>
      <c r="T522" s="6">
        <f>[1]Macro!S108</f>
        <v>63.506344970000001</v>
      </c>
      <c r="U522" s="6">
        <f>[1]Macro!T108</f>
        <v>63.558024340000003</v>
      </c>
      <c r="V522" s="6">
        <f>[1]Macro!U108</f>
        <v>63.613086690000003</v>
      </c>
      <c r="W522" s="6">
        <f>[1]Macro!V108</f>
        <v>63.651788850000003</v>
      </c>
      <c r="X522" s="6">
        <f>[1]Macro!W108</f>
        <v>63.70291709</v>
      </c>
      <c r="Y522" s="6">
        <f>[1]Macro!X108</f>
        <v>63.761115480000001</v>
      </c>
      <c r="Z522" s="6">
        <f>[1]Macro!Y108</f>
        <v>63.823782600000001</v>
      </c>
      <c r="AA522" s="6">
        <f>[1]Macro!Z108</f>
        <v>63.889644160000003</v>
      </c>
      <c r="AB522" s="6">
        <f>[1]Macro!AA108</f>
        <v>63.904536980000003</v>
      </c>
      <c r="AC522" s="6">
        <f>[1]Macro!AB108</f>
        <v>63.922360390000001</v>
      </c>
      <c r="AD522" s="6">
        <f>[1]Macro!AC108</f>
        <v>63.941205359999998</v>
      </c>
      <c r="AE522" s="6">
        <f>[1]Macro!AD108</f>
        <v>63.960270770000001</v>
      </c>
      <c r="AF522" s="6">
        <f>[1]Macro!AE108</f>
        <v>63.979396029999997</v>
      </c>
      <c r="AG522" s="6">
        <f>[1]Macro!AF108</f>
        <v>63.9987475</v>
      </c>
      <c r="AH522" s="6">
        <f>[1]Macro!AG108</f>
        <v>64.018629349999998</v>
      </c>
      <c r="AI522" s="6">
        <f>[1]Macro!AH108</f>
        <v>64.039381629999994</v>
      </c>
      <c r="AJ522" s="6">
        <f>[1]Macro!AI108</f>
        <v>64.061333739999995</v>
      </c>
      <c r="AK522" s="6">
        <f>[1]Macro!AJ108</f>
        <v>64.084789939999993</v>
      </c>
      <c r="AL522" s="6">
        <f>[1]Macro!AK108</f>
        <v>64.110031480000004</v>
      </c>
      <c r="AM522" s="6">
        <f>[1]Macro!AL108</f>
        <v>64.125866650000006</v>
      </c>
      <c r="AN522" s="6">
        <f>[1]Macro!AM108</f>
        <v>64.138072359999995</v>
      </c>
      <c r="AO522" s="6">
        <f>[1]Macro!AN108</f>
        <v>64.155596070000001</v>
      </c>
      <c r="AP522" s="6">
        <f>[1]Macro!AO108</f>
        <v>64.18423568</v>
      </c>
      <c r="AQ522" s="6">
        <f>[1]Macro!AP108</f>
        <v>64.224990509999998</v>
      </c>
      <c r="AR522" s="6">
        <f>[1]Macro!AQ108</f>
        <v>64.272332059999997</v>
      </c>
      <c r="AS522" s="6">
        <f>[1]Macro!AR108</f>
        <v>64.315504180000005</v>
      </c>
      <c r="AT522" s="6">
        <f>[1]Macro!AS108</f>
        <v>64.346826500000006</v>
      </c>
      <c r="AU522" s="6">
        <f>[1]Macro!AT108</f>
        <v>64.365162690000005</v>
      </c>
      <c r="AV522" s="6">
        <f>[1]Macro!AU108</f>
        <v>64.373963619999998</v>
      </c>
      <c r="AW522" s="6">
        <f>[1]Macro!AV108</f>
        <v>64.378993750000006</v>
      </c>
      <c r="AX522" s="6">
        <f>[1]Macro!AW108</f>
        <v>64.384024229999994</v>
      </c>
      <c r="AY522" s="6">
        <f>[1]Macro!AX108</f>
        <v>64.391764679999994</v>
      </c>
      <c r="AZ522" s="6">
        <f>[1]Macro!AY108</f>
        <v>64.40382382</v>
      </c>
      <c r="BA522" s="6">
        <f>[1]Macro!AZ108</f>
        <v>64.420986940000006</v>
      </c>
      <c r="BB522" s="6">
        <f>[1]Macro!BA108</f>
        <v>66.181774820000001</v>
      </c>
      <c r="BC522" s="6">
        <f>[1]Macro!BB108</f>
        <v>66.315964530000002</v>
      </c>
      <c r="BD522" s="6">
        <f>[1]Macro!BC108</f>
        <v>66.452371409999998</v>
      </c>
      <c r="BE522" s="6">
        <f>[1]Macro!BD108</f>
        <v>66.591310300000004</v>
      </c>
      <c r="BF522" s="6">
        <f>[1]Macro!BE108</f>
        <v>66.732995119999998</v>
      </c>
    </row>
    <row r="523" spans="2:58" x14ac:dyDescent="0.35">
      <c r="B523" s="6" t="str">
        <f>[1]Macro!A109</f>
        <v>x_toe_0</v>
      </c>
      <c r="C523" s="6">
        <f>[1]Macro!B109</f>
        <v>33.49677071</v>
      </c>
      <c r="D523" s="6">
        <f>[1]Macro!C109</f>
        <v>34.016617979999999</v>
      </c>
      <c r="E523" s="6">
        <f>[1]Macro!D109</f>
        <v>34.582147419999998</v>
      </c>
      <c r="F523" s="6">
        <f>[1]Macro!E109</f>
        <v>35.159151600000001</v>
      </c>
      <c r="G523" s="6">
        <f>[1]Macro!F109</f>
        <v>35.746812210000002</v>
      </c>
      <c r="H523" s="6">
        <f>[1]Macro!G109</f>
        <v>36.344311429999998</v>
      </c>
      <c r="I523" s="6">
        <f>[1]Macro!H109</f>
        <v>36.915879060000002</v>
      </c>
      <c r="J523" s="6">
        <f>[1]Macro!I109</f>
        <v>37.495313240000002</v>
      </c>
      <c r="K523" s="6">
        <f>[1]Macro!J109</f>
        <v>38.082535450000002</v>
      </c>
      <c r="L523" s="6">
        <f>[1]Macro!K109</f>
        <v>38.677624940000001</v>
      </c>
      <c r="M523" s="6">
        <f>[1]Macro!L109</f>
        <v>39.34208624</v>
      </c>
      <c r="N523" s="6">
        <f>[1]Macro!M109</f>
        <v>39.954190670000003</v>
      </c>
      <c r="O523" s="6">
        <f>[1]Macro!N109</f>
        <v>40.574704789999998</v>
      </c>
      <c r="P523" s="6">
        <f>[1]Macro!O109</f>
        <v>41.20390209</v>
      </c>
      <c r="Q523" s="6">
        <f>[1]Macro!P109</f>
        <v>41.842043420000003</v>
      </c>
      <c r="R523" s="6">
        <f>[1]Macro!Q109</f>
        <v>42.489377990000001</v>
      </c>
      <c r="S523" s="6">
        <f>[1]Macro!R109</f>
        <v>43.146150159999998</v>
      </c>
      <c r="T523" s="6">
        <f>[1]Macro!S109</f>
        <v>43.812605750000003</v>
      </c>
      <c r="U523" s="6">
        <f>[1]Macro!T109</f>
        <v>44.488995629999998</v>
      </c>
      <c r="V523" s="6">
        <f>[1]Macro!U109</f>
        <v>45.175576999999997</v>
      </c>
      <c r="W523" s="6">
        <f>[1]Macro!V109</f>
        <v>45.826867069999999</v>
      </c>
      <c r="X523" s="6">
        <f>[1]Macro!W109</f>
        <v>46.53410942</v>
      </c>
      <c r="Y523" s="6">
        <f>[1]Macro!X109</f>
        <v>47.252417569999999</v>
      </c>
      <c r="Z523" s="6">
        <f>[1]Macro!Y109</f>
        <v>47.982037640000001</v>
      </c>
      <c r="AA523" s="6">
        <f>[1]Macro!Z109</f>
        <v>48.723220060000003</v>
      </c>
      <c r="AB523" s="6">
        <f>[1]Macro!AA109</f>
        <v>49.343679719999997</v>
      </c>
      <c r="AC523" s="6">
        <f>[1]Macro!AB109</f>
        <v>50.04425483</v>
      </c>
      <c r="AD523" s="6">
        <f>[1]Macro!AC109</f>
        <v>50.755747329999998</v>
      </c>
      <c r="AE523" s="6">
        <f>[1]Macro!AD109</f>
        <v>51.478399449999998</v>
      </c>
      <c r="AF523" s="6">
        <f>[1]Macro!AE109</f>
        <v>52.212428150000001</v>
      </c>
      <c r="AG523" s="6">
        <f>[1]Macro!AF109</f>
        <v>52.958028480000003</v>
      </c>
      <c r="AH523" s="6">
        <f>[1]Macro!AG109</f>
        <v>53.715371189999999</v>
      </c>
      <c r="AI523" s="6">
        <f>[1]Macro!AH109</f>
        <v>54.484601300000001</v>
      </c>
      <c r="AJ523" s="6">
        <f>[1]Macro!AI109</f>
        <v>55.265839710000002</v>
      </c>
      <c r="AK523" s="6">
        <f>[1]Macro!AJ109</f>
        <v>56.0591875</v>
      </c>
      <c r="AL523" s="6">
        <f>[1]Macro!AK109</f>
        <v>56.864731720000002</v>
      </c>
      <c r="AM523" s="6">
        <f>[1]Macro!AL109</f>
        <v>57.65025816</v>
      </c>
      <c r="AN523" s="6">
        <f>[1]Macro!AM109</f>
        <v>58.44736486</v>
      </c>
      <c r="AO523" s="6">
        <f>[1]Macro!AN109</f>
        <v>59.256163010000002</v>
      </c>
      <c r="AP523" s="6">
        <f>[1]Macro!AO109</f>
        <v>60.076740839999999</v>
      </c>
      <c r="AQ523" s="6">
        <f>[1]Macro!AP109</f>
        <v>60.909179090000002</v>
      </c>
      <c r="AR523" s="6">
        <f>[1]Macro!AQ109</f>
        <v>61.753842730000002</v>
      </c>
      <c r="AS523" s="6">
        <f>[1]Macro!AR109</f>
        <v>62.61111064</v>
      </c>
      <c r="AT523" s="6">
        <f>[1]Macro!AS109</f>
        <v>63.48126808</v>
      </c>
      <c r="AU523" s="6">
        <f>[1]Macro!AT109</f>
        <v>64.364488530000003</v>
      </c>
      <c r="AV523" s="6">
        <f>[1]Macro!AU109</f>
        <v>65.260856230000002</v>
      </c>
      <c r="AW523" s="6">
        <f>[1]Macro!AV109</f>
        <v>66.17334099</v>
      </c>
      <c r="AX523" s="6">
        <f>[1]Macro!AW109</f>
        <v>67.099078140000003</v>
      </c>
      <c r="AY523" s="6">
        <f>[1]Macro!AX109</f>
        <v>68.038069519999993</v>
      </c>
      <c r="AZ523" s="6">
        <f>[1]Macro!AY109</f>
        <v>68.990330369999995</v>
      </c>
      <c r="BA523" s="6">
        <f>[1]Macro!AZ109</f>
        <v>69.955893799999998</v>
      </c>
      <c r="BB523" s="6">
        <f>[1]Macro!BA109</f>
        <v>76.411615780000005</v>
      </c>
      <c r="BC523" s="6">
        <f>[1]Macro!BB109</f>
        <v>77.746046530000001</v>
      </c>
      <c r="BD523" s="6">
        <f>[1]Macro!BC109</f>
        <v>79.104607090000002</v>
      </c>
      <c r="BE523" s="6">
        <f>[1]Macro!BD109</f>
        <v>80.487702900000002</v>
      </c>
      <c r="BF523" s="6">
        <f>[1]Macro!BE109</f>
        <v>81.895742740000003</v>
      </c>
    </row>
    <row r="525" spans="2:58" x14ac:dyDescent="0.35">
      <c r="C525" s="2">
        <v>42005</v>
      </c>
      <c r="D525" s="2">
        <v>42370</v>
      </c>
      <c r="E525" s="2">
        <v>42736</v>
      </c>
      <c r="F525" s="2">
        <v>43101</v>
      </c>
      <c r="G525" s="2">
        <v>43466</v>
      </c>
      <c r="H525" s="2">
        <v>43831</v>
      </c>
      <c r="I525" s="2">
        <v>44197</v>
      </c>
      <c r="J525" s="2">
        <v>44562</v>
      </c>
      <c r="K525" s="2">
        <v>44927</v>
      </c>
      <c r="L525" s="2">
        <v>45292</v>
      </c>
      <c r="M525" s="2">
        <v>45658</v>
      </c>
      <c r="N525" s="2">
        <v>46023</v>
      </c>
      <c r="O525" s="2">
        <v>46388</v>
      </c>
      <c r="P525" s="2">
        <v>46753</v>
      </c>
      <c r="Q525" s="2">
        <v>47119</v>
      </c>
      <c r="R525" s="2">
        <v>47484</v>
      </c>
      <c r="S525" s="2">
        <v>47849</v>
      </c>
      <c r="T525" s="2">
        <v>48214</v>
      </c>
      <c r="U525" s="2">
        <v>48580</v>
      </c>
      <c r="V525" s="2">
        <v>48945</v>
      </c>
      <c r="W525" s="2">
        <v>49310</v>
      </c>
      <c r="X525" s="2">
        <v>49675</v>
      </c>
      <c r="Y525" s="2">
        <v>50041</v>
      </c>
      <c r="Z525" s="2">
        <v>50406</v>
      </c>
      <c r="AA525" s="2">
        <v>50771</v>
      </c>
      <c r="AB525" s="2">
        <v>51136</v>
      </c>
      <c r="AC525" s="2">
        <v>51502</v>
      </c>
      <c r="AD525" s="2">
        <v>51867</v>
      </c>
      <c r="AE525" s="2">
        <v>52232</v>
      </c>
      <c r="AF525" s="2">
        <v>52597</v>
      </c>
      <c r="AG525" s="2">
        <v>52963</v>
      </c>
      <c r="AH525" s="2">
        <v>53328</v>
      </c>
      <c r="AI525" s="2">
        <v>53693</v>
      </c>
      <c r="AJ525" s="2">
        <v>54058</v>
      </c>
      <c r="AK525" s="2">
        <v>54424</v>
      </c>
      <c r="AL525" s="2">
        <v>54789</v>
      </c>
      <c r="AM525" s="2">
        <v>54790</v>
      </c>
      <c r="AN525" s="2">
        <v>54791</v>
      </c>
      <c r="AO525" s="2">
        <v>54792</v>
      </c>
      <c r="AP525" s="2">
        <v>54793</v>
      </c>
      <c r="AQ525" s="2">
        <v>54794</v>
      </c>
      <c r="AR525" s="2">
        <v>54795</v>
      </c>
      <c r="AS525" s="2">
        <v>54796</v>
      </c>
      <c r="AT525" s="2">
        <v>54797</v>
      </c>
      <c r="AU525" s="2">
        <v>54798</v>
      </c>
      <c r="AV525" s="2">
        <v>54799</v>
      </c>
      <c r="AW525" s="2">
        <v>54800</v>
      </c>
      <c r="AX525" s="2">
        <v>54801</v>
      </c>
      <c r="AY525" s="2">
        <v>54802</v>
      </c>
      <c r="AZ525" s="2">
        <v>54803</v>
      </c>
      <c r="BA525" s="2">
        <v>54804</v>
      </c>
      <c r="BB525" s="2">
        <v>54805</v>
      </c>
      <c r="BC525" s="2">
        <v>54806</v>
      </c>
      <c r="BD525" s="2">
        <v>54807</v>
      </c>
      <c r="BE525" s="2">
        <v>54808</v>
      </c>
      <c r="BF525" s="2">
        <v>54809</v>
      </c>
    </row>
    <row r="526" spans="2:58" x14ac:dyDescent="0.35">
      <c r="B526" t="s">
        <v>105</v>
      </c>
      <c r="C526" s="9">
        <f>C513/C519-1</f>
        <v>1.1666114571928787E-5</v>
      </c>
      <c r="D526" s="9">
        <f t="shared" ref="D526:AL526" si="330">D513/D519-1</f>
        <v>3.3318938441162516E-4</v>
      </c>
      <c r="E526" s="9">
        <f t="shared" si="330"/>
        <v>5.6051799715439721E-4</v>
      </c>
      <c r="F526" s="9">
        <f t="shared" si="330"/>
        <v>7.6326838390761154E-4</v>
      </c>
      <c r="G526" s="9">
        <f t="shared" si="330"/>
        <v>1.0037710403476563E-3</v>
      </c>
      <c r="H526" s="9">
        <f t="shared" si="330"/>
        <v>1.3383138408520345E-3</v>
      </c>
      <c r="I526" s="9">
        <f t="shared" si="330"/>
        <v>1.7034934985968864E-3</v>
      </c>
      <c r="J526" s="9">
        <f t="shared" si="330"/>
        <v>2.0587386178916312E-3</v>
      </c>
      <c r="K526" s="9">
        <f t="shared" si="330"/>
        <v>2.3885775176901713E-3</v>
      </c>
      <c r="L526" s="9">
        <f t="shared" si="330"/>
        <v>2.6904632174484799E-3</v>
      </c>
      <c r="M526" s="9">
        <f t="shared" si="330"/>
        <v>2.9649934371844822E-3</v>
      </c>
      <c r="N526" s="9">
        <f t="shared" si="330"/>
        <v>3.2239643014058128E-3</v>
      </c>
      <c r="O526" s="9">
        <f t="shared" si="330"/>
        <v>3.4709112133191056E-3</v>
      </c>
      <c r="P526" s="9">
        <f t="shared" si="330"/>
        <v>3.7101008343427555E-3</v>
      </c>
      <c r="Q526" s="9">
        <f t="shared" si="330"/>
        <v>3.9432328897568425E-3</v>
      </c>
      <c r="R526" s="9">
        <f t="shared" si="330"/>
        <v>4.1679030939416606E-3</v>
      </c>
      <c r="S526" s="9">
        <f t="shared" si="330"/>
        <v>4.3829372758297236E-3</v>
      </c>
      <c r="T526" s="9">
        <f t="shared" si="330"/>
        <v>4.5859484454568999E-3</v>
      </c>
      <c r="U526" s="9">
        <f t="shared" si="330"/>
        <v>4.7766799948176786E-3</v>
      </c>
      <c r="V526" s="9">
        <f t="shared" si="330"/>
        <v>4.9562923206072362E-3</v>
      </c>
      <c r="W526" s="9">
        <f t="shared" si="330"/>
        <v>5.129978317767403E-3</v>
      </c>
      <c r="X526" s="9">
        <f t="shared" si="330"/>
        <v>5.2940772960774485E-3</v>
      </c>
      <c r="Y526" s="9">
        <f t="shared" si="330"/>
        <v>5.4522137599513076E-3</v>
      </c>
      <c r="Z526" s="9">
        <f t="shared" si="330"/>
        <v>5.6055341358403066E-3</v>
      </c>
      <c r="AA526" s="9">
        <f t="shared" si="330"/>
        <v>5.7543467050178432E-3</v>
      </c>
      <c r="AB526" s="9">
        <f t="shared" si="330"/>
        <v>5.9091161941147163E-3</v>
      </c>
      <c r="AC526" s="9">
        <f t="shared" si="330"/>
        <v>6.0557557059954803E-3</v>
      </c>
      <c r="AD526" s="9">
        <f t="shared" si="330"/>
        <v>6.1971324930323313E-3</v>
      </c>
      <c r="AE526" s="9">
        <f t="shared" si="330"/>
        <v>6.3328479254360914E-3</v>
      </c>
      <c r="AF526" s="9">
        <f t="shared" si="330"/>
        <v>6.4620100245653678E-3</v>
      </c>
      <c r="AG526" s="9">
        <f t="shared" si="330"/>
        <v>6.583586018769072E-3</v>
      </c>
      <c r="AH526" s="9">
        <f t="shared" si="330"/>
        <v>6.696208349817212E-3</v>
      </c>
      <c r="AI526" s="9">
        <f t="shared" si="330"/>
        <v>6.7992932183440491E-3</v>
      </c>
      <c r="AJ526" s="9">
        <f t="shared" si="330"/>
        <v>6.8923120615209665E-3</v>
      </c>
      <c r="AK526" s="9">
        <f t="shared" si="330"/>
        <v>6.9748225020966892E-3</v>
      </c>
      <c r="AL526" s="9">
        <f t="shared" si="330"/>
        <v>7.0464624902202289E-3</v>
      </c>
      <c r="AM526" s="9">
        <f t="shared" ref="AM526:BC526" si="331">AM513/AM519-1</f>
        <v>7.1063842841183611E-3</v>
      </c>
      <c r="AN526" s="9">
        <f t="shared" si="331"/>
        <v>7.1545127415744147E-3</v>
      </c>
      <c r="AO526" s="9">
        <f t="shared" si="331"/>
        <v>7.1734756408277089E-3</v>
      </c>
      <c r="AP526" s="9">
        <f t="shared" si="331"/>
        <v>7.1499107354373592E-3</v>
      </c>
      <c r="AQ526" s="9">
        <f t="shared" si="331"/>
        <v>7.0818314632574708E-3</v>
      </c>
      <c r="AR526" s="9">
        <f t="shared" si="331"/>
        <v>7.0097063056893116E-3</v>
      </c>
      <c r="AS526" s="9">
        <f t="shared" si="331"/>
        <v>6.9589388119866147E-3</v>
      </c>
      <c r="AT526" s="9">
        <f t="shared" si="331"/>
        <v>6.937465186285463E-3</v>
      </c>
      <c r="AU526" s="9">
        <f t="shared" si="331"/>
        <v>6.9353637545377378E-3</v>
      </c>
      <c r="AV526" s="9">
        <f t="shared" si="331"/>
        <v>6.9339141180588815E-3</v>
      </c>
      <c r="AW526" s="9">
        <f t="shared" si="331"/>
        <v>6.8775775192329025E-3</v>
      </c>
      <c r="AX526" s="9">
        <f t="shared" si="331"/>
        <v>6.7701996894820038E-3</v>
      </c>
      <c r="AY526" s="9">
        <f t="shared" si="331"/>
        <v>6.6299716926119245E-3</v>
      </c>
      <c r="AZ526" s="9">
        <f t="shared" si="331"/>
        <v>6.4742433312581227E-3</v>
      </c>
      <c r="BA526" s="9">
        <f t="shared" si="331"/>
        <v>6.3155356840880472E-3</v>
      </c>
      <c r="BB526" s="9">
        <f t="shared" si="331"/>
        <v>-1.0046073199928007E-2</v>
      </c>
      <c r="BC526" s="9">
        <f t="shared" si="331"/>
        <v>-1.0196735806486612E-2</v>
      </c>
      <c r="BD526" s="9">
        <f t="shared" ref="BD526:BF526" si="332">BD513/BD519-1</f>
        <v>-1.0338859832064951E-2</v>
      </c>
      <c r="BE526" s="9">
        <f t="shared" si="332"/>
        <v>-1.0474195050070967E-2</v>
      </c>
      <c r="BF526" s="9">
        <f t="shared" si="332"/>
        <v>-1.0603780591710965E-2</v>
      </c>
    </row>
    <row r="527" spans="2:58" x14ac:dyDescent="0.35">
      <c r="B527" t="s">
        <v>103</v>
      </c>
      <c r="C527" s="9">
        <f>(C516-C522)/C519</f>
        <v>0</v>
      </c>
      <c r="D527" s="9">
        <f t="shared" ref="D527:AL527" si="333">(D516-D522)/D519</f>
        <v>6.3399111410655047E-4</v>
      </c>
      <c r="E527" s="9">
        <f t="shared" si="333"/>
        <v>1.1172793779595659E-3</v>
      </c>
      <c r="F527" s="9">
        <f t="shared" si="333"/>
        <v>1.5440633692065154E-3</v>
      </c>
      <c r="G527" s="9">
        <f t="shared" si="333"/>
        <v>1.9999920990339082E-3</v>
      </c>
      <c r="H527" s="9">
        <f t="shared" si="333"/>
        <v>2.5714499698143239E-3</v>
      </c>
      <c r="I527" s="9">
        <f t="shared" si="333"/>
        <v>3.1435494251797827E-3</v>
      </c>
      <c r="J527" s="9">
        <f t="shared" si="333"/>
        <v>3.6717568876728397E-3</v>
      </c>
      <c r="K527" s="9">
        <f t="shared" si="333"/>
        <v>4.1513927395557051E-3</v>
      </c>
      <c r="L527" s="9">
        <f t="shared" si="333"/>
        <v>4.590316108070488E-3</v>
      </c>
      <c r="M527" s="9">
        <f t="shared" si="333"/>
        <v>4.995094123530424E-3</v>
      </c>
      <c r="N527" s="9">
        <f t="shared" si="333"/>
        <v>5.3845004502128344E-3</v>
      </c>
      <c r="O527" s="9">
        <f t="shared" si="333"/>
        <v>5.7647263848776536E-3</v>
      </c>
      <c r="P527" s="9">
        <f t="shared" si="333"/>
        <v>6.1413029787615071E-3</v>
      </c>
      <c r="Q527" s="9">
        <f t="shared" si="333"/>
        <v>6.5154090640777915E-3</v>
      </c>
      <c r="R527" s="9">
        <f t="shared" si="333"/>
        <v>6.8820455573624928E-3</v>
      </c>
      <c r="S527" s="9">
        <f t="shared" si="333"/>
        <v>7.2376516329791122E-3</v>
      </c>
      <c r="T527" s="9">
        <f t="shared" si="333"/>
        <v>7.5788106324262E-3</v>
      </c>
      <c r="U527" s="9">
        <f t="shared" si="333"/>
        <v>7.9044270049284035E-3</v>
      </c>
      <c r="V527" s="9">
        <f t="shared" si="333"/>
        <v>8.215460470323158E-3</v>
      </c>
      <c r="W527" s="9">
        <f t="shared" si="333"/>
        <v>8.5187577833667257E-3</v>
      </c>
      <c r="X527" s="9">
        <f t="shared" si="333"/>
        <v>8.8091320300780779E-3</v>
      </c>
      <c r="Y527" s="9">
        <f t="shared" si="333"/>
        <v>9.0917355262247097E-3</v>
      </c>
      <c r="Z527" s="9">
        <f t="shared" si="333"/>
        <v>9.3683544885052213E-3</v>
      </c>
      <c r="AA527" s="9">
        <f t="shared" si="333"/>
        <v>9.639631306955514E-3</v>
      </c>
      <c r="AB527" s="9">
        <f t="shared" si="333"/>
        <v>9.920233762400598E-3</v>
      </c>
      <c r="AC527" s="9">
        <f t="shared" si="333"/>
        <v>1.0190985621585233E-2</v>
      </c>
      <c r="AD527" s="9">
        <f t="shared" si="333"/>
        <v>1.0455677930343148E-2</v>
      </c>
      <c r="AE527" s="9">
        <f t="shared" si="333"/>
        <v>1.0714067346481443E-2</v>
      </c>
      <c r="AF527" s="9">
        <f t="shared" si="333"/>
        <v>1.0965284819636904E-2</v>
      </c>
      <c r="AG527" s="9">
        <f t="shared" si="333"/>
        <v>1.1208183158112534E-2</v>
      </c>
      <c r="AH527" s="9">
        <f t="shared" si="333"/>
        <v>1.1441152834648E-2</v>
      </c>
      <c r="AI527" s="9">
        <f t="shared" si="333"/>
        <v>1.1663229596964253E-2</v>
      </c>
      <c r="AJ527" s="9">
        <f t="shared" si="333"/>
        <v>1.1873721075650752E-2</v>
      </c>
      <c r="AK527" s="9">
        <f t="shared" si="333"/>
        <v>1.2072086380074934E-2</v>
      </c>
      <c r="AL527" s="9">
        <f t="shared" si="333"/>
        <v>1.2257894377396812E-2</v>
      </c>
      <c r="AM527" s="9">
        <f t="shared" ref="AM527:BC527" si="334">(AM516-AM522)/AM519</f>
        <v>1.2430971112457501E-2</v>
      </c>
      <c r="AN527" s="9">
        <f t="shared" si="334"/>
        <v>1.2589012753283748E-2</v>
      </c>
      <c r="AO527" s="9">
        <f t="shared" si="334"/>
        <v>1.2702958132612878E-2</v>
      </c>
      <c r="AP527" s="9">
        <f t="shared" si="334"/>
        <v>1.2753527192892244E-2</v>
      </c>
      <c r="AQ527" s="9">
        <f t="shared" si="334"/>
        <v>1.2741988422200368E-2</v>
      </c>
      <c r="AR527" s="9">
        <f t="shared" si="334"/>
        <v>1.2698836465929461E-2</v>
      </c>
      <c r="AS527" s="9">
        <f t="shared" si="334"/>
        <v>1.2677591826508067E-2</v>
      </c>
      <c r="AT527" s="9">
        <f t="shared" si="334"/>
        <v>1.2714820021527278E-2</v>
      </c>
      <c r="AU527" s="9">
        <f t="shared" si="334"/>
        <v>1.2814969501111547E-2</v>
      </c>
      <c r="AV527" s="9">
        <f t="shared" si="334"/>
        <v>1.2961007465137047E-2</v>
      </c>
      <c r="AW527" s="9">
        <f t="shared" si="334"/>
        <v>1.3121848616577194E-2</v>
      </c>
      <c r="AX527" s="9">
        <f t="shared" si="334"/>
        <v>1.3277302397799427E-2</v>
      </c>
      <c r="AY527" s="9">
        <f t="shared" si="334"/>
        <v>1.3415050776331462E-2</v>
      </c>
      <c r="AZ527" s="9">
        <f t="shared" si="334"/>
        <v>1.3528753614438014E-2</v>
      </c>
      <c r="BA527" s="9">
        <f t="shared" si="334"/>
        <v>1.3616199964004263E-2</v>
      </c>
      <c r="BB527" s="9">
        <f t="shared" si="334"/>
        <v>-7.0833349140024173E-3</v>
      </c>
      <c r="BC527" s="9">
        <f t="shared" si="334"/>
        <v>-7.116771404767519E-3</v>
      </c>
      <c r="BD527" s="9">
        <f t="shared" ref="BD527:BF527" si="335">(BD516-BD522)/BD519</f>
        <v>-7.1446776100745181E-3</v>
      </c>
      <c r="BE527" s="9">
        <f t="shared" si="335"/>
        <v>-7.1688134820638251E-3</v>
      </c>
      <c r="BF527" s="9">
        <f t="shared" si="335"/>
        <v>-7.1897740228072113E-3</v>
      </c>
    </row>
    <row r="528" spans="2:58" x14ac:dyDescent="0.35">
      <c r="B528" t="s">
        <v>104</v>
      </c>
      <c r="C528" s="9">
        <f>(C515-C521)/C519</f>
        <v>2.06846292607716E-4</v>
      </c>
      <c r="D528" s="9">
        <f t="shared" ref="D528:AL528" si="336">(D515-D521)/D519</f>
        <v>5.3668830817692019E-4</v>
      </c>
      <c r="E528" s="9">
        <f t="shared" si="336"/>
        <v>7.3398086271606662E-4</v>
      </c>
      <c r="F528" s="9">
        <f t="shared" si="336"/>
        <v>8.5186266049425694E-4</v>
      </c>
      <c r="G528" s="9">
        <f t="shared" si="336"/>
        <v>9.5642977833927201E-4</v>
      </c>
      <c r="H528" s="9">
        <f t="shared" si="336"/>
        <v>1.0914904445281206E-3</v>
      </c>
      <c r="I528" s="9">
        <f t="shared" si="336"/>
        <v>1.2444732235695703E-3</v>
      </c>
      <c r="J528" s="9">
        <f t="shared" si="336"/>
        <v>1.3977890504502514E-3</v>
      </c>
      <c r="K528" s="9">
        <f t="shared" si="336"/>
        <v>1.5418385494541185E-3</v>
      </c>
      <c r="L528" s="9">
        <f t="shared" si="336"/>
        <v>1.672883746570466E-3</v>
      </c>
      <c r="M528" s="9">
        <f t="shared" si="336"/>
        <v>1.7895888762350059E-3</v>
      </c>
      <c r="N528" s="9">
        <f t="shared" si="336"/>
        <v>1.8986144176596567E-3</v>
      </c>
      <c r="O528" s="9">
        <f t="shared" si="336"/>
        <v>1.998670984533585E-3</v>
      </c>
      <c r="P528" s="9">
        <f t="shared" si="336"/>
        <v>2.0909494136219764E-3</v>
      </c>
      <c r="Q528" s="9">
        <f t="shared" si="336"/>
        <v>2.1764697091298767E-3</v>
      </c>
      <c r="R528" s="9">
        <f t="shared" si="336"/>
        <v>2.2552540073451136E-3</v>
      </c>
      <c r="S528" s="9">
        <f t="shared" si="336"/>
        <v>2.33130580681374E-3</v>
      </c>
      <c r="T528" s="9">
        <f t="shared" si="336"/>
        <v>2.4024726584985149E-3</v>
      </c>
      <c r="U528" s="9">
        <f t="shared" si="336"/>
        <v>2.4690368272822076E-3</v>
      </c>
      <c r="V528" s="9">
        <f t="shared" si="336"/>
        <v>2.5321444309208221E-3</v>
      </c>
      <c r="W528" s="9">
        <f t="shared" si="336"/>
        <v>2.5941590900482436E-3</v>
      </c>
      <c r="X528" s="9">
        <f t="shared" si="336"/>
        <v>2.6545842409032355E-3</v>
      </c>
      <c r="Y528" s="9">
        <f t="shared" si="336"/>
        <v>2.7152216762402061E-3</v>
      </c>
      <c r="Z528" s="9">
        <f t="shared" si="336"/>
        <v>2.7766308250976104E-3</v>
      </c>
      <c r="AA528" s="9">
        <f t="shared" si="336"/>
        <v>2.838939857629133E-3</v>
      </c>
      <c r="AB528" s="9">
        <f t="shared" si="336"/>
        <v>2.9049880912993134E-3</v>
      </c>
      <c r="AC528" s="9">
        <f t="shared" si="336"/>
        <v>2.9688512140994897E-3</v>
      </c>
      <c r="AD528" s="9">
        <f t="shared" si="336"/>
        <v>3.0326603043876891E-3</v>
      </c>
      <c r="AE528" s="9">
        <f t="shared" si="336"/>
        <v>3.0961611726949951E-3</v>
      </c>
      <c r="AF528" s="9">
        <f t="shared" si="336"/>
        <v>3.158697154391826E-3</v>
      </c>
      <c r="AG528" s="9">
        <f t="shared" si="336"/>
        <v>3.2195509171133942E-3</v>
      </c>
      <c r="AH528" s="9">
        <f t="shared" si="336"/>
        <v>3.2770943190633E-3</v>
      </c>
      <c r="AI528" s="9">
        <f t="shared" si="336"/>
        <v>3.3314820332364086E-3</v>
      </c>
      <c r="AJ528" s="9">
        <f t="shared" si="336"/>
        <v>3.3825360808130674E-3</v>
      </c>
      <c r="AK528" s="9">
        <f t="shared" si="336"/>
        <v>3.4300650357551323E-3</v>
      </c>
      <c r="AL528" s="9">
        <f t="shared" si="336"/>
        <v>3.4739270277894512E-3</v>
      </c>
      <c r="AM528" s="9">
        <f t="shared" ref="AM528:BC528" si="337">(AM515-AM521)/AM519</f>
        <v>3.5060082283533685E-3</v>
      </c>
      <c r="AN528" s="9">
        <f t="shared" si="337"/>
        <v>3.5317620174454391E-3</v>
      </c>
      <c r="AO528" s="9">
        <f t="shared" si="337"/>
        <v>3.5514904377878776E-3</v>
      </c>
      <c r="AP528" s="9">
        <f t="shared" si="337"/>
        <v>3.5630269856598389E-3</v>
      </c>
      <c r="AQ528" s="9">
        <f t="shared" si="337"/>
        <v>3.5642097990283908E-3</v>
      </c>
      <c r="AR528" s="9">
        <f t="shared" si="337"/>
        <v>3.6255099055349203E-3</v>
      </c>
      <c r="AS528" s="9">
        <f t="shared" si="337"/>
        <v>3.7373116260513927E-3</v>
      </c>
      <c r="AT528" s="9">
        <f t="shared" si="337"/>
        <v>3.8710651364545043E-3</v>
      </c>
      <c r="AU528" s="9">
        <f t="shared" si="337"/>
        <v>3.9971852342823378E-3</v>
      </c>
      <c r="AV528" s="9">
        <f t="shared" si="337"/>
        <v>4.0915610689016505E-3</v>
      </c>
      <c r="AW528" s="9">
        <f t="shared" si="337"/>
        <v>4.0423700169270023E-3</v>
      </c>
      <c r="AX528" s="9">
        <f t="shared" si="337"/>
        <v>3.8772630686342369E-3</v>
      </c>
      <c r="AY528" s="9">
        <f t="shared" si="337"/>
        <v>3.6476761660016264E-3</v>
      </c>
      <c r="AZ528" s="9">
        <f t="shared" si="337"/>
        <v>3.3974715662410814E-3</v>
      </c>
      <c r="BA528" s="9">
        <f t="shared" si="337"/>
        <v>3.1565548990887915E-3</v>
      </c>
      <c r="BB528" s="9">
        <f t="shared" si="337"/>
        <v>-3.6814216923427494E-3</v>
      </c>
      <c r="BC528" s="9">
        <f t="shared" si="337"/>
        <v>-3.6885411797333667E-3</v>
      </c>
      <c r="BD528" s="9">
        <f t="shared" ref="BD528:BF528" si="338">(BD515-BD521)/BD519</f>
        <v>-3.6885639402220861E-3</v>
      </c>
      <c r="BE528" s="9">
        <f t="shared" si="338"/>
        <v>-3.6820563046828817E-3</v>
      </c>
      <c r="BF528" s="9">
        <f t="shared" si="338"/>
        <v>-3.6695656661842584E-3</v>
      </c>
    </row>
    <row r="529" spans="2:58" x14ac:dyDescent="0.35">
      <c r="B529" t="s">
        <v>20</v>
      </c>
      <c r="C529" s="9">
        <f>(C517-C514-(C523-C520))/C519</f>
        <v>-1.9517960500891932E-4</v>
      </c>
      <c r="D529" s="9">
        <f t="shared" ref="D529:AL529" si="339">(D517-D514-(D523-D520))/D519</f>
        <v>-8.3749060633455351E-4</v>
      </c>
      <c r="E529" s="9">
        <f t="shared" si="339"/>
        <v>-1.2907417497772745E-3</v>
      </c>
      <c r="F529" s="9">
        <f t="shared" si="339"/>
        <v>-1.6326573658453751E-3</v>
      </c>
      <c r="G529" s="9">
        <f t="shared" si="339"/>
        <v>-1.9526516003367251E-3</v>
      </c>
      <c r="H529" s="9">
        <f t="shared" si="339"/>
        <v>-2.3246262297175833E-3</v>
      </c>
      <c r="I529" s="9">
        <f t="shared" si="339"/>
        <v>-2.684528741442419E-3</v>
      </c>
      <c r="J529" s="9">
        <f t="shared" si="339"/>
        <v>-3.0108068479774638E-3</v>
      </c>
      <c r="K529" s="9">
        <f t="shared" si="339"/>
        <v>-3.3046533037337429E-3</v>
      </c>
      <c r="L529" s="9">
        <f t="shared" si="339"/>
        <v>-3.5727362404574911E-3</v>
      </c>
      <c r="M529" s="9">
        <f t="shared" si="339"/>
        <v>-3.8196902817838152E-3</v>
      </c>
      <c r="N529" s="9">
        <f t="shared" si="339"/>
        <v>-4.0591501783613848E-3</v>
      </c>
      <c r="O529" s="9">
        <f t="shared" si="339"/>
        <v>-4.2924871160220724E-3</v>
      </c>
      <c r="P529" s="9">
        <f t="shared" si="339"/>
        <v>-4.522151621353037E-3</v>
      </c>
      <c r="Q529" s="9">
        <f t="shared" si="339"/>
        <v>-4.7486461966275819E-3</v>
      </c>
      <c r="R529" s="9">
        <f t="shared" si="339"/>
        <v>-4.9693962848752164E-3</v>
      </c>
      <c r="S529" s="9">
        <f t="shared" si="339"/>
        <v>-5.1860206543415553E-3</v>
      </c>
      <c r="T529" s="9">
        <f t="shared" si="339"/>
        <v>-5.3953347848317412E-3</v>
      </c>
      <c r="U529" s="9">
        <f t="shared" si="339"/>
        <v>-5.5967834775099926E-3</v>
      </c>
      <c r="V529" s="9">
        <f t="shared" si="339"/>
        <v>-5.7913122839868669E-3</v>
      </c>
      <c r="W529" s="9">
        <f t="shared" si="339"/>
        <v>-5.9829374986807935E-3</v>
      </c>
      <c r="X529" s="9">
        <f t="shared" si="339"/>
        <v>-6.1696383940044999E-3</v>
      </c>
      <c r="Y529" s="9">
        <f t="shared" si="339"/>
        <v>-6.3547426380753131E-3</v>
      </c>
      <c r="Z529" s="9">
        <f t="shared" si="339"/>
        <v>-6.5394513482611794E-3</v>
      </c>
      <c r="AA529" s="9">
        <f t="shared" si="339"/>
        <v>-6.7242240098937343E-3</v>
      </c>
      <c r="AB529" s="9">
        <f t="shared" si="339"/>
        <v>-6.9161056595852559E-3</v>
      </c>
      <c r="AC529" s="9">
        <f t="shared" si="339"/>
        <v>-7.1040808540205874E-3</v>
      </c>
      <c r="AD529" s="9">
        <f t="shared" si="339"/>
        <v>-7.2912055233428658E-3</v>
      </c>
      <c r="AE529" s="9">
        <f t="shared" si="339"/>
        <v>-7.4773804856441807E-3</v>
      </c>
      <c r="AF529" s="9">
        <f t="shared" si="339"/>
        <v>-7.6619722705285175E-3</v>
      </c>
      <c r="AG529" s="9">
        <f t="shared" si="339"/>
        <v>-7.8441474737160396E-3</v>
      </c>
      <c r="AH529" s="9">
        <f t="shared" si="339"/>
        <v>-8.0220388038940195E-3</v>
      </c>
      <c r="AI529" s="9">
        <f t="shared" si="339"/>
        <v>-8.1954186714276716E-3</v>
      </c>
      <c r="AJ529" s="9">
        <f t="shared" si="339"/>
        <v>-8.3639449921714352E-3</v>
      </c>
      <c r="AK529" s="9">
        <f t="shared" si="339"/>
        <v>-8.5273286085785372E-3</v>
      </c>
      <c r="AL529" s="9">
        <f t="shared" si="339"/>
        <v>-8.6853588142974184E-3</v>
      </c>
      <c r="AM529" s="9">
        <f t="shared" ref="AM529:BC529" si="340">(AM517-AM514-(AM523-AM520))/AM519</f>
        <v>-8.8305950068634891E-3</v>
      </c>
      <c r="AN529" s="9">
        <f t="shared" si="340"/>
        <v>-8.9662623251380545E-3</v>
      </c>
      <c r="AO529" s="9">
        <f t="shared" si="340"/>
        <v>-9.0809727830660353E-3</v>
      </c>
      <c r="AP529" s="9">
        <f t="shared" si="340"/>
        <v>-9.1666431530569581E-3</v>
      </c>
      <c r="AQ529" s="9">
        <f t="shared" si="340"/>
        <v>-9.2243673321939536E-3</v>
      </c>
      <c r="AR529" s="9">
        <f t="shared" si="340"/>
        <v>-9.3146400184109177E-3</v>
      </c>
      <c r="AS529" s="9">
        <f t="shared" si="340"/>
        <v>-9.4559642186453283E-3</v>
      </c>
      <c r="AT529" s="9">
        <f t="shared" si="340"/>
        <v>-9.6484200180984789E-3</v>
      </c>
      <c r="AU529" s="9">
        <f t="shared" si="340"/>
        <v>-9.8767911645653763E-3</v>
      </c>
      <c r="AV529" s="9">
        <f t="shared" si="340"/>
        <v>-1.0118654915990512E-2</v>
      </c>
      <c r="AW529" s="9">
        <f t="shared" si="340"/>
        <v>-1.0286640934331584E-2</v>
      </c>
      <c r="AX529" s="9">
        <f t="shared" si="340"/>
        <v>-1.0384365776951971E-2</v>
      </c>
      <c r="AY529" s="9">
        <f t="shared" si="340"/>
        <v>-1.0432755425915513E-2</v>
      </c>
      <c r="AZ529" s="9">
        <f t="shared" si="340"/>
        <v>-1.0451982110918497E-2</v>
      </c>
      <c r="BA529" s="9">
        <f t="shared" si="340"/>
        <v>-1.0457218445978739E-2</v>
      </c>
      <c r="BB529" s="9">
        <f t="shared" si="340"/>
        <v>7.1868328581924535E-4</v>
      </c>
      <c r="BC529" s="9">
        <f t="shared" si="340"/>
        <v>6.0857681767124885E-4</v>
      </c>
      <c r="BD529" s="9">
        <f t="shared" ref="BD529:BF529" si="341">(BD517-BD514-(BD523-BD520))/BD519</f>
        <v>4.9438203119265157E-4</v>
      </c>
      <c r="BE529" s="9">
        <f t="shared" si="341"/>
        <v>3.7667500679916332E-4</v>
      </c>
      <c r="BF529" s="9">
        <f t="shared" si="341"/>
        <v>2.5555905921704927E-4</v>
      </c>
    </row>
  </sheetData>
  <mergeCells count="2">
    <mergeCell ref="A61:A62"/>
    <mergeCell ref="A64:A6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21</vt:i4>
      </vt:variant>
    </vt:vector>
  </HeadingPairs>
  <TitlesOfParts>
    <vt:vector size="22" baseType="lpstr">
      <vt:lpstr>Données</vt:lpstr>
      <vt:lpstr>Gr Macro</vt:lpstr>
      <vt:lpstr>Gr inflation</vt:lpstr>
      <vt:lpstr>Gr émissions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(ener,shock)</vt:lpstr>
      <vt:lpstr>Auto (ener,base)</vt:lpstr>
      <vt:lpstr>Employment</vt:lpstr>
      <vt:lpstr>Investment</vt:lpstr>
      <vt:lpstr>Firms' emissions</vt:lpstr>
      <vt:lpstr>Capital intensity</vt:lpstr>
      <vt:lpstr>Energy intensity</vt:lpstr>
      <vt:lpstr>Gr VA secteurs (% dev)</vt:lpstr>
      <vt:lpstr>Gr VA secteurs (% share)</vt:lpstr>
      <vt:lpstr>Gr Y secteurs (% dev)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2021-11-04T11:19:34Z</dcterms:created>
  <dcterms:modified xsi:type="dcterms:W3CDTF">2022-04-08T16:05:23Z</dcterms:modified>
</cp:coreProperties>
</file>